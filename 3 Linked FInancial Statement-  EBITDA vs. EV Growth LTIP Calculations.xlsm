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kare\OneDrive\Desktop\1) Comp Portfolio\0) GitHub\"/>
    </mc:Choice>
  </mc:AlternateContent>
  <xr:revisionPtr revIDLastSave="0" documentId="13_ncr:1_{DD8A98F2-AC4C-48CE-A5C0-C93BE65F0189}" xr6:coauthVersionLast="47" xr6:coauthVersionMax="47" xr10:uidLastSave="{00000000-0000-0000-0000-000000000000}"/>
  <bookViews>
    <workbookView xWindow="17620" yWindow="260" windowWidth="18900" windowHeight="19200" tabRatio="831" activeTab="2" xr2:uid="{00000000-000D-0000-FFFF-FFFF00000000}"/>
  </bookViews>
  <sheets>
    <sheet name="Enterprise Valuation Method" sheetId="6" r:id="rId1"/>
    <sheet name="EBITDA Method" sheetId="11" r:id="rId2"/>
    <sheet name="3 Linked Financial Statements" sheetId="8" r:id="rId3"/>
    <sheet name="LTIP Financial Metric Compariso" sheetId="12" state="hidden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\C">#REF!</definedName>
    <definedName name="\M">#REF!</definedName>
    <definedName name="\S">#REF!</definedName>
    <definedName name="\X">#REF!</definedName>
    <definedName name="____1">#REF!</definedName>
    <definedName name="____17.2">#REF!</definedName>
    <definedName name="____17.3">#REF!</definedName>
    <definedName name="____17.4">#REF!</definedName>
    <definedName name="____17.5">#REF!</definedName>
    <definedName name="____17.6">#REF!</definedName>
    <definedName name="____17.7">#REF!</definedName>
    <definedName name="____17.8">#REF!</definedName>
    <definedName name="____18.2">#REF!</definedName>
    <definedName name="____18.3">#REF!</definedName>
    <definedName name="____18.4">#REF!</definedName>
    <definedName name="____2.2">#REF!</definedName>
    <definedName name="____2.3">#REF!</definedName>
    <definedName name="____20.1">#REF!</definedName>
    <definedName name="____3.1">#REF!</definedName>
    <definedName name="____3.2">#REF!</definedName>
    <definedName name="____4">#REF!</definedName>
    <definedName name="____5">#REF!</definedName>
    <definedName name="____6.4">#REF!</definedName>
    <definedName name="___1">#REF!</definedName>
    <definedName name="___17.2">#REF!</definedName>
    <definedName name="___17.3">#REF!</definedName>
    <definedName name="___17.4">#REF!</definedName>
    <definedName name="___17.5">#REF!</definedName>
    <definedName name="___17.6">#REF!</definedName>
    <definedName name="___17.7">#REF!</definedName>
    <definedName name="___17.8">#REF!</definedName>
    <definedName name="___18.2">#REF!</definedName>
    <definedName name="___18.3">#REF!</definedName>
    <definedName name="___18.4">#REF!</definedName>
    <definedName name="___2.2">#REF!</definedName>
    <definedName name="___2.3">#REF!</definedName>
    <definedName name="___20.1">#REF!</definedName>
    <definedName name="___3.1">#REF!</definedName>
    <definedName name="___3.2">#REF!</definedName>
    <definedName name="___4">#REF!</definedName>
    <definedName name="___5">#REF!</definedName>
    <definedName name="___6.4">#REF!</definedName>
    <definedName name="__1">#REF!</definedName>
    <definedName name="__17.2">#REF!</definedName>
    <definedName name="__17.3">#REF!</definedName>
    <definedName name="__17.4">#REF!</definedName>
    <definedName name="__17.5">#REF!</definedName>
    <definedName name="__17.6">#REF!</definedName>
    <definedName name="__17.7">#REF!</definedName>
    <definedName name="__17.8">#REF!</definedName>
    <definedName name="__18.2">#REF!</definedName>
    <definedName name="__18.3">#REF!</definedName>
    <definedName name="__18.4">#REF!</definedName>
    <definedName name="__2.2">#REF!</definedName>
    <definedName name="__2.3">#REF!</definedName>
    <definedName name="__20.1">#REF!</definedName>
    <definedName name="__3.1">#REF!</definedName>
    <definedName name="__3.2">#REF!</definedName>
    <definedName name="__4">#REF!</definedName>
    <definedName name="__5">#REF!</definedName>
    <definedName name="__6.4">#REF!</definedName>
    <definedName name="__8.2">#REF!</definedName>
    <definedName name="__IntlFixup" hidden="1">TRUE</definedName>
    <definedName name="__IntlFixupTable" localSheetId="1" hidden="1">#REF!</definedName>
    <definedName name="__IntlFixupTable" localSheetId="0" hidden="1">#REF!</definedName>
    <definedName name="__IntlFixupTable" hidden="1">#REF!</definedName>
    <definedName name="_1">#REF!</definedName>
    <definedName name="_1_1">#REF!</definedName>
    <definedName name="_10_15.2">#REF!</definedName>
    <definedName name="_11_15R">#REF!</definedName>
    <definedName name="_12_15R1">#REF!</definedName>
    <definedName name="_13_16">#REF!</definedName>
    <definedName name="_15_17.2">#REF!</definedName>
    <definedName name="_16_17.3">#REF!</definedName>
    <definedName name="_17.2">#REF!</definedName>
    <definedName name="_17.3">#REF!</definedName>
    <definedName name="_17.4">#REF!</definedName>
    <definedName name="_17.5">#REF!</definedName>
    <definedName name="_17.6">#REF!</definedName>
    <definedName name="_17.7">#REF!</definedName>
    <definedName name="_17.8">#REF!</definedName>
    <definedName name="_17_17.4">#REF!</definedName>
    <definedName name="_18.2">#REF!</definedName>
    <definedName name="_18.3">#REF!</definedName>
    <definedName name="_18.4">#REF!</definedName>
    <definedName name="_18_17.5">#REF!</definedName>
    <definedName name="_19_17.6">#REF!</definedName>
    <definedName name="_2.2">#REF!</definedName>
    <definedName name="_2.3">#REF!</definedName>
    <definedName name="_20.1">#REF!</definedName>
    <definedName name="_20_17.7">#REF!</definedName>
    <definedName name="_21">#REF!</definedName>
    <definedName name="_21_17.8">#REF!</definedName>
    <definedName name="_23_18.2">#REF!</definedName>
    <definedName name="_24_18.3">#REF!</definedName>
    <definedName name="_25_18.4">#REF!</definedName>
    <definedName name="_27_2.2">#REF!</definedName>
    <definedName name="_28_2.3">#REF!</definedName>
    <definedName name="_29_20.1">#REF!</definedName>
    <definedName name="_3.1">#REF!</definedName>
    <definedName name="_3.2">#REF!</definedName>
    <definedName name="_3_10">#REF!</definedName>
    <definedName name="_30_20.2">#REF!</definedName>
    <definedName name="_32_3.1">#REF!</definedName>
    <definedName name="_33_3.2">#REF!</definedName>
    <definedName name="_34_4">#REF!</definedName>
    <definedName name="_35_5">#REF!</definedName>
    <definedName name="_36_6.1">#REF!</definedName>
    <definedName name="_37_6.2">#REF!</definedName>
    <definedName name="_39_6.4">#REF!</definedName>
    <definedName name="_4">#REF!</definedName>
    <definedName name="_40_7.1">#REF!</definedName>
    <definedName name="_41_7.2">#REF!</definedName>
    <definedName name="_42_8.1">#REF!</definedName>
    <definedName name="_43_8.2">#REF!</definedName>
    <definedName name="_44P_R">#REF!</definedName>
    <definedName name="_5">#REF!</definedName>
    <definedName name="_6.4">#REF!</definedName>
    <definedName name="_7.1">#REF!</definedName>
    <definedName name="_7.2">#REF!</definedName>
    <definedName name="_7_14">#REF!</definedName>
    <definedName name="_8.1">#REF!</definedName>
    <definedName name="_8.2">#REF!</definedName>
    <definedName name="_8_15">#REF!</definedName>
    <definedName name="_9_15.1">#REF!</definedName>
    <definedName name="_Fill" hidden="1">#REF!</definedName>
    <definedName name="_Key1" hidden="1">#REF!</definedName>
    <definedName name="_Order1" hidden="1">0</definedName>
    <definedName name="_Sort" hidden="1">#REF!</definedName>
    <definedName name="_xleta.CLEAN" hidden="1" xlm="1">#NAME?</definedName>
    <definedName name="_xleta.GROWTH" hidden="1" xlm="1">#NAME?</definedName>
    <definedName name="_xleta.IFERROR" hidden="1" xlm="1">#NAME?</definedName>
    <definedName name="_xleta.MAX" hidden="1" xlm="1">#NAME?</definedName>
    <definedName name="_xleta.SUM" hidden="1" xlm="1">#NAME?</definedName>
    <definedName name="_xlpm.temp" hidden="1" xlm="1">#NAME?</definedName>
    <definedName name="A">#REF!</definedName>
    <definedName name="A_Attended">#REF!</definedName>
    <definedName name="A_House">#REF!</definedName>
    <definedName name="A_Registered">#REF!</definedName>
    <definedName name="AA.Report.Files" localSheetId="1" hidden="1">#REF!</definedName>
    <definedName name="AA.Report.Files" localSheetId="0" hidden="1">#REF!</definedName>
    <definedName name="AA.Report.Files" hidden="1">#REF!</definedName>
    <definedName name="AA.Reports.Available" localSheetId="1" hidden="1">#REF!</definedName>
    <definedName name="AA.Reports.Available" localSheetId="0" hidden="1">#REF!</definedName>
    <definedName name="AA.Reports.Available" hidden="1">#REF!</definedName>
    <definedName name="ACB_X">#REF!</definedName>
    <definedName name="ACH_v">#REF!</definedName>
    <definedName name="ACH50_">#REF!</definedName>
    <definedName name="Actives">#REF!</definedName>
    <definedName name="Andrea">#REF!</definedName>
    <definedName name="AP">#REF!</definedName>
    <definedName name="AR">#REF!</definedName>
    <definedName name="as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" localSheetId="0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" localSheetId="0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2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2" localSheetId="0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2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d" localSheetId="1">#REF!</definedName>
    <definedName name="asd" localSheetId="0">#REF!</definedName>
    <definedName name="asd">#REF!</definedName>
    <definedName name="asdg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asdg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asdg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" localSheetId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" localSheetId="0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_Attended">#REF!</definedName>
    <definedName name="B_Registered">#REF!</definedName>
    <definedName name="BalanceSheet">[1]BalanceSheet!$A$2:$E$41</definedName>
    <definedName name="Band">#REF!</definedName>
    <definedName name="Bands">#REF!</definedName>
    <definedName name="bb_N0U4QjY0QTlGRUQ3NEUxMU" localSheetId="1" hidden="1">#REF!</definedName>
    <definedName name="bb_N0U4QjY0QTlGRUQ3NEUxMU" localSheetId="0" hidden="1">#REF!</definedName>
    <definedName name="bb_N0U4QjY0QTlGRUQ3NEUxMU" hidden="1">#REF!</definedName>
    <definedName name="bla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lah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la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lah2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blah2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blah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BSA">#REF!</definedName>
    <definedName name="C_">#REF!</definedName>
    <definedName name="CASHFLOW">#REF!</definedName>
    <definedName name="cb_Add_CalloutChart_24_opts" hidden="1">"1, 9, 1, False, 2, False, False, , 0, False, False, 1, 1"</definedName>
    <definedName name="cb_Add_CalloutChart_25_opts" hidden="1">"1, 10, 1, False, 2, False, False, , 0, False, True, 1, 1"</definedName>
    <definedName name="cb_Add_CalloutChart_26_opts" hidden="1">"1, 9, 1, False, 2, False, False, , 0, False, True, 1, 1"</definedName>
    <definedName name="cb_ALT_STACKED_COLUMNChart_22_opts" hidden="1">"1, 3, 1, False, 2, True, False, , 0, False, True, 1, 2"</definedName>
    <definedName name="cb_ALT_STACKED_COLUMNChart_23_opts" hidden="1">"1, 3, 1, False, 2, True, False, , 0, False, True, 1, 2"</definedName>
    <definedName name="cb_bChart595EC34_opts" hidden="1">"1, 9, 1, False, 2, False, False, , 0, False, True, 1, 1"</definedName>
    <definedName name="cb_bChart9876793_opts" hidden="1">"1, 2, 1, False, 2, False, False, , 0, False, False, 2, 2"</definedName>
    <definedName name="cb_Chart_1" hidden="1">#REF!</definedName>
    <definedName name="cb_Chart_1_opts" hidden="1">"1, 6, 1, False, 2, False, False, , 0, False, True, 1, 2"</definedName>
    <definedName name="cb_Chart_10" hidden="1">#REF!</definedName>
    <definedName name="cb_Chart_10_opts" hidden="1">"1, 8, 1, False, 2, False, False, , 0, False, False, 2, 2"</definedName>
    <definedName name="cb_Chart_100032_opts" hidden="1">"1, 10, 1, False, 2, True, False, , 0, False, False, 2, 2"</definedName>
    <definedName name="cb_Chart_10104_opts" hidden="1">"1, 5, 1, False, 2, True, False, , 0, True, False, 2, 1"</definedName>
    <definedName name="cb_Chart_10401_opts" hidden="1">"1, 5, 1, False, 2, False, False, , 0, True, False, 2, 1"</definedName>
    <definedName name="cb_Chart_10736_opts" hidden="1">"1, 10, 1, False, 2, False, False, , 0, False, False, 2, 2"</definedName>
    <definedName name="cb_Chart_11_opts" hidden="1">"1, 1, 1, False, 2, False, False, , 0, False, False, 2, 2"</definedName>
    <definedName name="cb_Chart_12_opts" hidden="1">"1, 8, 1, False, 2, False, False, , 0, False, False, 2, 2"</definedName>
    <definedName name="cb_Chart_13_opts" hidden="1">"1, 8, 1, False, 2, False, False, , 0, False, False, 2, 2"</definedName>
    <definedName name="cb_Chart_14_opts" hidden="1">"1, 8, 1, False, 2, False, False, , 0, False, False, 2, 2"</definedName>
    <definedName name="cb_Chart_15" hidden="1">#REF!</definedName>
    <definedName name="cb_Chart_15_opts" hidden="1">"2, 1, 2, True, 2, False, False, , 0, False, True, 1, 2"</definedName>
    <definedName name="cb_Chart_1501_opts" hidden="1">"1, 10, 1, False, 2, True, False, , 0, False, False, 2, 2"</definedName>
    <definedName name="cb_Chart_16_opts" hidden="1">"1, 8, 1, False, 2, False, False, , 0, False, False, 2, 2"</definedName>
    <definedName name="cb_Chart_1670_opts" hidden="1">"1, 5, 1, False, 2, True, False, , 0, False, False, 2, 1"</definedName>
    <definedName name="cb_Chart_17_opts" hidden="1">"1, 6, 1, False, 2, False, False, , 0, False, True, 2, 2"</definedName>
    <definedName name="cb_Chart_18_opts" hidden="1">"1, 9, 1, False, 2, False, False, , 0, False, False, 1, 1"</definedName>
    <definedName name="cb_Chart_19_opts" hidden="1">"1, 2, 1, False, 2, True, False, , 0, True, False, 2, 1"</definedName>
    <definedName name="cb_Chart_1opts1" hidden="1">"1, 9, 1, False, 2, False, True, , 1, False, True, 1, 1"</definedName>
    <definedName name="cb_Chart_2_opts" hidden="1">"1, 6, 1, False, 2, False, False, , 0, False, False, 1, 2"</definedName>
    <definedName name="cb_Chart_20_opts" hidden="1">"1, 9, 1, False, 2, False, False, , 0, False, False, 1, 1"</definedName>
    <definedName name="cb_Chart_21_opts" hidden="1">"1, 2, 1, False, 2, False, False, , 0, False, False, 2, 1"</definedName>
    <definedName name="cb_Chart_22_opts" hidden="1">"1, 2, 1, False, 2, True, False, , 0, False, False, 2, 1"</definedName>
    <definedName name="cb_Chart_22784_opts" hidden="1">"1, 9, 1, False, 2, False, False, , 0, False, True, 1, 2"</definedName>
    <definedName name="cb_Chart_23" hidden="1">#REF!</definedName>
    <definedName name="cb_Chart_23_opts" hidden="1">"1, 9, 1, False, 2, False, False, , 0, False, False, 1, 1"</definedName>
    <definedName name="cb_Chart_24" hidden="1">#REF!</definedName>
    <definedName name="cb_Chart_24_opts" hidden="1">"1, 2, 1, False, 2, False, False, , 0, False, False, 2, 1"</definedName>
    <definedName name="cb_Chart_24490_opts" hidden="1">"1, 10, 1, False, 2, True, False, , 0, False, False, 2, 2"</definedName>
    <definedName name="cb_Chart_25_opts" hidden="1">"1, 3, 1, False, 2, False, False, , 0, True, True, 1, 2"</definedName>
    <definedName name="cb_Chart_26" hidden="1">#REF!</definedName>
    <definedName name="cb_Chart_26_opts" hidden="1">"1, 8, 1, False, 2, False, False, , 0, False, False, 2, 2"</definedName>
    <definedName name="cb_Chart_26476_opts" hidden="1">"1, 1, 1, False, 2, True, False, , 0, False, False, 1, 2"</definedName>
    <definedName name="cb_Chart_27_opts" hidden="1">"1, 1, 1, False, 2, True, False, , 0, False, True, 1, 2"</definedName>
    <definedName name="cb_Chart_28_opts" hidden="1">"1, 3, 1, False, 2, True, False, , 0, False, True, 1, 2"</definedName>
    <definedName name="cb_Chart_28031_opts" hidden="1">"1, 1, 1, False, 2, True, False, , 0, False, False, 1, 2"</definedName>
    <definedName name="cb_Chart_28545_opts" hidden="1">"1, 5, 1, False, 2, True, False, , 0, False, True, 2, 1"</definedName>
    <definedName name="cb_Chart_29" hidden="1">#REF!</definedName>
    <definedName name="cb_Chart_29_opts" hidden="1">"1, 3, 1, False, 2, False, False, , 0, False, False, 1, 1"</definedName>
    <definedName name="cb_Chart_29053_opts" hidden="1">"1, 10, 1, False, 2, True, False, , 0, False, False, 2, 2"</definedName>
    <definedName name="cb_Chart_29913_opts" hidden="1">"1, 1, 1, False, 2, False, False, , 0, False, False, 1, 1"</definedName>
    <definedName name="cb_Chart_3_opts" hidden="1">"1, 1, 1, False, 2, True, False, , 0, False, False, 2, 2"</definedName>
    <definedName name="cb_Chart_30" hidden="1">#REF!</definedName>
    <definedName name="cb_Chart_30_opts" hidden="1">"1, 3, 1, False, 2, True, False, , 0, False, True, 1, 2"</definedName>
    <definedName name="cb_Chart_30292_opts" hidden="1">"1, 1, 1, False, 2, False, False, , 0, False, False, 1, 2"</definedName>
    <definedName name="cb_Chart_31_opts" hidden="1">"1, 1, 1, False, 2, True, False, , 0, True, True, 2, 2"</definedName>
    <definedName name="cb_Chart_32_opts" hidden="1">"1, 1, 1, False, 2, True, False, , 0, False, False, 2, 2"</definedName>
    <definedName name="cb_Chart_33_opts" hidden="1">"1, 1, 1, False, 2, True, False, , 0, False, True, 3, 2"</definedName>
    <definedName name="cb_Chart_34_opts" hidden="1">"1, 3, 1, False, 2, True, False, , 0, False, True, 2, 1"</definedName>
    <definedName name="cb_Chart_36498_opts" hidden="1">"1, 1, 1, False, 2, True, False, , 0, False, False, 1, 2"</definedName>
    <definedName name="cb_Chart_37450_opts" hidden="1">"1, 10, 1, False, 2, True, False, , 0, False, False, 2, 2"</definedName>
    <definedName name="cb_Chart_4_opts" hidden="1">"1, 7, 1, False, 2, False, False, , 0, False, True, 1, 2"</definedName>
    <definedName name="cb_Chart_40_opts" hidden="1">"1, 1, 1, False, 2, False, False, , 0, False, False, 3, 2"</definedName>
    <definedName name="cb_Chart_41_opts" hidden="1">"1, 10, 1, False, 2, True, False, , 0, False, False, 2, 1"</definedName>
    <definedName name="cb_Chart_41499_opts" hidden="1">"1, 10, 1, False, 2, True, False, , 0, False, False, 2, 2"</definedName>
    <definedName name="cb_Chart_42_opts" hidden="1">"1, 3, 1, False, 2, True, False, , 0, False, True, 1, 2"</definedName>
    <definedName name="cb_Chart_43" hidden="1">#REF!</definedName>
    <definedName name="cb_Chart_43_opts" hidden="1">"1, 10, 1, False, 2, True, False, , 0, False, False, 2, 1"</definedName>
    <definedName name="cb_Chart_4634_opts" hidden="1">"1, 10, 1, False, 2, True, False, , 0, False, False, 2, 2"</definedName>
    <definedName name="cb_Chart_4664_opts" hidden="1">"1, 5, 1, False, 2, True, False, , 0, False, True, 1, 2"</definedName>
    <definedName name="cb_Chart_46965_opts" hidden="1">"1, 1, 1, False, 2, False, False, , 0, False, False, 1, 1"</definedName>
    <definedName name="cb_Chart_48_opts" hidden="1">"2, 1, 2, True, 2, False, False, , 0, False, True, 1, 1"</definedName>
    <definedName name="cb_Chart_49_opts" hidden="1">"2, 1, 2, True, 2, False, False, , 0, False, True, 1, 1"</definedName>
    <definedName name="cb_Chart_5" hidden="1">#REF!</definedName>
    <definedName name="cb_Chart_5_opts" hidden="1">"1, 8, 1, False, 2, False, False, , 0, False, False, 1, 2"</definedName>
    <definedName name="cb_Chart_50_opts" hidden="1">"2, 1, 2, True, 2, False, False, , 0, False, True, 1, 1"</definedName>
    <definedName name="cb_Chart_51_opts" hidden="1">"1, 2, 1, False, 2, False, False, , 0, False, False, 2, 1"</definedName>
    <definedName name="cb_Chart_52_opts" hidden="1">"1, 2, 1, False, 2, False, False, , 0, False, False, 2, 1"</definedName>
    <definedName name="cb_Chart_52582_opts" hidden="1">"1, 1, 1, False, 2, False, False, , 0, False, False, 1, 2"</definedName>
    <definedName name="cb_Chart_53_opts" hidden="1">"1, 9, 1, False, 2, False, True, , 3, False, False, 1, 1"</definedName>
    <definedName name="cb_Chart_53437_opts" hidden="1">"1, 10, 1, False, 2, True, False, , 0, False, False, 2, 2"</definedName>
    <definedName name="cb_Chart_53482_opts" hidden="1">"1, 10, 1, False, 2, True, False, , 0, False, False, 2, 2"</definedName>
    <definedName name="cb_Chart_54_opts" hidden="1">"1, 2, 1, False, 2, False, False, , 0, False, False, 2, 1"</definedName>
    <definedName name="cb_Chart_5449_opts" hidden="1">"1, 1, 1, False, 2, False, False, , 0, False, False, 1, 1"</definedName>
    <definedName name="cb_Chart_55_opts" hidden="1">"1, 7, 1, False, 2, False, False, , 0, False, True, 2, 2"</definedName>
    <definedName name="cb_Chart_5723_opts" hidden="1">"1, 1, 1, False, 2, True, False, , 0, False, True, 1, 2"</definedName>
    <definedName name="cb_Chart_57613_opts" hidden="1">"1, 5, 1, False, 2, True, False, , 0, False, True, 2, 1"</definedName>
    <definedName name="cb_Chart_58046_opts" hidden="1">"1, 10, 1, False, 2, True, False, , 0, False, False, 2, 2"</definedName>
    <definedName name="cb_Chart_59010_opts" hidden="1">"1, 2, 1, False, 2, False, False, , 0, False, False, 2, 1"</definedName>
    <definedName name="cb_Chart_59340_opts" hidden="1">"1, 1, 1, False, 2, False, False, , 0, False, False, 1, 1"</definedName>
    <definedName name="cb_Chart_6" hidden="1">#REF!</definedName>
    <definedName name="cb_Chart_6_opts" hidden="1">"1, 10, 1, False, 2, True, False, , 0, False, False, 2, 2"</definedName>
    <definedName name="cb_Chart_62364_opts" hidden="1">"1, 1, 1, False, 2, True, False, , 0, False, False, 1, 2"</definedName>
    <definedName name="cb_Chart_64876_opts" hidden="1">"1, 1, 1, False, 2, True, False, , 0, False, False, 1, 2"</definedName>
    <definedName name="cb_Chart_66_opts" hidden="1">"1, 1, 1, False, 2, False, False, , 0, False, False, 1, 1"</definedName>
    <definedName name="cb_Chart_67711_opts" hidden="1">"1, 10, 1, False, 2, True, False, , 0, False, False, 2, 2"</definedName>
    <definedName name="cb_Chart_69605_opts" hidden="1">"1, 2, 1, False, 2, False, False, , 0, False, False, 2, 1"</definedName>
    <definedName name="cb_Chart_6Alt" hidden="1">#REF!</definedName>
    <definedName name="cb_Chart_7" hidden="1">#REF!</definedName>
    <definedName name="cb_Chart_7_opts" hidden="1">"2, 1, 2, True, 2, False, False, , 0, False, True, 1, 2"</definedName>
    <definedName name="cb_Chart_70_opts" hidden="1">"1, 10, 1, False, 2, True, False, , 0, False, False, 1, 1"</definedName>
    <definedName name="cb_Chart_70648_opts" hidden="1">"1, 1, 1, False, 2, True, False, , 0, False, False, 2, 2"</definedName>
    <definedName name="cb_Chart_70997_opts" hidden="1">"1, 10, 1, False, 2, False, False, , 0, False, False, 1, 1"</definedName>
    <definedName name="cb_Chart_71_opts" hidden="1">"1, 10, 1, False, 2, False, False, , 0, False, False, 1, 1"</definedName>
    <definedName name="cb_Chart_72_opts" hidden="1">"1, 10, 1, False, 2, True, False, , 0, False, False, 1, 1"</definedName>
    <definedName name="cb_Chart_73_opts" hidden="1">"1, 10, 1, False, 2, False, False, , 0, False, False, 1, 1"</definedName>
    <definedName name="cb_Chart_76165_opts" hidden="1">"1, 10, 1, False, 2, True, False, , 0, False, False, 2, 2"</definedName>
    <definedName name="cb_Chart_76804_opts" hidden="1">"1, 1, 1, False, 2, False, False, , 0, False, False, 1, 1"</definedName>
    <definedName name="cb_Chart_77567_opts" hidden="1">"1, 10, 1, False, 2, False, False, , 0, False, False, 1, 1"</definedName>
    <definedName name="cb_Chart_79140_opts" hidden="1">"1, 10, 1, False, 2, True, False, , 0, False, False, 2, 2"</definedName>
    <definedName name="cb_Chart_79981_opts" hidden="1">"1, 5, 1, False, 2, True, False, , 0, True, False, 2, 1"</definedName>
    <definedName name="cb_Chart_7Alt" hidden="1">#REF!</definedName>
    <definedName name="cb_Chart_8_opts" hidden="1">"1, 7, 1, False, 2, False, False, , 0, False, True, 2, 2"</definedName>
    <definedName name="cb_Chart_81541_opts" hidden="1">"1, 10, 1, False, 2, True, False, , 0, False, False, 2, 2"</definedName>
    <definedName name="cb_Chart_82552_opts" hidden="1">"1, 1, 1, False, 2, True, False, , 0, False, False, 1, 2"</definedName>
    <definedName name="cb_Chart_83072_opts" hidden="1">"1, 1, 1, False, 2, True, False, , 0, False, False, 1, 2"</definedName>
    <definedName name="cb_Chart_86354_opts" hidden="1">"1, 10, 1, False, 2, False, False, , 0, False, False, 1, 1"</definedName>
    <definedName name="cb_Chart_87236_opts" hidden="1">"1, 1, 1, False, 2, True, False, , 0, False, False, 1, 2"</definedName>
    <definedName name="cb_Chart_9_opts" hidden="1">"1, 8, 1, False, 2, False, False, , 0, False, False, 1, 1"</definedName>
    <definedName name="cb_Chart_91188_opts" hidden="1">"1, 8, 1, False, 2, False, False, , 0, False, False, 1, 2"</definedName>
    <definedName name="cb_Chart_95047_opts" hidden="1">"1, 1, 1, False, 2, False, False, , 0, False, False, 1, 2"</definedName>
    <definedName name="cb_Chart_96286_opts" hidden="1">"1, 10, 1, False, 2, True, False, , 0, False, False, 2, 2"</definedName>
    <definedName name="cb_Chart_98091_opts" hidden="1">"1, 2, 1, False, 2, False, False, , 0, False, False, 2, 1"</definedName>
    <definedName name="cb_Chart_98700_opts" hidden="1">"1, 8, 1, False, 2, False, False, , 0, False, False, 1, 2"</definedName>
    <definedName name="cb_Copy_Chart_w_New_DataChart_10_opts" hidden="1">"2, 1, 1, True, 4, False, False, , 0, False, False, 2, 2"</definedName>
    <definedName name="cb_Copy_Chart_w_New_DataChart_7_opts" hidden="1">"2, 1, 1, True, 4, False, False, , 0, False, False, 2, 2"</definedName>
    <definedName name="cb_Copy_Chart_w_New_DataChart_8_opts" hidden="1">"2, 1, 1, True, 4, False, False, , 0, False, False, 2, 2"</definedName>
    <definedName name="cb_Copy_Chart_w_New_DataChart_9_opts" hidden="1">"2, 1, 1, True, 4, False, False, , 0, False, False, 2, 2"</definedName>
    <definedName name="cb_Dimension_Pie_ChartsChart_1_opts" hidden="1">"1, 1, 1, False, 2, True, False, , 0, False, False, 2, 2"</definedName>
    <definedName name="cb_Dimension_Pie_ChartsChart_2_opts" hidden="1">"1, 10, 1, False, 2, True, False, , 0, False, False, 2, 2"</definedName>
    <definedName name="cb_Export_LegendChart_14_opts" hidden="1">"1, 10, 1, False, 2, True, False, , 0, False, False, 2, 2"</definedName>
    <definedName name="cb_Export_LegendChart_15_opts" hidden="1">"1, 10, 1, False, 2, True, False, , 0, False, False, 2, 2"</definedName>
    <definedName name="cb_PieChart_16_opts" hidden="1">"1, 10, 1, False, 2, True, False, , 0, False, False, 2, 2"</definedName>
    <definedName name="cb_sChart_1501_opts" hidden="1">"1, 1, 1, False, 2, True, False, , 0, False, False, 1, 2"</definedName>
    <definedName name="cb_sChart_26476_opts" hidden="1">"1, 4, 1, False, 2, True, False, , 0, False, False, 1, 2"</definedName>
    <definedName name="cb_sChart_28031_opts" hidden="1">"1, 4, 1, False, 2, True, False, , 0, False, False, 1, 1"</definedName>
    <definedName name="cb_sChart_29053_opts" hidden="1">"1, 2, 1, False, 2, False, False, , 0, False, False, 2, 1"</definedName>
    <definedName name="cb_sChart_29913_opts" hidden="1">"1, 3, 1, False, 2, False, False, , 0, False, True, 2, 2"</definedName>
    <definedName name="cb_sChart_30292_opts" hidden="1">"1, 1, 1, False, 2, True, False, , 0, False, False, 1, 2"</definedName>
    <definedName name="cb_sChart_36498_opts" hidden="1">"1, 3, 1, False, 2, False, False, , 0, False, False, 1, 2"</definedName>
    <definedName name="cb_sChart_37450_opts" hidden="1">"1, 5, 1, False, 2, True, False, , 0, False, True, 2, 1"</definedName>
    <definedName name="cb_sChart_41499_opts" hidden="1">"1, 2, 1, False, 2, False, False, , 0, False, False, 2, 1"</definedName>
    <definedName name="cb_sChart_4634_opts" hidden="1">"1, 2, 1, False, 2, False, False, , 0, False, False, 2, 1"</definedName>
    <definedName name="cb_sChart_46965_opts" hidden="1">"1, 1, 1, False, 2, False, False, , 0, False, False, 1, 1"</definedName>
    <definedName name="cb_sChart_52582_opts" hidden="1">"1, 5, 1, False, 2, False, False, , 0, False, True, 1, 2"</definedName>
    <definedName name="cb_sChart_53437_opts" hidden="1">"1, 9, 1, False, 2, False, False, , 0, False, True, 2, 2"</definedName>
    <definedName name="cb_sChart_5449_opts" hidden="1">"1, 3, 1, False, 2, False, False, , 0, False, True, 2, 2"</definedName>
    <definedName name="cb_sChart_5723_opts" hidden="1">"1, 3, 1, False, 2, False, False, , 0, False, True, 2, 2"</definedName>
    <definedName name="cb_sChart_58046_opts" hidden="1">"1, 9, 1, False, 2, False, False, , 0, False, True, 2, 2"</definedName>
    <definedName name="cb_sChart_59010_opts" hidden="1">"1, 5, 1, False, 2, True, False, , 0, False, False, 2, 1"</definedName>
    <definedName name="cb_sChart_59340_opts" hidden="1">"1, 3, 1, False, 2, False, False, , 0, False, True, 2, 2"</definedName>
    <definedName name="cb_sChart_62364_opts" hidden="1">"1, 3, 1, False, 2, False, False, , 0, False, True, 2, 2"</definedName>
    <definedName name="cb_sChart_64876_opts" hidden="1">"1, 5, 1, False, 2, True, False, , 0, False, False, 2, 2"</definedName>
    <definedName name="cb_sChart_70648_opts" hidden="1">"1, 8, 1, False, 2, False, False, , 0, False, False, 2, 2"</definedName>
    <definedName name="cb_sChart_70997_opts" hidden="1">"1, 2, 1, False, 2, False, False, , 0, False, False, 2, 1"</definedName>
    <definedName name="cb_sChart_76165_opts" hidden="1">"1, 2, 1, False, 2, False, False, , 0, False, False, 2, 1"</definedName>
    <definedName name="cb_sChart_76804_opts" hidden="1">"1, 3, 1, False, 2, False, False, , 0, False, True, 2, 2"</definedName>
    <definedName name="cb_sChart_77567_opts" hidden="1">"1, 1, 1, False, 2, True, False, , 0, False, False, 1, 2"</definedName>
    <definedName name="cb_sChart_79140_opts" hidden="1">"1, 5, 1, False, 2, False, False, , 0, False, True, 2, 1"</definedName>
    <definedName name="cb_sChart_81541_opts" hidden="1">"1, 2, 1, False, 2, False, False, , 0, False, False, 2, 1"</definedName>
    <definedName name="cb_sChart_82552_opts" hidden="1">"1, 4, 1, False, 2, True, False, , 0, False, False, 2, 1"</definedName>
    <definedName name="cb_sChart_83072_opts" hidden="1">"1, 4, 1, False, 2, True, False, , 0, False, False, 2, 1"</definedName>
    <definedName name="cb_sChart_86354_opts" hidden="1">"1, 4, 1, False, 2, True, False, , 0, False, False, 1, 1"</definedName>
    <definedName name="cb_sChart_87236_opts" hidden="1">"1, 1, 1, False, 2, False, False, , 0, False, False, 1, 1"</definedName>
    <definedName name="cb_sChart_95047_opts" hidden="1">"1, 6, 1, False, 2, False, False, , 0, False, True, 2, 2"</definedName>
    <definedName name="cb_sChart_96286_opts" hidden="1">"1, 2, 1, False, 2, False, False, , 0, False, False, 2, 1"</definedName>
    <definedName name="cb_sChart105F0196_opts" hidden="1">"1, 2, 1, False, 2, False, False, , 1, False, False, 2, 1"</definedName>
    <definedName name="cb_sChart12D83A2_opts" hidden="1">"1, 1, 1, False, 2, False, False, , 0, False, True, 2, 2"</definedName>
    <definedName name="cb_sChart12D852C_opts" hidden="1">"1, 1, 1, False, 2, False, False, , 0, False, True, 2, 2"</definedName>
    <definedName name="cb_sChart12D89EB_opts" hidden="1">"1, 1, 1, False, 2, False, False, , 0, False, True, 2, 2"</definedName>
    <definedName name="cb_sChart12DAD51_opts" hidden="1">"1, 1, 1, False, 2, False, False, , 0, False, True, 2, 2"</definedName>
    <definedName name="cb_sChart12E7B7B_opts" hidden="1">"1, 1, 1, False, 2, True, False, , 0, False, True, 2, 2"</definedName>
    <definedName name="cb_sChart12E83C1_opts" hidden="1">"1, 1, 1, False, 2, False, False, , 0, False, True, 2, 1"</definedName>
    <definedName name="cb_sChart12E85B3_opts" hidden="1">"1, 1, 1, False, 2, False, False, , 0, False, True, 2, 2"</definedName>
    <definedName name="cb_sChart12E8C9E_opts" hidden="1">"1, 2, 1, False, 2, False, False, , 0, False, False, 2, 1"</definedName>
    <definedName name="cb_sChart12EA8E0_opts" hidden="1">"1, 1, 1, False, 2, True, False, , 0, False, False, 2, 2"</definedName>
    <definedName name="cb_sChart12EB078_opts" hidden="1">"1, 1, 1, False, 2, False, False, , 0, False, False, 2, 2"</definedName>
    <definedName name="cb_sChart12EBD15_opts" hidden="1">"1, 1, 1, False, 2, False, False, , 0, False, False, 2, 2"</definedName>
    <definedName name="cb_sChart12FE48A_opts" hidden="1">"1, 2, 1, False, 2, False, False, , 0, False, False, 2, 1"</definedName>
    <definedName name="cb_sChart12FE9EB_opts" hidden="1">"1, 1, 1, False, 2, False, False, , 0, False, False, 1, 2"</definedName>
    <definedName name="cb_sChart12FEDFD_opts" hidden="1">"1, 1, 1, False, 2, False, False, , 0, False, False, 1, 2"</definedName>
    <definedName name="cb_sChart12FF231_opts" hidden="1">"1, 1, 1, False, 2, False, False, , 0, False, False, 1, 2"</definedName>
    <definedName name="cb_sChart12FF8BF_opts" hidden="1">"1, 1, 1, False, 2, False, False, , 0, False, False, 1, 2"</definedName>
    <definedName name="cb_sChart12FF933_opts" hidden="1">"1, 3, 1, False, 2, False, False, , 0, False, False, 1, 2"</definedName>
    <definedName name="cb_sChart12FFC46_opts" hidden="1">"1, 1, 1, False, 2, False, False, , 0, False, False, 1, 2"</definedName>
    <definedName name="cb_sChart181DCCD8_opts" hidden="1">"1, 9, 1, False, 2, False, False, , 0, False, True, 1, 2"</definedName>
    <definedName name="cb_sChart181DCFF7_opts" hidden="1">"1, 3, 1, False, 2, True, False, , 0, True, True, 2, 1"</definedName>
    <definedName name="cb_sChart181DDD93_opts" hidden="1">"1, 3, 1, False, 2, True, False, , 0, True, True, 2, 1"</definedName>
    <definedName name="cb_sChart181DDEEE_opts" hidden="1">"1, 3, 1, False, 2, True, False, , 0, True, True, 2, 1"</definedName>
    <definedName name="cb_sChart181DE1C7_opts" hidden="1">"1, 10, 1, False, 2, True, False, , 0, False, True, 2, 1"</definedName>
    <definedName name="cb_sChart181E8791_opts" hidden="1">"2, 1, 2, True, 2, True, False, , 0, False, True, 1, 2"</definedName>
    <definedName name="cb_sChart181E96D9_opts" hidden="1">"1, 9, 1, False, 2, False, False, , 0, False, True, 1, 2"</definedName>
    <definedName name="cb_sChart1B7AB11_opts" hidden="1">"1, 7, 1, False, 2, False, False, , 0, False, True, 1, 1"</definedName>
    <definedName name="cb_sChart1B7ECF0_opts" hidden="1">"1, 9, 1, False, 2, False, False, , 0, False, False, 1, 1"</definedName>
    <definedName name="cb_sChart1B8AF1F_opts" hidden="1">"1, 9, 1, False, 2, False, True, , 0, False, False, 1, 1"</definedName>
    <definedName name="cb_sChart1B99DE1_opts" hidden="1">"1, 7, 1, False, 2, False, False, , 0, False, True, 1, 2"</definedName>
    <definedName name="cb_sChart1BA8AA_opts" hidden="1">"1, 1, 1, False, 2, False, False, , 0, False, False, 1, 2"</definedName>
    <definedName name="cb_sChart1BADD1_opts" hidden="1">"1, 1, 1, False, 2, False, False, , 0, False, False, 2, 2"</definedName>
    <definedName name="cb_sChart1CAAAF_opts" hidden="1">"1, 1, 1, False, 2, False, False, , 0, False, False, 3, 2"</definedName>
    <definedName name="cb_sChart1D05BD_opts" hidden="1">"1, 4, 1, False, 2, True, False, , 0, False, False, 2, 1"</definedName>
    <definedName name="cb_sChart1D0E49_opts" hidden="1">"1, 1, 1, False, 2, True, False, , 0, False, True, 2, 1"</definedName>
    <definedName name="cb_sChart1D0EF7_opts" hidden="1">"1, 5, 1, False, 2, True, False, , 0, False, True, 2, 1"</definedName>
    <definedName name="cb_sChart1D3AE8_opts" hidden="1">"1, 6, 1, False, 2, False, False, , 0, False, True, 2, 2"</definedName>
    <definedName name="cb_sChart1D3EEF_opts" hidden="1">"1, 7, 1, False, 2, False, False, , 0, False, True, 2, 2"</definedName>
    <definedName name="cb_sChart1D41EA_opts" hidden="1">"1, 8, 1, False, 2, False, False, , 0, False, False, 2, 2"</definedName>
    <definedName name="cb_sChart1D5891_opts" hidden="1">"1, 9, 1, False, 2, False, False, , 0, False, True, 2, 2"</definedName>
    <definedName name="cb_sChart1D9CE2_opts" hidden="1">"1, 10, 1, False, 2, True, False, , 0, False, False, 2, 2"</definedName>
    <definedName name="cb_sChart1DA03A_opts" hidden="1">"2, 1, 1, True, 3, False, False, , 0, False, True, 1, 2"</definedName>
    <definedName name="cb_sChart1DA590_opts" hidden="1">"2, 1, 1, True, 3, False, False, , 0, False, True, 2, 2"</definedName>
    <definedName name="cb_sChart1DBAAD_opts" hidden="1">"2, 1, 2, True, 2, False, False, , 0, False, True, 1, 2"</definedName>
    <definedName name="cb_sChart1DBB89_opts" hidden="1">"2, 1, 2, True, 2, False, False, , 0, False, True, 1, 1"</definedName>
    <definedName name="cb_sChart1DCA97_opts" hidden="1">"2, 1, 1, True, 2, False, False, , 0, False, True, 2, 1"</definedName>
    <definedName name="cb_sChart1DCCF1_opts" hidden="1">"2, 1, 1, True, 2, False, False, , 0, False, True, 1, 2"</definedName>
    <definedName name="cb_sChart1E1206_opts" hidden="1">"2, 1, 3, False, 2, False, False, , 0, False, True, 2, 2"</definedName>
    <definedName name="cb_sChart1E17F2_opts" hidden="1">"1, 9, 1, False, 2, False, False, , 0, False, True, 1, 1"</definedName>
    <definedName name="cb_sChart1E2D49_opts" hidden="1">"1, 10, 1, False, 2, True, False, , 0, False, False, 3, 2"</definedName>
    <definedName name="cb_sChart1E2DEB_opts" hidden="1">"1, 10, 1, False, 2, True, False, , 0, False, False, 2, 2"</definedName>
    <definedName name="cb_sChart1E3944_opts" hidden="1">"1, 10, 1, False, 2, True, False, , 0, False, False, 2, 2"</definedName>
    <definedName name="cb_sChart1E3BE4_opts" hidden="1">"1, 10, 1, False, 2, True, False, , 0, False, False, 2, 2"</definedName>
    <definedName name="cb_sChart1E3E3D_opts" hidden="1">"1, 10, 1, False, 2, True, False, , 0, False, False, 1, 2"</definedName>
    <definedName name="cb_sChart1E4314_opts" hidden="1">"1, 10, 1, False, 2, True, False, , 0, False, False, 2, 2"</definedName>
    <definedName name="cb_sChart1E4E56_opts" hidden="1">"1, 1, 1, False, 2, False, False, , 0, False, False, 2, 2"</definedName>
    <definedName name="cb_sChart1E5372_opts" hidden="1">"1, 1, 1, False, 2, True, False, , 0, False, True, 2, 2"</definedName>
    <definedName name="cb_sChart1E5975_opts" hidden="1">"2, 1, 2, True, 2, False, False, , 0, False, True, 1, 2"</definedName>
    <definedName name="cb_sChart1E5C43_opts" hidden="1">"2, 1, 2, True, 2, False, False, , 0, False, True, 2, 2"</definedName>
    <definedName name="cb_sChart1E5F4A_opts" hidden="1">"2, 1, 2, True, 2, False, False, , 0, False, True, 1, 2"</definedName>
    <definedName name="cb_sChart23F891A_opts" hidden="1">"1, 9, 1, False, 2, False, False, , 0, False, True, 1, 1"</definedName>
    <definedName name="cb_sChart24ED245_opts" hidden="1">"1, 9, 1, False, 2, False, False, , 0, False, True, 1, 1"</definedName>
    <definedName name="cb_sChart24ED930_opts" hidden="1">"1, 9, 1, False, 2, False, False, , 0, False, False, 1, 1"</definedName>
    <definedName name="cb_sChart26CA498_opts" hidden="1">"1, 9, 1, False, 2, False, False, , 0, False, False, 1, 1"</definedName>
    <definedName name="cb_sChart27D31D5_opts" hidden="1">"1, 9, 1, False, 2, False, False, , 0, False, True, 1, 1"</definedName>
    <definedName name="cb_sChart27D3990_opts" hidden="1">"1, 9, 1, False, 2, False, False, , 0, False, True, 1, 1"</definedName>
    <definedName name="cb_sChart2A64D8F_opts" hidden="1">"1, 8, 1, False, 2, False, False, , 0, False, True, 1, 1"</definedName>
    <definedName name="cb_sChart2A65748_opts" hidden="1">"1, 8, 1, False, 2, False, False, , 0, False, True, 1, 1"</definedName>
    <definedName name="cb_sChart2A667D4_opts" hidden="1">"1, 8, 1, False, 2, False, False, , 0, False, True, 1, 1"</definedName>
    <definedName name="cb_sChart2A66D9D_opts" hidden="1">"1, 8, 1, False, 2, False, False, , 0, False, True, 1, 1"</definedName>
    <definedName name="cb_sChart2A67124_opts" hidden="1">"2, 1, 3, False, 2, False, False, , 0, False, True, 1, 1"</definedName>
    <definedName name="cb_sChart2A673A1_opts" hidden="1">"1, 8, 1, False, 2, False, False, , 0, False, True, 1, 1"</definedName>
    <definedName name="cb_sChart2A67A0C_opts" hidden="1">"1, 8, 1, False, 2, False, False, , 0, False, True, 1, 1"</definedName>
    <definedName name="cb_sChart2A68670_opts" hidden="1">"1, 8, 1, False, 2, False, False, , 0, False, True, 1, 1"</definedName>
    <definedName name="cb_sChart2A6C43D_opts" hidden="1">"1, 9, 1, False, 2, False, False, , 0, False, True, 1, 1"</definedName>
    <definedName name="cb_sChart2A74E8A_opts" hidden="1">"1, 9, 1, False, 2, False, False, , 0, False, True, 1, 1"</definedName>
    <definedName name="cb_sChart2A76BA8_opts" hidden="1">"1, 9, 1, False, 2, False, False, , 0, False, True, 1, 1"</definedName>
    <definedName name="cb_sChart2D6F93B_opts" hidden="1">"1, 9, 1, False, 2, False, False, , 0, False, True, 1, 1"</definedName>
    <definedName name="cb_sChart2D714FE_opts" hidden="1">"1, 9, 1, False, 2, False, False, , 0, False, True, 1, 2"</definedName>
    <definedName name="cb_sChart2D737E5_opts" hidden="1">"1, 9, 1, False, 2, False, False, , 0, False, False, 1, 2"</definedName>
    <definedName name="cb_sChart2D73A28_opts" hidden="1">"1, 9, 1, False, 2, False, False, , 0, False, True, 1, 1"</definedName>
    <definedName name="cb_sChart2D759D9_opts" hidden="1">"1, 10, 1, False, 2, False, False, , 0, False, False, 1, 2"</definedName>
    <definedName name="cb_sChart2D76823_opts" hidden="1">"1, 9, 1, False, 2, False, False, , 0, False, True, 1, 2"</definedName>
    <definedName name="cb_sChart2D76BFA_opts" hidden="1">"1, 9, 1, False, 2, False, False, , 0, False, True, 1, 2"</definedName>
    <definedName name="cb_sChart2D9FB96_opts" hidden="1">"1, 9, 1, False, 2, False, False, , 0, False, True, 1, 2"</definedName>
    <definedName name="cb_sChart2D9FE6F_opts" hidden="1">"1, 9, 1, False, 2, False, False, , 0, False, True, 1, 2"</definedName>
    <definedName name="cb_sChart2DA6F48_opts" hidden="1">"1, 9, 1, False, 2, False, False, , 0, False, True, 1, 2"</definedName>
    <definedName name="cb_sChart2DAB5B8_opts" hidden="1">"1, 7, 1, False, 2, False, False, , 0, False, True, 1, 1"</definedName>
    <definedName name="cb_sChart2DAC2D5_opts" hidden="1">"1, 7, 1, False, 2, False, False, , 0, False, True, 1, 1"</definedName>
    <definedName name="cb_sChart2DADDDE_opts" hidden="1">"1, 7, 1, False, 2, False, False, , 0, False, False, 1, 1"</definedName>
    <definedName name="cb_sChart2DADE5D_opts" hidden="1">"1, 7, 1, False, 2, False, False, , 0, False, True, 1, 1"</definedName>
    <definedName name="cb_sChart2DAF358_opts" hidden="1">"1, 7, 1, False, 2, False, False, , 0, False, True, 1, 1"</definedName>
    <definedName name="cb_sChart2DB05D6_opts" hidden="1">"1, 7, 1, False, 2, False, False, , 0, False, True, 1, 1"</definedName>
    <definedName name="cb_sChart2DBCB46_opts" hidden="1">"1, 7, 1, False, 2, False, False, , 0, False, True, 1, 1"</definedName>
    <definedName name="cb_sChart2E6278B_opts" hidden="1">"1, 9, 1, False, 2, False, False, , 0, False, True, 1, 1"</definedName>
    <definedName name="cb_sChart2EB0678_opts" hidden="1">"1, 1, 1, False, 2, True, False, , 0, False, True, 2, 2"</definedName>
    <definedName name="cb_sChart2F3EBCE_opts" hidden="1">"2, 1, 1, False, 2, False, False, , 0, False, True, 2, 2"</definedName>
    <definedName name="cb_sChart2F3F63F_opts" hidden="1">"1, 5, 1, False, 2, True, False, , 0, False, False, 1, 1"</definedName>
    <definedName name="cb_sChart2F3F90D_opts" hidden="1">"1, 5, 1, False, 2, True, False, , 0, False, False, 2, 2"</definedName>
    <definedName name="cb_sChart2F46DBE_opts" hidden="1">"2, 1, 1, True, 2, False, False, , 0, False, True, 1, 2"</definedName>
    <definedName name="cb_sChart2F470D1_opts" hidden="1">"2, 1, 1, False, 2, True, False, , 0, False, True, 1, 2"</definedName>
    <definedName name="cb_sChart2F4952A_opts" hidden="1">"1, 5, 1, False, 2, False, False, , 0, False, False, 1, 1"</definedName>
    <definedName name="cb_sChart2F49CDA_opts" hidden="1">"1, 5, 1, False, 2, False, False, , 0, False, False, 1, 1"</definedName>
    <definedName name="cb_sChart2F4A3D0_opts" hidden="1">"1, 5, 1, False, 2, False, False, , 0, False, False, 1, 1"</definedName>
    <definedName name="cb_sChart2F4A9B1_opts" hidden="1">"1, 5, 1, False, 2, False, False, , 0, False, False, 1, 1"</definedName>
    <definedName name="cb_sChart2F65E86_opts" hidden="1">"1, 1, 1, False, 2, True, False, , 0, False, False, 2, 2"</definedName>
    <definedName name="cb_sChart2F6A8C2_opts" hidden="1">"1, 1, 1, False, 2, True, False, , 0, False, False, 1, 2"</definedName>
    <definedName name="cb_sChart2F6AAB4_opts" hidden="1">"1, 1, 1, False, 2, True, False, , 0, False, True, 1, 2"</definedName>
    <definedName name="cb_sChart2F6B601_opts" hidden="1">"1, 1, 1, False, 2, False, False, , 0, False, False, 1, 1"</definedName>
    <definedName name="cb_sChart2F730C1_opts" hidden="1">"1, 4, 1, False, 2, False, False, , 0, False, False, 1, 1"</definedName>
    <definedName name="cb_sChart2FA9A3C_opts" hidden="1">"1, 3, 1, False, 2, False, False, , 0, False, True, 1, 2"</definedName>
    <definedName name="cb_sChart2FA9CC4_opts" hidden="1">"1, 3, 1, False, 2, False, False, , 0, False, True, 1, 2"</definedName>
    <definedName name="cb_sChart33FC2FF_opts" hidden="1">"1, 5, 1, False, 2, False, False, , 0, False, False, 1, 2"</definedName>
    <definedName name="cb_sChart33FC8D4_opts" hidden="1">"1, 5, 1, False, 2, False, False, , 0, False, False, 1, 2"</definedName>
    <definedName name="cb_sChart33FE8BF_opts" hidden="1">"1, 5, 1, False, 2, False, False, , 0, False, False, 1, 2"</definedName>
    <definedName name="cb_sChart34010F1_opts" hidden="1">"1, 5, 1, False, 2, False, False, , 0, False, False, 1, 2"</definedName>
    <definedName name="cb_sChart3401AFA_opts" hidden="1">"1, 5, 1, False, 2, False, False, , 0, False, False, 1, 2"</definedName>
    <definedName name="cb_sChart3409186_opts" hidden="1">"1, 5, 1, False, 2, False, False, , 0, False, False, 1, 2"</definedName>
    <definedName name="cb_sChart340A263_opts" hidden="1">"1, 5, 1, False, 2, False, False, , 0, False, False, 1, 1"</definedName>
    <definedName name="cb_sChart340F629_opts" hidden="1">"1, 8, 1, False, 2, False, False, , 0, False, False, 1, 2"</definedName>
    <definedName name="cb_sChart340FD14_opts" hidden="1">"1, 8, 1, False, 2, False, False, , 0, False, False, 1, 2"</definedName>
    <definedName name="cb_sChart34107E2_opts" hidden="1">"1, 8, 1, False, 2, False, False, , 0, False, False, 1, 1"</definedName>
    <definedName name="cb_sChart3434ED7_opts" hidden="1">"1, 5, 1, False, 2, False, False, , 0, False, False, 1, 2"</definedName>
    <definedName name="cb_sChart343DEED_opts" hidden="1">"2, 1, 2, True, 2, False, False, , 0, False, True, 1, 2"</definedName>
    <definedName name="cb_sChart344EE9A_opts" hidden="1">"1, 9, 1, False, 2, False, False, , 0, False, True, 1, 1"</definedName>
    <definedName name="cb_sChart344F24F_opts" hidden="1">"1, 9, 1, False, 2, False, False, , 0, False, True, 1, 2"</definedName>
    <definedName name="cb_sChart3450777_opts" hidden="1">"1, 9, 1, False, 2, False, True, 13, 2, False, False, 1, 1"</definedName>
    <definedName name="cb_sChart3450E85_opts" hidden="1">"1, 9, 1, False, 2, False, False, , 0, False, True, 1, 2"</definedName>
    <definedName name="cb_sChart3452C22_opts" hidden="1">"1, 3, 1, False, 2, False, False, , 0, False, True, 1, 2"</definedName>
    <definedName name="cb_sChart345311B_opts" hidden="1">"1, 3, 1, False, 2, False, False, , 0, False, True, 1, 2"</definedName>
    <definedName name="cb_sChart3453B0D_opts" hidden="1">"2, 1, 1, True, 2, False, False, , 0, False, True, 1, 2"</definedName>
    <definedName name="cb_sChart34647CA_opts" hidden="1">"1, 8, 1, False, 2, False, False, , 0, False, False, 2, 2"</definedName>
    <definedName name="cb_sChart346520D_opts" hidden="1">"1, 8, 1, False, 2, False, False, , 0, False, False, 1, 2"</definedName>
    <definedName name="cb_sChart34654DB_opts" hidden="1">"1, 8, 1, False, 2, False, False, , 0, False, False, 1, 2"</definedName>
    <definedName name="cb_sChart346953C_opts" hidden="1">"2, 1, 1, False, 2, False, False, , 0, False, False, 2, 2"</definedName>
    <definedName name="cb_sChart346A27B_opts" hidden="1">"1, 3, 1, False, 2, False, False, , 0, False, True, 2, 2"</definedName>
    <definedName name="cb_sChart347102A_opts" hidden="1">"2, 1, 1, False, 2, False, False, , 0, False, True, 2, 2"</definedName>
    <definedName name="cb_sChart34E448E_opts" hidden="1">"1, 1, 1, False, 2, False, False, , 0, False, False, 1, 1"</definedName>
    <definedName name="cb_sChart34F5376_opts" hidden="1">"2, 1, 2, True, 2, False, False, , 0, False, True, 1, 2"</definedName>
    <definedName name="cb_sChart34F577C_opts" hidden="1">"2, 1, 2, True, 2, False, False, , 0, False, True, 1, 2"</definedName>
    <definedName name="cb_sChart34F5A05_opts" hidden="1">"2, 1, 2, True, 2, False, False, , 0, False, True, 1, 2"</definedName>
    <definedName name="cb_sChart34F5F2C_opts" hidden="1">"2, 1, 2, True, 2, False, False, , 0, False, True, 1, 2"</definedName>
    <definedName name="cb_sChart34F92FC_opts" hidden="1">"1, 1, 1, False, 2, True, False, , 0, False, False, 1, 2"</definedName>
    <definedName name="cb_sChart34F9B08_opts" hidden="1">"1, 4, 1, False, 2, False, False, , 0, False, False, 1, 1"</definedName>
    <definedName name="cb_sChart34FAEB3_opts" hidden="1">"1, 3, 1, False, 2, False, False, , 0, False, True, 1, 1"</definedName>
    <definedName name="cb_sChart34FB053_opts" hidden="1">"1, 3, 1, False, 2, True, False, , 0, False, False, 1, 1"</definedName>
    <definedName name="cb_sChart352F02B_opts" hidden="1">"1, 5, 1, False, 2, True, False, , 0, False, False, 1, 2"</definedName>
    <definedName name="cb_sChart3532FF6_opts" hidden="1">"2, 1, 1, False, 2, False, False, , 0, False, True, 1, 2"</definedName>
    <definedName name="cb_sChart355BCAD_opts" hidden="1">"2, 1, 1, False, 2, False, False, , 0, False, True, 1, 2"</definedName>
    <definedName name="cb_sChart35FF6A2_opts" hidden="1">"1, 8, 1, False, 2, False, False, , 0, False, False, 1, 2"</definedName>
    <definedName name="cb_sChart3624091_opts" hidden="1">"1, 8, 1, False, 2, False, False, , 0, False, False, 1, 2"</definedName>
    <definedName name="cb_sChart36406CE_opts" hidden="1">"1, 3, 1, False, 2, True, False, , 0, False, True, 1, 1"</definedName>
    <definedName name="cb_sChart3AB73A1_opts" hidden="1">"2, 1, 1, False, 2, True, False, , 0, False, True, 2, 2"</definedName>
    <definedName name="cb_sChart3ABAD51_opts" hidden="1">"1, 5, 1, False, 2, True, False, , 0, False, False, 2, 2"</definedName>
    <definedName name="cb_sChart3AE4A4F_opts" hidden="1">"2, 1, 1, True, 2, False, False, , 0, False, True, 2, 2"</definedName>
    <definedName name="cb_sChart3AEA7B7_opts" hidden="1">"2, 1, 1, True, 2, False, False, , 0, False, True, 1, 1"</definedName>
    <definedName name="cb_sChart3AEAB83_opts" hidden="1">"2, 1, 1, True, 2, False, False, , 0, False, True, 2, 2"</definedName>
    <definedName name="cb_sChart3AF2834_opts" hidden="1">"1, 3, 1, False, 2, False, False, , 0, False, False, 2, 2"</definedName>
    <definedName name="cb_sChart3AF5310_opts" hidden="1">"1, 1, 1, False, 2, False, False, , 0, False, False, 1, 2"</definedName>
    <definedName name="cb_sChart3AF68AD_opts" hidden="1">"1, 1, 1, False, 2, False, False, , 0, False, False, 2, 2"</definedName>
    <definedName name="cb_sChart3AF71DA_opts" hidden="1">"1, 1, 1, False, 2, False, False, , 0, False, False, 1, 1"</definedName>
    <definedName name="cb_sChart3AF76D4_opts" hidden="1">"1, 1, 1, False, 2, False, False, , 0, False, False, 2, 2"</definedName>
    <definedName name="cb_sChart3AF8492_opts" hidden="1">"1, 1, 1, False, 2, False, False, , 0, False, False, 1, 1"</definedName>
    <definedName name="cb_sChart3AFF994_opts" hidden="1">"1, 1, 1, False, 2, False, False, , 0, False, False, 2, 2"</definedName>
    <definedName name="cb_sChart3B004D6_opts" hidden="1">"1, 1, 1, False, 2, False, False, , 0, False, False, 1, 1"</definedName>
    <definedName name="cb_sChart3B03C44_opts" hidden="1">"1, 1, 1, False, 2, False, False, , 0, False, False, 1, 1"</definedName>
    <definedName name="cb_sChart3B08D31_opts" hidden="1">"1, 8, 1, False, 2, False, False, , 0, False, False, 2, 2"</definedName>
    <definedName name="cb_sChart3B09A9F_opts" hidden="1">"1, 8, 1, False, 2, False, False, , 0, False, False, 2, 2"</definedName>
    <definedName name="cb_sChart3B09F8C_opts" hidden="1">"1, 8, 1, False, 2, False, False, , 0, False, False, 2, 2"</definedName>
    <definedName name="cb_sChart3B0ABD8_opts" hidden="1">"1, 8, 1, False, 2, False, False, , 0, False, False, 2, 2"</definedName>
    <definedName name="cb_sChart3B12357_opts" hidden="1">"1, 8, 1, False, 2, False, False, , 0, False, False, 2, 2"</definedName>
    <definedName name="cb_sChart3B12816_opts" hidden="1">"1, 8, 1, False, 2, False, False, , 0, False, False, 2, 2"</definedName>
    <definedName name="cb_sChart3B12D0F_opts" hidden="1">"1, 8, 1, False, 2, False, False, , 0, False, False, 2, 2"</definedName>
    <definedName name="cb_sChart3BA9EF5_opts" hidden="1">"1, 9, 1, False, 2, False, False, , 0, False, True, 1, 1"</definedName>
    <definedName name="cb_sChart3BAA0A1_opts" hidden="1">"1, 9, 1, False, 2, False, False, , 0, False, True, 1, 1"</definedName>
    <definedName name="cb_sChart3BAA29E_opts" hidden="1">"1, 9, 1, False, 2, False, False, , 0, False, True, 1, 1"</definedName>
    <definedName name="cb_sChart3BAACED_opts" hidden="1">"1, 9, 1, False, 2, False, False, , 0, False, True, 1, 1"</definedName>
    <definedName name="cb_sChart3BAD7A6_opts" hidden="1">"2, 1, 2, True, 2, False, False, , 0, False, True, 1, 2"</definedName>
    <definedName name="cb_sChart3BBD972_opts" hidden="1">"1, 1, 1, False, 2, False, False, , 0, False, False, 1, 1"</definedName>
    <definedName name="cb_sChart3BC0E91_opts" hidden="1">"2, 1, 1, False, 2, True, False, , 0, False, True, 1, 1"</definedName>
    <definedName name="cb_sChart3BFC30E_opts" hidden="1">"1, 4, 1, False, 2, False, False, , 0, False, False, 1, 1"</definedName>
    <definedName name="cb_sChart3BFD9FA_opts" hidden="1">"2, 1, 1, True, 2, False, False, , 0, False, True, 2, 2"</definedName>
    <definedName name="cb_sChart3BFEF23_opts" hidden="1">"1, 4, 1, False, 2, False, False, , 0, False, False, 1, 1"</definedName>
    <definedName name="cb_sChart3BFF2E3_opts" hidden="1">"1, 1, 1, False, 2, False, False, , 0, False, False, 1, 1"</definedName>
    <definedName name="cb_sChart463330_opts" hidden="1">"2, 1, 2, True, 2, False, False, , 0, False, True, 1, 2"</definedName>
    <definedName name="cb_sChart4665D3_opts" hidden="1">"1, 9, 1, False, 2, False, False, , 0, False, True, 2, 2"</definedName>
    <definedName name="cb_sChart4680DD_opts" hidden="1">"1, 10, 1, False, 2, True, False, , 0, False, False, 2, 2"</definedName>
    <definedName name="cb_sChart468801_opts" hidden="1">"1, 10, 1, False, 2, True, False, , 0, False, False, 2, 2"</definedName>
    <definedName name="cb_sChart46BC0B_opts" hidden="1">"2, 1, 2, True, 2, False, False, , 0, False, True, 1, 2"</definedName>
    <definedName name="cb_sChart4828C3_opts" hidden="1">"1, 1, 1, False, 2, False, False, , 0, False, False, 1, 2"</definedName>
    <definedName name="cb_sChart482D03_opts" hidden="1">"1, 1, 1, False, 2, False, False, , 0, False, False, 1, 2"</definedName>
    <definedName name="cb_sChart595EE0E_opts" hidden="1">"1, 9, 1, False, 2, False, True, , 3, False, True, 1, 1"</definedName>
    <definedName name="cb_sChart5D0C805_opts" hidden="1">"1, 4, 1, False, 2, False, False, , 0, False, False, 1, 1"</definedName>
    <definedName name="cb_sChart5D375C8_opts" hidden="1">"1, 9, 1, False, 2, False, False, , 0, False, True, 1, 1"</definedName>
    <definedName name="cb_sChart6A2ED7_opts" hidden="1">"1, 10, 1, False, 2, True, False, , 0, False, False, 1, 1"</definedName>
    <definedName name="cb_sChart6A6617_opts" hidden="1">"1, 10, 1, False, 2, True, False, , 0, False, False, 1, 1"</definedName>
    <definedName name="cb_sChart6A66F3_opts" hidden="1">"1, 10, 1, False, 2, True, False, , 0, False, False, 1, 1"</definedName>
    <definedName name="cb_sChart6A7DF6_opts" hidden="1">"1, 3, 1, False, 2, True, False, , 0, False, True, 2, 1"</definedName>
    <definedName name="cb_sChart74E984_opts" hidden="1">"1, 1, 1, False, 2, False, False, , 0, False, False, 2, 2"</definedName>
    <definedName name="cb_sChart8CD287E_opts" hidden="1">"1, 1, 1, False, 2, False, False, , 0, False, False, 1, 1"</definedName>
    <definedName name="cb_sChartD086F3E_opts" hidden="1">"1, 1, 1, False, 2, False, False, , 1, False, True, 2, 2"</definedName>
    <definedName name="cb_sChartD0876B3_opts" hidden="1">"2, 2, 2, True, 2, False, False, , 1, False, True, 2, 2"</definedName>
    <definedName name="cb_sChartEB337E1_opts" hidden="1">"1, 10, 1, False, 2, False, False, , 1, False, True, 2, 2"</definedName>
    <definedName name="cb_sChartEB33A80_opts" hidden="1">"1, 10, 1, False, 2, False, False, , 1, False, True, 2, 2"</definedName>
    <definedName name="cb_sChartEB33EA9_opts" hidden="1">"1, 10, 1, False, 2, False, False, , 1, False, True, 2, 2"</definedName>
    <definedName name="cb_sChartEB340BD_opts" hidden="1">"1, 10, 1, False, 2, False, False, , 1, False, True, 2, 2"</definedName>
    <definedName name="cb_sChartEB344DA_opts" hidden="1">"1, 10, 1, False, 2, False, False, , 1, False, False, 2, 2"</definedName>
    <definedName name="cb_sChartEB3479C_opts" hidden="1">"1, 1, 1, False, 2, False, False, , 1, False, True, 2, 1"</definedName>
    <definedName name="cb_sChartEB34833_opts" hidden="1">"1, 10, 1, False, 2, False, False, , 1, False, True, 2, 1"</definedName>
    <definedName name="cb_sChartEB34DCE_opts" hidden="1">"1, 10, 1, False, 2, False, False, , 1, False, True, 2, 1"</definedName>
    <definedName name="cb_sChartEB36CAF_opts" hidden="1">"1, 9, 1, False, 2, False, False, , 1, False, True, 1, 2"</definedName>
    <definedName name="cb_sChartEB38838_opts" hidden="1">"1, 9, 1, False, 2, False, False, , 1, False, True, 2, 2"</definedName>
    <definedName name="cb_sChartEB38E8C_opts" hidden="1">"1, 10, 1, False, 2, False, False, , 1, False, True, 2, 2"</definedName>
    <definedName name="cb_sChartEB3980B_opts" hidden="1">"1, 2, 1, False, 2, False, False, , 1, False, False, 2, 1"</definedName>
    <definedName name="cb_sChartEB39C1C_opts" hidden="1">"1, 2, 1, False, 2, False, False, , 1, False, False, 2, 1"</definedName>
    <definedName name="cb_sChartF0FF3D7_opts" hidden="1">"1, 8, 1, False, 2, False, False, , 1, False, True, 1, 2"</definedName>
    <definedName name="cb_sChartF1BF8C8_opts" hidden="1">"1, 8, 1, False, 2, False, False, , 1, False, True, 1, 2"</definedName>
    <definedName name="cb_sChartF1C057C_opts" hidden="1">"1, 2, 1, False, 2, False, False, , 1, False, False, 2, 1"</definedName>
    <definedName name="cb_sChartF1C0A0D_opts" hidden="1">"1, 8, 1, False, 2, False, False, , 1, False, True, 1, 1"</definedName>
    <definedName name="cb_sChartF1C9DF0_opts" hidden="1">"1, 8, 1, False, 2, False, False, , 1, False, True, 1, 2"</definedName>
    <definedName name="cb_sChartF1F24F5_opts" hidden="1">"1, 8, 1, False, 2, False, False, , 1, False, True, 1, 2"</definedName>
    <definedName name="cb_Size_by_height_and_widthChart_16_opts" hidden="1">"1, 4, 1, False, 2, False, False, , 0, False, False, 1, 1"</definedName>
    <definedName name="cb_Size_by_height_and_widthChart_7_opts" hidden="1">"1, 4, 1, False, 2, False, False, , 0, False, False, 1, 1"</definedName>
    <definedName name="cb_Size_by_height_and_widthChart_8_opts" hidden="1">"1, 4, 1, False, 2, False, False, , 0, False, False, 1, 1"</definedName>
    <definedName name="Ceiling_R_value">#REF!</definedName>
    <definedName name="Celcius" comment="Convert Fahrenheit to Celcius" localSheetId="1">_xlfn.LAMBDA(_xlpm.temp,5/9*(_xlpm.temp-32))</definedName>
    <definedName name="Celcius" comment="Convert Fahrenheit to Celcius" localSheetId="0">_xlfn.LAMBDA(_xlpm.temp,5/9*(_xlpm.temp-32))</definedName>
    <definedName name="Celcius" comment="Convert Fahrenheit to Celcius">_xlfn.LAMBDA(_xlpm.temp,5/9*(_xlpm.temp-32))</definedName>
    <definedName name="CellLock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" localSheetId="0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_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_" localSheetId="0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_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Data">'[2]Adv Cell Lock'!$B$87:$E$96</definedName>
    <definedName name="cf">'[3]Dynamic Named Ranges (2)'!$E$7:INDEX('[3]Dynamic Named Ranges (2)'!$E:$E,COUNTA('[3]Dynamic Named Ranges (2)'!$E:$E))</definedName>
    <definedName name="cf_dates">'[3]Dynamic Named Ranges (2)'!$C$7:INDEX('[3]Dynamic Named Ranges (2)'!$C:$C,COUNTA(!$C:$C))</definedName>
    <definedName name="cf_stream_1">'[3]Dynamic Named Ranges (2)'!$D$7:INDEX('[3]Dynamic Named Ranges (2)'!$D:$D,COUNTA('[3]Dynamic Named Ranges (2)'!$D:$D))</definedName>
    <definedName name="CF11\12\13">#REF!</definedName>
    <definedName name="Changes">#REF!</definedName>
    <definedName name="CIQWBGuid" hidden="1">"2cd8126d-26c3-430c-b7fa-a069e3a1fc62"</definedName>
    <definedName name="City">#REF!</definedName>
    <definedName name="CodeTitle">#REF!</definedName>
    <definedName name="COGS2004">[4]Sheet2!$C$6</definedName>
    <definedName name="ColMultiplier">'[5]Adv Cell Lock'!$B$120:$B$123</definedName>
    <definedName name="country_codes">#REF!</definedName>
    <definedName name="country_codes_2">#REF!</definedName>
    <definedName name="COVER">#REF!</definedName>
    <definedName name="Currency">[6]WELCOME!$W$37</definedName>
    <definedName name="d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d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d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data" localSheetId="1" hidden="1">{#N/A,#N/A,TRUE,"Sheet16"}</definedName>
    <definedName name="data" localSheetId="0" hidden="1">{#N/A,#N/A,TRUE,"Sheet16"}</definedName>
    <definedName name="data" hidden="1">{#N/A,#N/A,TRUE,"Sheet16"}</definedName>
    <definedName name="Data.Dump" localSheetId="2" hidden="1">OFFSET([0]!Data.Top.Left,1,0)</definedName>
    <definedName name="Data.Dump" localSheetId="1" hidden="1">OFFSET([0]!Data.Top.Left,1,0)</definedName>
    <definedName name="Data.Dump" localSheetId="0" hidden="1">OFFSET([0]!Data.Top.Left,1,0)</definedName>
    <definedName name="Data.Dump" hidden="1">OFFSET([0]!Data.Top.Left,1,0)</definedName>
    <definedName name="Data.Dump2" localSheetId="2" hidden="1">OFFSET([0]!Data.Top.Left,1,0)</definedName>
    <definedName name="Data.Dump2" localSheetId="1" hidden="1">OFFSET([0]!Data.Top.Left,1,0)</definedName>
    <definedName name="Data.Dump2" localSheetId="0" hidden="1">OFFSET([0]!Data.Top.Left,1,0)</definedName>
    <definedName name="Data.Dump2" hidden="1">OFFSET([0]!Data.Top.Left,1,0)</definedName>
    <definedName name="Data.Dump3" localSheetId="2" hidden="1">OFFSET([0]!Data.Top.Left,1,0)</definedName>
    <definedName name="Data.Dump3" localSheetId="1" hidden="1">OFFSET([0]!Data.Top.Left,1,0)</definedName>
    <definedName name="Data.Dump3" localSheetId="0" hidden="1">OFFSET([0]!Data.Top.Left,1,0)</definedName>
    <definedName name="Data.Dump3" hidden="1">OFFSET([0]!Data.Top.Left,1,0)</definedName>
    <definedName name="DATA_01" hidden="1">'[7]Sales Seasonality by Month'!$B$4</definedName>
    <definedName name="DATA_02" hidden="1">'[7]Sales Seasonality by Month'!$B$9</definedName>
    <definedName name="DATA_03" hidden="1">'[7]Sales Seasonality by Month'!$C$9:$C$20</definedName>
    <definedName name="DATA_04" hidden="1">'[7]Sales Seasonality by Month'!$F$9:$F$20</definedName>
    <definedName name="data1" localSheetId="1" hidden="1">{#N/A,#N/A,TRUE,"Sheet16"}</definedName>
    <definedName name="data1" localSheetId="0" hidden="1">{#N/A,#N/A,TRUE,"Sheet16"}</definedName>
    <definedName name="data1" hidden="1">{#N/A,#N/A,TRUE,"Sheet16"}</definedName>
    <definedName name="data2">'[8]Account Info'!$A:$IV</definedName>
    <definedName name="Database.File" localSheetId="1" hidden="1">#REF!</definedName>
    <definedName name="Database.File" localSheetId="0" hidden="1">#REF!</definedName>
    <definedName name="Database.File" hidden="1">#REF!</definedName>
    <definedName name="DD">#REF!</definedName>
    <definedName name="DescriptionsMaster">#REF!</definedName>
    <definedName name="Discount_Rate" localSheetId="1">#REF!</definedName>
    <definedName name="Discount_Rate" localSheetId="0">#REF!</definedName>
    <definedName name="Discount_Rate">#REF!</definedName>
    <definedName name="ds">#REF!</definedName>
    <definedName name="DT">#REF!</definedName>
    <definedName name="du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duh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du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DY">#REF!</definedName>
    <definedName name="e_Heat">#REF!</definedName>
    <definedName name="e_Rec">#REF!</definedName>
    <definedName name="Earnings">[9]Subtotal!$E$11:$E$50</definedName>
    <definedName name="east">#REF!</definedName>
    <definedName name="EBITDA">#REF!</definedName>
    <definedName name="eComp">#REF!</definedName>
    <definedName name="ENDBALOP97">#REF!</definedName>
    <definedName name="ENDBALRE97">#REF!</definedName>
    <definedName name="eps">#REF!</definedName>
    <definedName name="error">#REF!</definedName>
    <definedName name="error_2">#REF!</definedName>
    <definedName name="EXPTOTAL">#REF!</definedName>
    <definedName name="f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_fan">#REF!</definedName>
    <definedName name="ff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f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f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g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g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g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h" hidden="1">#REF!</definedName>
    <definedName name="fhdfg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hdfg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hdfg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ile.Type" localSheetId="1" hidden="1">#REF!</definedName>
    <definedName name="File.Type" localSheetId="0" hidden="1">#REF!</definedName>
    <definedName name="File.Type" hidden="1">#REF!</definedName>
    <definedName name="Forecast" localSheetId="1">#REF!</definedName>
    <definedName name="Forecast" localSheetId="0">#REF!</definedName>
    <definedName name="Forecast">#REF!</definedName>
    <definedName name="Functions">#REF!</definedName>
    <definedName name="GAS">#REF!</definedName>
    <definedName name="GASWK">#REF!</definedName>
    <definedName name="gf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gf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gf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TML_CodePage" hidden="1">1252</definedName>
    <definedName name="HTML_Control" localSheetId="1" hidden="1">{"'Leverage'!$B$2:$M$418"}</definedName>
    <definedName name="HTML_Control" localSheetId="0" hidden="1">{"'Leverage'!$B$2:$M$418"}</definedName>
    <definedName name="HTML_Control" hidden="1">{"'Leverage'!$B$2:$M$418"}</definedName>
    <definedName name="HTML_Description" hidden="1">""</definedName>
    <definedName name="HTML_Email" hidden="1">""</definedName>
    <definedName name="HTML_Header" hidden="1">"Leverage"</definedName>
    <definedName name="HTML_LastUpdate" hidden="1">"8/21/00"</definedName>
    <definedName name="HTML_LineAfter" hidden="1">FALSE</definedName>
    <definedName name="HTML_LineBefore" hidden="1">FALSE</definedName>
    <definedName name="HTML_Name" hidden="1">"Frank Vickers"</definedName>
    <definedName name="HTML_OBDlg2" hidden="1">TRUE</definedName>
    <definedName name="HTML_OBDlg4" hidden="1">TRUE</definedName>
    <definedName name="HTML_OS" hidden="1">0</definedName>
    <definedName name="HTML_PathFile" hidden="1">"C:\my documents\lever.htm"</definedName>
    <definedName name="HTML_Title" hidden="1">"leverage"</definedName>
    <definedName name="i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i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i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IncomeStatement">[1]IncomeStatement!$A$2:$E$28</definedName>
    <definedName name="INCTOT">#REF!</definedName>
    <definedName name="Ind.Leadership">#REF!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ILY">500000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ENSE_CODE_" hidden="1">"11yy/8092"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FO" hidden="1">"c1574"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">100000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>1000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LAND" hidden="1">"c645"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>2000</definedName>
    <definedName name="IQ_LTM_REVENUE_OVER_EMPLOYEES" hidden="1">"c1437"</definedName>
    <definedName name="IQ_LTMMONTH" hidden="1">120000</definedName>
    <definedName name="IQ_MACHINERY" hidden="1">"c711"</definedName>
    <definedName name="IQ_MAINT_REPAIR" hidden="1">"c2087"</definedName>
    <definedName name="IQ_MARKETCAP" hidden="1">"c712"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NTH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TD" hidden="1">800000</definedName>
    <definedName name="IQ_NAMES_REVISION_DATE_" localSheetId="1" hidden="1">41393.570150463</definedName>
    <definedName name="IQ_NAMES_REVISION_DATE_" localSheetId="0" hidden="1">41393.570150463</definedName>
    <definedName name="IQ_NAMES_REVISION_DATE_" hidden="1">45431.9015393518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OIL_PRODUCT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EK">50000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"c2104"</definedName>
    <definedName name="IQ_YEARHIGH" hidden="1">"c1337"</definedName>
    <definedName name="IQ_YEARLOW" hidden="1">"c1338"</definedName>
    <definedName name="IQ_YTD">3000</definedName>
    <definedName name="IQ_YTDMONTH" hidden="1">130000</definedName>
    <definedName name="IQ_Z_SCORE" hidden="1">"c1339"</definedName>
    <definedName name="IQB_BOOKMARK_COUNT" hidden="1">3</definedName>
    <definedName name="IQB_CURRENT_BOOKMARK" hidden="1">0</definedName>
    <definedName name="jh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h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h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lk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lk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lk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m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m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m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n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jn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jn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Juhl">#REF!</definedName>
    <definedName name="k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_Rate">#REF!</definedName>
    <definedName name="kg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g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g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h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j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j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j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k" hidden="1">#REF!</definedName>
    <definedName name="kl" hidden="1">#REF!</definedName>
    <definedName name="km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m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m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n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kn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kn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ABOR_TAX" hidden="1">'[10]Service Invoice'!$G$15</definedName>
    <definedName name="Leverage_L">#REF!</definedName>
    <definedName name="Leverage_M">#REF!</definedName>
    <definedName name="m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ACRO">#REF!</definedName>
    <definedName name="macys">#REF!</definedName>
    <definedName name="MAINT">#REF!</definedName>
    <definedName name="Matrix">#REF!</definedName>
    <definedName name="m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h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i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i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i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j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mj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mj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mk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k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k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LNK841c85bef3244d5c8fb6b3f84988d79e" hidden="1">#REF!</definedName>
    <definedName name="MLNKa7775792bf444a4785f8ed5c82461a24" hidden="1">#REF!</definedName>
    <definedName name="MM">#REF!</definedName>
    <definedName name="MO">#REF!</definedName>
    <definedName name="MonthNumber" localSheetId="1">#REF!</definedName>
    <definedName name="MonthNumber" localSheetId="0">#REF!</definedName>
    <definedName name="MonthNumber">#REF!</definedName>
    <definedName name="MonthsList" localSheetId="1">#REF!</definedName>
    <definedName name="MonthsList" localSheetId="0">#REF!</definedName>
    <definedName name="MonthsList">#REF!</definedName>
    <definedName name="MTINC">#REF!</definedName>
    <definedName name="MW_air">#REF!</definedName>
    <definedName name="MW_H2O">#REF!</definedName>
    <definedName name="N">#REF!</definedName>
    <definedName name="NAME">#REF!</definedName>
    <definedName name="none" localSheetId="1">#REF!</definedName>
    <definedName name="none" localSheetId="0">#REF!</definedName>
    <definedName name="none">#REF!</definedName>
    <definedName name="none2" localSheetId="1">#REF!</definedName>
    <definedName name="none2" localSheetId="0">#REF!</definedName>
    <definedName name="none2">#REF!</definedName>
    <definedName name="none3" localSheetId="1">#REF!</definedName>
    <definedName name="none3" localSheetId="0">#REF!</definedName>
    <definedName name="none3">#REF!</definedName>
    <definedName name="NOTE1">#REF!</definedName>
    <definedName name="NOTE2">#REF!</definedName>
    <definedName name="NOTE3">#REF!</definedName>
    <definedName name="NTPAY">#REF!</definedName>
    <definedName name="Number_of_Employees" localSheetId="1">#REF!</definedName>
    <definedName name="Number_of_Employees" localSheetId="0">#REF!</definedName>
    <definedName name="Number_of_Employees">#REF!</definedName>
    <definedName name="Oakwood_Solutions">#REF!</definedName>
    <definedName name="OIL">#REF!</definedName>
    <definedName name="OILWK">#REF!</definedName>
    <definedName name="Ownership" localSheetId="2" hidden="1">OFFSET([0]!Data.Top.Left,1,0)</definedName>
    <definedName name="Ownership" localSheetId="1" hidden="1">OFFSET([0]!Data.Top.Left,1,0)</definedName>
    <definedName name="Ownership" localSheetId="0" hidden="1">OFFSET([0]!Data.Top.Left,1,0)</definedName>
    <definedName name="Ownership" hidden="1">OFFSET([0]!Data.Top.Left,1,0)</definedName>
    <definedName name="Ownership2" localSheetId="2" hidden="1">OFFSET([0]!Data.Top.Left,1,0)</definedName>
    <definedName name="Ownership2" localSheetId="1" hidden="1">OFFSET([0]!Data.Top.Left,1,0)</definedName>
    <definedName name="Ownership2" localSheetId="0" hidden="1">OFFSET([0]!Data.Top.Left,1,0)</definedName>
    <definedName name="Ownership2" hidden="1">OFFSET([0]!Data.Top.Left,1,0)</definedName>
    <definedName name="Ownsership3" localSheetId="2" hidden="1">OFFSET([0]!Data.Top.Left,1,0)</definedName>
    <definedName name="Ownsership3" localSheetId="1" hidden="1">OFFSET([0]!Data.Top.Left,1,0)</definedName>
    <definedName name="Ownsership3" localSheetId="0" hidden="1">OFFSET([0]!Data.Top.Left,1,0)</definedName>
    <definedName name="Ownsership3" hidden="1">OFFSET([0]!Data.Top.Left,1,0)</definedName>
    <definedName name="p_Air">#REF!</definedName>
    <definedName name="PARTS_TAX" hidden="1">'[10]Service Invoice'!$D$15</definedName>
    <definedName name="PD_SOURCE">#REF!</definedName>
    <definedName name="PDs">#REF!</definedName>
    <definedName name="PGContent_EN">#REF!</definedName>
    <definedName name="Pitchbook" localSheetId="1" hidden="1">{#N/A,#N/A,TRUE,"Sheet16"}</definedName>
    <definedName name="Pitchbook" localSheetId="0" hidden="1">{#N/A,#N/A,TRUE,"Sheet16"}</definedName>
    <definedName name="Pitchbook" hidden="1">{#N/A,#N/A,TRUE,"Sheet16"}</definedName>
    <definedName name="population_1">OFFSET('[3]Dynamic Named Ranges'!$C$11,0,0,COUNTA('[3]Dynamic Named Ranges'!$C:$C))</definedName>
    <definedName name="_xlnm.Print_Area" localSheetId="2">'3 Linked Financial Statements'!$A$1:$L$102</definedName>
    <definedName name="_xlnm.Print_Area" localSheetId="1">'EBITDA Method'!$A$1:$AB$71</definedName>
    <definedName name="_xlnm.Print_Area" localSheetId="0">'Enterprise Valuation Method'!$A$1:$AB$73</definedName>
    <definedName name="_xlnm.Print_Area">#REF!</definedName>
    <definedName name="PROFIT94">#REF!</definedName>
    <definedName name="PROFIT97">#REF!</definedName>
    <definedName name="PROFIT98">#REF!</definedName>
    <definedName name="q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q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q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qw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qw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qw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R_d">#REF!</definedName>
    <definedName name="Radford">#REF!</definedName>
    <definedName name="Radford2">#REF!</definedName>
    <definedName name="RangeCF">'[3]Dynamic Named Ranges (2)'!XFC1048576:INDEX('[3]Dynamic Named Ranges (2)'!XFC92:XFC1048576,COUNTA('[3]Dynamic Named Ranges (2)'!XFC92:XFC1048576))</definedName>
    <definedName name="RangeDate">'[3]Dynamic Named Ranges (2)'!XFB1048575:INDEX('[3]Dynamic Named Ranges (2)'!XFB91:XFB1048575,COUNTA('[3]Dynamic Named Ranges (2)'!XFB91:XFB1048575))</definedName>
    <definedName name="Ratios">[1]Ratios!$A$1:$D$55</definedName>
    <definedName name="Reference">#REF!</definedName>
    <definedName name="region">#REF!</definedName>
    <definedName name="ResultsTabular">#REF!</definedName>
    <definedName name="ResultsVars">#REF!</definedName>
    <definedName name="ResultVars">#REF!</definedName>
    <definedName name="RETAX1">#REF!</definedName>
    <definedName name="RETAX2">#REF!</definedName>
    <definedName name="Revenues2004">[4]Sheet2!$C$5</definedName>
    <definedName name="RH_O">#REF!</definedName>
    <definedName name="RH_R">#REF!</definedName>
    <definedName name="Robert_Half2">#REF!</definedName>
    <definedName name="RowMultiplier">'[5]Adv Cell Lock'!$C$119:$F$119</definedName>
    <definedName name="rt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rt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rt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s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s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s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Sales">OFFSET('[3]Dynamic Named Ranges'!$C$31,MATCH(1,'[3]Dynamic Named Ranges'!$C$31:$C$1048576,1),0,COUNTA('[3]Dynamic Named Ranges'!$C:$C))</definedName>
    <definedName name="Sample1">#REF!</definedName>
    <definedName name="ScenarioList">#REF!</definedName>
    <definedName name="sencount" hidden="1">1</definedName>
    <definedName name="sfd" hidden="1">#REF!</definedName>
    <definedName name="Show.Acct.Update.Warning" localSheetId="1" hidden="1">#REF!</definedName>
    <definedName name="Show.Acct.Update.Warning" localSheetId="0" hidden="1">#REF!</definedName>
    <definedName name="Show.Acct.Update.Warning" hidden="1">#REF!</definedName>
    <definedName name="Show.MDB.Update.Warning" localSheetId="1" hidden="1">#REF!</definedName>
    <definedName name="Show.MDB.Update.Warning" localSheetId="0" hidden="1">#REF!</definedName>
    <definedName name="Show.MDB.Update.Warning" hidden="1">#REF!</definedName>
    <definedName name="sk" hidden="1">"1, 3, 1, False, 2, False, False, , 0, False, True, 3, 2"</definedName>
    <definedName name="Slicer_Level">#REF!</definedName>
    <definedName name="Slicer_RESPONSIBILITY_REGION">#REF!</definedName>
    <definedName name="Slicer_Revenue_By_Sector">#REF!</definedName>
    <definedName name="Slicer_SECTOR">#REF!</definedName>
    <definedName name="south">#REF!</definedName>
    <definedName name="STEAM">#REF!</definedName>
    <definedName name="STEAMWK">#REF!</definedName>
    <definedName name="Step_1" localSheetId="1">#REF!</definedName>
    <definedName name="Step_1" localSheetId="0">#REF!</definedName>
    <definedName name="Step_1">#REF!</definedName>
    <definedName name="Step_2" localSheetId="1">#REF!</definedName>
    <definedName name="Step_2" localSheetId="0">#REF!</definedName>
    <definedName name="Step_2">#REF!</definedName>
    <definedName name="Step_3" localSheetId="1">#REF!</definedName>
    <definedName name="Step_3" localSheetId="0">#REF!</definedName>
    <definedName name="Step_3">#REF!</definedName>
    <definedName name="Step_4" localSheetId="1">#REF!</definedName>
    <definedName name="Step_4" localSheetId="0">#REF!</definedName>
    <definedName name="Step_4">#REF!</definedName>
    <definedName name="Step_5" localSheetId="1">#REF!</definedName>
    <definedName name="Step_5" localSheetId="0">#REF!</definedName>
    <definedName name="Step_5">#REF!</definedName>
    <definedName name="Step_6" localSheetId="1">#REF!</definedName>
    <definedName name="Step_6" localSheetId="0">#REF!</definedName>
    <definedName name="Step_6">#REF!</definedName>
    <definedName name="Step1" localSheetId="1">#REF!</definedName>
    <definedName name="Step1" localSheetId="0">#REF!</definedName>
    <definedName name="Step1">#REF!</definedName>
    <definedName name="Step2" localSheetId="1">#REF!</definedName>
    <definedName name="Step2" localSheetId="0">#REF!</definedName>
    <definedName name="Step2">#REF!</definedName>
    <definedName name="Step3" localSheetId="1">#REF!</definedName>
    <definedName name="Step3" localSheetId="0">#REF!</definedName>
    <definedName name="Step3">#REF!</definedName>
    <definedName name="Step4" localSheetId="1">#REF!</definedName>
    <definedName name="Step4" localSheetId="0">#REF!</definedName>
    <definedName name="Step4">#REF!</definedName>
    <definedName name="Step5" localSheetId="1">#REF!</definedName>
    <definedName name="Step5" localSheetId="0">#REF!</definedName>
    <definedName name="Step5">#REF!</definedName>
    <definedName name="Step6" localSheetId="1">#REF!</definedName>
    <definedName name="Step6" localSheetId="0">#REF!</definedName>
    <definedName name="Step6">#REF!</definedName>
    <definedName name="SUM">#REF!</definedName>
    <definedName name="t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_O">#REF!</definedName>
    <definedName name="T_R">#REF!</definedName>
    <definedName name="table">'[11]Conditional SumProduct'!$A$27:$C$32</definedName>
    <definedName name="test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test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test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test2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est2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est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estDataSource">#REF!</definedName>
    <definedName name="TestSource">#REF!</definedName>
    <definedName name="thomas" hidden="1">#REF!</definedName>
    <definedName name="Titles">'[12]STI % Legend'!$B$6:$B$16</definedName>
    <definedName name="Topics" localSheetId="1">#REF!</definedName>
    <definedName name="Topics" localSheetId="0">#REF!</definedName>
    <definedName name="Topics">#REF!</definedName>
    <definedName name="TYP">#REF!</definedName>
    <definedName name="uy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uy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uy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V_house">#REF!</definedName>
    <definedName name="Version">[6]WELCOME!$T$5</definedName>
    <definedName name="VLookUp_Data">'[13]Adv Cell Lock'!$C$88:$F$97</definedName>
    <definedName name="Wall_R_value">#REF!</definedName>
    <definedName name="west">#REF!</definedName>
    <definedName name="What">#REF!</definedName>
    <definedName name="wrn.Chart._.Printouts.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Chart._.Printouts.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Chart._.Printouts.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Instructor._.Tips.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Instructor._.Tips.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Instructor._.Tips.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SB_PRES." localSheetId="1" hidden="1">{#N/A,#N/A,TRUE,"Sheet16"}</definedName>
    <definedName name="wrn.SB_PRES." localSheetId="0" hidden="1">{#N/A,#N/A,TRUE,"Sheet16"}</definedName>
    <definedName name="wrn.SB_PRES." hidden="1">{#N/A,#N/A,TRUE,"Sheet16"}</definedName>
    <definedName name="wrn.דוח._.רווח._.והפסד.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wrn.דוח._.רווח._.והפסד." localSheetId="0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wrn.דוח._.רווח._.והפסד.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x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x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x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y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y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y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YR">#REF!</definedName>
    <definedName name="YY">#REF!</definedName>
    <definedName name="z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z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z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11" l="1"/>
  <c r="H49" i="11"/>
  <c r="J44" i="8"/>
  <c r="I47" i="6"/>
  <c r="K5" i="6"/>
  <c r="L5" i="6" s="1"/>
  <c r="M5" i="6" s="1"/>
  <c r="N5" i="6" s="1"/>
  <c r="AB3" i="11"/>
  <c r="X46" i="11" s="1"/>
  <c r="AB4" i="11"/>
  <c r="X25" i="11" s="1"/>
  <c r="AB5" i="11"/>
  <c r="AB6" i="11"/>
  <c r="AB7" i="11"/>
  <c r="U46" i="11" s="1"/>
  <c r="AB2" i="11"/>
  <c r="D22" i="11"/>
  <c r="E22" i="11" s="1"/>
  <c r="F22" i="11" s="1"/>
  <c r="G22" i="11" s="1"/>
  <c r="H22" i="11" s="1"/>
  <c r="D19" i="11"/>
  <c r="E19" i="11" s="1"/>
  <c r="F19" i="11" s="1"/>
  <c r="G19" i="11" s="1"/>
  <c r="H19" i="11" s="1"/>
  <c r="X44" i="11"/>
  <c r="U44" i="11"/>
  <c r="R44" i="11"/>
  <c r="X23" i="11"/>
  <c r="U23" i="11"/>
  <c r="R23" i="11"/>
  <c r="R17" i="11"/>
  <c r="C13" i="11"/>
  <c r="C17" i="11" s="1"/>
  <c r="C20" i="11" s="1"/>
  <c r="C23" i="11" s="1"/>
  <c r="C25" i="11" s="1"/>
  <c r="H9" i="11"/>
  <c r="G9" i="11"/>
  <c r="F9" i="11"/>
  <c r="E9" i="11"/>
  <c r="D9" i="11"/>
  <c r="D11" i="11" s="1"/>
  <c r="L3" i="11"/>
  <c r="M3" i="11" s="1"/>
  <c r="N3" i="11" s="1"/>
  <c r="O3" i="11" s="1"/>
  <c r="R15" i="6"/>
  <c r="H51" i="11" l="1"/>
  <c r="H52" i="11" s="1"/>
  <c r="I49" i="6"/>
  <c r="I50" i="6" s="1"/>
  <c r="D18" i="11"/>
  <c r="E18" i="11" s="1"/>
  <c r="F18" i="11" s="1"/>
  <c r="G18" i="11" s="1"/>
  <c r="H18" i="11" s="1"/>
  <c r="U25" i="11"/>
  <c r="U26" i="11" s="1"/>
  <c r="U27" i="11" s="1"/>
  <c r="U33" i="11"/>
  <c r="R33" i="11"/>
  <c r="X54" i="11"/>
  <c r="R54" i="11"/>
  <c r="X47" i="11"/>
  <c r="X48" i="11" s="1"/>
  <c r="X55" i="11"/>
  <c r="X56" i="11" s="1"/>
  <c r="X26" i="11"/>
  <c r="X27" i="11" s="1"/>
  <c r="X34" i="11"/>
  <c r="X35" i="11" s="1"/>
  <c r="U47" i="11"/>
  <c r="U48" i="11" s="1"/>
  <c r="U55" i="11"/>
  <c r="U56" i="11" s="1"/>
  <c r="E11" i="11"/>
  <c r="D12" i="11"/>
  <c r="D13" i="11" s="1"/>
  <c r="D15" i="11"/>
  <c r="R46" i="11"/>
  <c r="X33" i="11"/>
  <c r="U54" i="11"/>
  <c r="R25" i="11"/>
  <c r="U34" i="11" l="1"/>
  <c r="U35" i="11" s="1"/>
  <c r="D17" i="11"/>
  <c r="B31" i="11" s="1"/>
  <c r="G41" i="11" s="1"/>
  <c r="F11" i="11"/>
  <c r="R47" i="11"/>
  <c r="R48" i="11" s="1"/>
  <c r="R55" i="11"/>
  <c r="R56" i="11" s="1"/>
  <c r="R26" i="11"/>
  <c r="R27" i="11" s="1"/>
  <c r="R34" i="11"/>
  <c r="R35" i="11" s="1"/>
  <c r="E15" i="11"/>
  <c r="E12" i="11"/>
  <c r="E13" i="11" s="1"/>
  <c r="D20" i="11" l="1"/>
  <c r="D23" i="11" s="1"/>
  <c r="D24" i="11" s="1"/>
  <c r="E17" i="11"/>
  <c r="E20" i="11" s="1"/>
  <c r="E23" i="11" s="1"/>
  <c r="E24" i="11" s="1"/>
  <c r="E25" i="11" s="1"/>
  <c r="G11" i="11"/>
  <c r="F12" i="11"/>
  <c r="F15" i="11"/>
  <c r="G15" i="11" l="1"/>
  <c r="G12" i="11"/>
  <c r="G13" i="11" s="1"/>
  <c r="H11" i="11"/>
  <c r="F13" i="11"/>
  <c r="F17" i="11" s="1"/>
  <c r="F20" i="11" s="1"/>
  <c r="F23" i="11" s="1"/>
  <c r="F24" i="11" l="1"/>
  <c r="F25" i="11" s="1"/>
  <c r="G17" i="11"/>
  <c r="G20" i="11" s="1"/>
  <c r="G23" i="11" s="1"/>
  <c r="H15" i="11"/>
  <c r="H12" i="11"/>
  <c r="H13" i="11" s="1"/>
  <c r="G24" i="11" l="1"/>
  <c r="G25" i="11" s="1"/>
  <c r="H17" i="11"/>
  <c r="H20" i="11" s="1"/>
  <c r="H23" i="11" s="1"/>
  <c r="H24" i="11" l="1"/>
  <c r="H25" i="11" s="1"/>
  <c r="AB10" i="11" l="1"/>
  <c r="X29" i="11" s="1"/>
  <c r="R29" i="11"/>
  <c r="AB13" i="11"/>
  <c r="AB11" i="11"/>
  <c r="AB9" i="11"/>
  <c r="U29" i="11" s="1"/>
  <c r="AB12" i="11"/>
  <c r="U30" i="11" l="1"/>
  <c r="U36" i="11"/>
  <c r="U37" i="11" s="1"/>
  <c r="X50" i="11"/>
  <c r="U50" i="11"/>
  <c r="R50" i="11"/>
  <c r="R36" i="11"/>
  <c r="R37" i="11" s="1"/>
  <c r="R30" i="11"/>
  <c r="X30" i="11"/>
  <c r="X36" i="11"/>
  <c r="X37" i="11" s="1"/>
  <c r="U51" i="11" l="1"/>
  <c r="U57" i="11"/>
  <c r="U58" i="11" s="1"/>
  <c r="X57" i="11"/>
  <c r="X58" i="11" s="1"/>
  <c r="X51" i="11"/>
  <c r="R51" i="11"/>
  <c r="R57" i="11"/>
  <c r="R58" i="11" s="1"/>
  <c r="I114" i="8" l="1"/>
  <c r="H114" i="8"/>
  <c r="G114" i="8"/>
  <c r="F114" i="8"/>
  <c r="E114" i="8"/>
  <c r="D114" i="8"/>
  <c r="J103" i="8"/>
  <c r="F101" i="8"/>
  <c r="G101" i="8" s="1"/>
  <c r="H101" i="8" s="1"/>
  <c r="I101" i="8" s="1"/>
  <c r="J101" i="8" s="1"/>
  <c r="B100" i="8"/>
  <c r="G94" i="8"/>
  <c r="H94" i="8" s="1"/>
  <c r="F94" i="8"/>
  <c r="F93" i="8"/>
  <c r="G93" i="8" s="1"/>
  <c r="E91" i="8"/>
  <c r="E90" i="8" s="1"/>
  <c r="F89" i="8"/>
  <c r="G89" i="8" s="1"/>
  <c r="F87" i="8"/>
  <c r="G87" i="8" s="1"/>
  <c r="H87" i="8" s="1"/>
  <c r="I87" i="8" s="1"/>
  <c r="J87" i="8" s="1"/>
  <c r="E87" i="8"/>
  <c r="B87" i="8"/>
  <c r="E86" i="8"/>
  <c r="F86" i="8" s="1"/>
  <c r="G86" i="8" s="1"/>
  <c r="H86" i="8" s="1"/>
  <c r="I86" i="8" s="1"/>
  <c r="J86" i="8" s="1"/>
  <c r="B86" i="8"/>
  <c r="F85" i="8"/>
  <c r="G85" i="8" s="1"/>
  <c r="H85" i="8" s="1"/>
  <c r="I85" i="8" s="1"/>
  <c r="J85" i="8" s="1"/>
  <c r="E85" i="8"/>
  <c r="B85" i="8"/>
  <c r="G83" i="8"/>
  <c r="H83" i="8" s="1"/>
  <c r="I83" i="8" s="1"/>
  <c r="J83" i="8" s="1"/>
  <c r="F83" i="8"/>
  <c r="F81" i="8"/>
  <c r="G81" i="8" s="1"/>
  <c r="H81" i="8" s="1"/>
  <c r="I81" i="8" s="1"/>
  <c r="J81" i="8" s="1"/>
  <c r="E81" i="8"/>
  <c r="F80" i="8"/>
  <c r="G80" i="8" s="1"/>
  <c r="H80" i="8" s="1"/>
  <c r="I80" i="8" s="1"/>
  <c r="J80" i="8" s="1"/>
  <c r="E80" i="8"/>
  <c r="D79" i="8"/>
  <c r="F73" i="8"/>
  <c r="F65" i="8"/>
  <c r="B61" i="8"/>
  <c r="B60" i="8"/>
  <c r="B59" i="8"/>
  <c r="B58" i="8"/>
  <c r="B57" i="8"/>
  <c r="B56" i="8"/>
  <c r="B55" i="8"/>
  <c r="B53" i="8"/>
  <c r="E47" i="8"/>
  <c r="G45" i="8"/>
  <c r="G61" i="8" s="1"/>
  <c r="F45" i="8"/>
  <c r="F61" i="8" s="1"/>
  <c r="F100" i="8"/>
  <c r="G43" i="8"/>
  <c r="G60" i="8" s="1"/>
  <c r="F43" i="8"/>
  <c r="F60" i="8" s="1"/>
  <c r="F42" i="8"/>
  <c r="F59" i="8" s="1"/>
  <c r="E41" i="8"/>
  <c r="F40" i="8"/>
  <c r="G40" i="8" s="1"/>
  <c r="F39" i="8"/>
  <c r="G39" i="8" s="1"/>
  <c r="H39" i="8" s="1"/>
  <c r="I39" i="8" s="1"/>
  <c r="J39" i="8" s="1"/>
  <c r="H36" i="8"/>
  <c r="G36" i="8"/>
  <c r="F36" i="8"/>
  <c r="G23" i="8"/>
  <c r="F23" i="8"/>
  <c r="E21" i="8"/>
  <c r="E24" i="8" s="1"/>
  <c r="E19" i="8"/>
  <c r="G17" i="8"/>
  <c r="F17" i="8"/>
  <c r="F34" i="8" s="1"/>
  <c r="E15" i="8"/>
  <c r="E31" i="8" s="1"/>
  <c r="H11" i="8"/>
  <c r="AB3" i="6"/>
  <c r="AB5" i="6" s="1"/>
  <c r="X36" i="6"/>
  <c r="R36" i="6"/>
  <c r="U36" i="6"/>
  <c r="X15" i="6"/>
  <c r="U15" i="6"/>
  <c r="E48" i="8" l="1"/>
  <c r="AB7" i="6"/>
  <c r="AB6" i="6"/>
  <c r="AB9" i="6"/>
  <c r="AB4" i="6"/>
  <c r="AB8" i="6"/>
  <c r="H89" i="8"/>
  <c r="G64" i="8"/>
  <c r="H45" i="8"/>
  <c r="H43" i="8"/>
  <c r="F102" i="8"/>
  <c r="F25" i="8" s="1"/>
  <c r="G57" i="8"/>
  <c r="G100" i="8"/>
  <c r="G102" i="8" s="1"/>
  <c r="G25" i="8" s="1"/>
  <c r="F64" i="8"/>
  <c r="F66" i="8" s="1"/>
  <c r="H57" i="8"/>
  <c r="E26" i="8"/>
  <c r="E27" i="8" s="1"/>
  <c r="F38" i="8"/>
  <c r="G38" i="8" s="1"/>
  <c r="H38" i="8" s="1"/>
  <c r="I57" i="8"/>
  <c r="F35" i="8"/>
  <c r="I89" i="8"/>
  <c r="H64" i="8"/>
  <c r="H93" i="8"/>
  <c r="G65" i="8"/>
  <c r="G20" i="8"/>
  <c r="H40" i="8"/>
  <c r="F127" i="8"/>
  <c r="F90" i="8"/>
  <c r="I94" i="8"/>
  <c r="H23" i="8"/>
  <c r="G35" i="8"/>
  <c r="H17" i="8"/>
  <c r="I36" i="8"/>
  <c r="G42" i="8"/>
  <c r="F58" i="8"/>
  <c r="G58" i="8"/>
  <c r="G34" i="8"/>
  <c r="G55" i="8" s="1"/>
  <c r="F57" i="8"/>
  <c r="F19" i="8"/>
  <c r="F21" i="8" s="1"/>
  <c r="F55" i="8"/>
  <c r="F18" i="8"/>
  <c r="G19" i="8"/>
  <c r="G21" i="8" s="1"/>
  <c r="F20" i="8"/>
  <c r="G18" i="8"/>
  <c r="E77" i="8"/>
  <c r="F15" i="8"/>
  <c r="U38" i="6"/>
  <c r="R38" i="6"/>
  <c r="E28" i="8" l="1"/>
  <c r="E97" i="8" s="1"/>
  <c r="E98" i="8" s="1"/>
  <c r="F98" i="8" s="1"/>
  <c r="G98" i="8" s="1"/>
  <c r="H98" i="8" s="1"/>
  <c r="I98" i="8" s="1"/>
  <c r="J98" i="8" s="1"/>
  <c r="G66" i="8"/>
  <c r="H60" i="8"/>
  <c r="I43" i="8"/>
  <c r="H61" i="8"/>
  <c r="I45" i="8"/>
  <c r="X38" i="6"/>
  <c r="H20" i="8"/>
  <c r="H18" i="8"/>
  <c r="H19" i="8"/>
  <c r="H42" i="8"/>
  <c r="H34" i="8"/>
  <c r="I17" i="8"/>
  <c r="H35" i="8"/>
  <c r="H56" i="8" s="1"/>
  <c r="F77" i="8"/>
  <c r="F51" i="8"/>
  <c r="F31" i="8"/>
  <c r="G15" i="8"/>
  <c r="I38" i="8"/>
  <c r="I40" i="8"/>
  <c r="I58" i="8" s="1"/>
  <c r="F91" i="8"/>
  <c r="G90" i="8"/>
  <c r="J89" i="8"/>
  <c r="J64" i="8" s="1"/>
  <c r="I64" i="8"/>
  <c r="G56" i="8"/>
  <c r="F56" i="8"/>
  <c r="G59" i="8"/>
  <c r="J94" i="8"/>
  <c r="J23" i="8" s="1"/>
  <c r="I23" i="8"/>
  <c r="J36" i="8"/>
  <c r="J57" i="8" s="1"/>
  <c r="H58" i="8"/>
  <c r="I93" i="8"/>
  <c r="H65" i="8"/>
  <c r="H66" i="8" s="1"/>
  <c r="R17" i="6"/>
  <c r="X17" i="6"/>
  <c r="U17" i="6"/>
  <c r="J100" i="8" l="1"/>
  <c r="J102" i="8" s="1"/>
  <c r="J25" i="8" s="1"/>
  <c r="H100" i="8"/>
  <c r="H102" i="8" s="1"/>
  <c r="H25" i="8" s="1"/>
  <c r="I61" i="8"/>
  <c r="J45" i="8"/>
  <c r="J61" i="8" s="1"/>
  <c r="H21" i="8"/>
  <c r="I60" i="8"/>
  <c r="J43" i="8"/>
  <c r="J60" i="8" s="1"/>
  <c r="X39" i="6"/>
  <c r="X40" i="6" s="1"/>
  <c r="X46" i="6"/>
  <c r="X47" i="6" s="1"/>
  <c r="I20" i="8"/>
  <c r="I34" i="8"/>
  <c r="I35" i="8"/>
  <c r="I42" i="8"/>
  <c r="J17" i="8"/>
  <c r="I18" i="8"/>
  <c r="I19" i="8" s="1"/>
  <c r="I21" i="8" s="1"/>
  <c r="I55" i="8"/>
  <c r="K103" i="8"/>
  <c r="G77" i="8"/>
  <c r="G51" i="8"/>
  <c r="G31" i="8"/>
  <c r="H15" i="8"/>
  <c r="J93" i="8"/>
  <c r="J65" i="8" s="1"/>
  <c r="I65" i="8"/>
  <c r="G91" i="8"/>
  <c r="H90" i="8"/>
  <c r="F22" i="8"/>
  <c r="F24" i="8" s="1"/>
  <c r="F26" i="8" s="1"/>
  <c r="F54" i="8"/>
  <c r="F37" i="8"/>
  <c r="J38" i="8"/>
  <c r="I66" i="8"/>
  <c r="J66" i="8"/>
  <c r="H59" i="8"/>
  <c r="H55" i="8"/>
  <c r="J40" i="8"/>
  <c r="J58" i="8" s="1"/>
  <c r="I56" i="8"/>
  <c r="U39" i="6"/>
  <c r="U40" i="6" s="1"/>
  <c r="I100" i="8" l="1"/>
  <c r="I102" i="8" s="1"/>
  <c r="I25" i="8" s="1"/>
  <c r="I90" i="8"/>
  <c r="H91" i="8"/>
  <c r="G22" i="8"/>
  <c r="G24" i="8" s="1"/>
  <c r="G26" i="8" s="1"/>
  <c r="G54" i="8"/>
  <c r="J19" i="8"/>
  <c r="J21" i="8" s="1"/>
  <c r="J34" i="8"/>
  <c r="J55" i="8" s="1"/>
  <c r="J42" i="8"/>
  <c r="J35" i="8"/>
  <c r="J56" i="8" s="1"/>
  <c r="J20" i="8"/>
  <c r="J18" i="8"/>
  <c r="G37" i="8"/>
  <c r="H37" i="8" s="1"/>
  <c r="H31" i="8"/>
  <c r="I15" i="8"/>
  <c r="H77" i="8"/>
  <c r="H51" i="8"/>
  <c r="I59" i="8"/>
  <c r="F27" i="8"/>
  <c r="F28" i="8" s="1"/>
  <c r="H12" i="6"/>
  <c r="G12" i="6"/>
  <c r="F12" i="6"/>
  <c r="E12" i="6"/>
  <c r="D12" i="6"/>
  <c r="J59" i="8" l="1"/>
  <c r="I31" i="8"/>
  <c r="J15" i="8"/>
  <c r="I51" i="8"/>
  <c r="I77" i="8"/>
  <c r="F97" i="8"/>
  <c r="F96" i="8" s="1"/>
  <c r="F69" i="8" s="1"/>
  <c r="F70" i="8" s="1"/>
  <c r="F53" i="8"/>
  <c r="F62" i="8" s="1"/>
  <c r="G27" i="8"/>
  <c r="G28" i="8" s="1"/>
  <c r="H22" i="8"/>
  <c r="H24" i="8" s="1"/>
  <c r="H26" i="8" s="1"/>
  <c r="H54" i="8"/>
  <c r="J90" i="8"/>
  <c r="J91" i="8" s="1"/>
  <c r="I91" i="8"/>
  <c r="I37" i="8" s="1"/>
  <c r="D14" i="6"/>
  <c r="D21" i="6" s="1"/>
  <c r="U18" i="6"/>
  <c r="U19" i="6" s="1"/>
  <c r="C16" i="6"/>
  <c r="C20" i="6" s="1"/>
  <c r="R10" i="6"/>
  <c r="I59" i="6" s="1"/>
  <c r="I58" i="6" l="1"/>
  <c r="E14" i="6"/>
  <c r="E21" i="6" s="1"/>
  <c r="D23" i="6"/>
  <c r="J54" i="8"/>
  <c r="J22" i="8"/>
  <c r="J24" i="8" s="1"/>
  <c r="J26" i="8" s="1"/>
  <c r="F46" i="8"/>
  <c r="H27" i="8"/>
  <c r="H28" i="8" s="1"/>
  <c r="G97" i="8"/>
  <c r="G96" i="8" s="1"/>
  <c r="G69" i="8" s="1"/>
  <c r="G70" i="8" s="1"/>
  <c r="G53" i="8"/>
  <c r="G62" i="8" s="1"/>
  <c r="J37" i="8"/>
  <c r="J31" i="8"/>
  <c r="J77" i="8"/>
  <c r="H126" i="8" s="1"/>
  <c r="J51" i="8"/>
  <c r="F72" i="8"/>
  <c r="F74" i="8" s="1"/>
  <c r="F33" i="8" s="1"/>
  <c r="I22" i="8"/>
  <c r="I24" i="8" s="1"/>
  <c r="I26" i="8" s="1"/>
  <c r="I54" i="8"/>
  <c r="U46" i="6"/>
  <c r="U47" i="6" s="1"/>
  <c r="R46" i="6"/>
  <c r="X25" i="6"/>
  <c r="D18" i="6"/>
  <c r="X26" i="6"/>
  <c r="X18" i="6"/>
  <c r="X19" i="6" s="1"/>
  <c r="C22" i="6"/>
  <c r="D15" i="6"/>
  <c r="G72" i="8" l="1"/>
  <c r="E18" i="6"/>
  <c r="F14" i="6"/>
  <c r="F21" i="6" s="1"/>
  <c r="E23" i="6"/>
  <c r="I60" i="6" s="1"/>
  <c r="I27" i="8"/>
  <c r="I28" i="8" s="1"/>
  <c r="H97" i="8"/>
  <c r="H96" i="8" s="1"/>
  <c r="H69" i="8" s="1"/>
  <c r="H70" i="8" s="1"/>
  <c r="H53" i="8"/>
  <c r="H62" i="8" s="1"/>
  <c r="G73" i="8"/>
  <c r="G74" i="8" s="1"/>
  <c r="G33" i="8" s="1"/>
  <c r="F41" i="8"/>
  <c r="G46" i="8"/>
  <c r="F47" i="8"/>
  <c r="J27" i="8"/>
  <c r="J28" i="8" s="1"/>
  <c r="R39" i="6"/>
  <c r="R40" i="6" s="1"/>
  <c r="R47" i="6"/>
  <c r="X27" i="6"/>
  <c r="E15" i="6"/>
  <c r="E16" i="6" s="1"/>
  <c r="D16" i="6"/>
  <c r="D20" i="6" s="1"/>
  <c r="D22" i="6" s="1"/>
  <c r="F18" i="6" l="1"/>
  <c r="G14" i="6"/>
  <c r="G21" i="6" s="1"/>
  <c r="F23" i="6"/>
  <c r="H72" i="8"/>
  <c r="J97" i="8"/>
  <c r="J96" i="8" s="1"/>
  <c r="J69" i="8" s="1"/>
  <c r="J70" i="8" s="1"/>
  <c r="J53" i="8"/>
  <c r="J62" i="8" s="1"/>
  <c r="I97" i="8"/>
  <c r="I96" i="8" s="1"/>
  <c r="I69" i="8" s="1"/>
  <c r="I70" i="8" s="1"/>
  <c r="I53" i="8"/>
  <c r="I62" i="8" s="1"/>
  <c r="H73" i="8"/>
  <c r="G41" i="8"/>
  <c r="H46" i="8"/>
  <c r="G47" i="8"/>
  <c r="E20" i="6"/>
  <c r="F15" i="6"/>
  <c r="E22" i="6" l="1"/>
  <c r="E24" i="6" s="1"/>
  <c r="E27" i="6" s="1"/>
  <c r="G18" i="6"/>
  <c r="H14" i="6"/>
  <c r="G23" i="6"/>
  <c r="I72" i="8"/>
  <c r="H74" i="8"/>
  <c r="H33" i="8" s="1"/>
  <c r="I73" i="8" s="1"/>
  <c r="I74" i="8" s="1"/>
  <c r="I33" i="8" s="1"/>
  <c r="J72" i="8"/>
  <c r="I46" i="8"/>
  <c r="H47" i="8"/>
  <c r="G15" i="6"/>
  <c r="G16" i="6" s="1"/>
  <c r="F16" i="6"/>
  <c r="F20" i="6" s="1"/>
  <c r="F22" i="6" s="1"/>
  <c r="H41" i="8" l="1"/>
  <c r="H23" i="6"/>
  <c r="H21" i="6"/>
  <c r="H18" i="6"/>
  <c r="J73" i="8"/>
  <c r="J74" i="8" s="1"/>
  <c r="J33" i="8" s="1"/>
  <c r="J41" i="8" s="1"/>
  <c r="I41" i="8"/>
  <c r="J46" i="8"/>
  <c r="J47" i="8" s="1"/>
  <c r="I47" i="8"/>
  <c r="G20" i="6"/>
  <c r="G22" i="6" s="1"/>
  <c r="H15" i="6"/>
  <c r="H16" i="6" s="1"/>
  <c r="H20" i="6" l="1"/>
  <c r="H22" i="6" s="1"/>
  <c r="D24" i="6" l="1"/>
  <c r="D27" i="6" s="1"/>
  <c r="D25" i="6" l="1"/>
  <c r="E25" i="6"/>
  <c r="C34" i="6" s="1"/>
  <c r="F24" i="6"/>
  <c r="F27" i="6" s="1"/>
  <c r="G24" i="6"/>
  <c r="G27" i="6" s="1"/>
  <c r="D26" i="6" l="1"/>
  <c r="E26" i="6"/>
  <c r="F25" i="6"/>
  <c r="F26" i="6" s="1"/>
  <c r="G25" i="6"/>
  <c r="G26" i="6" s="1"/>
  <c r="E28" i="6"/>
  <c r="D28" i="6"/>
  <c r="H24" i="6"/>
  <c r="H25" i="6" l="1"/>
  <c r="H26" i="6" s="1"/>
  <c r="H27" i="6"/>
  <c r="G28" i="6"/>
  <c r="F28" i="6"/>
  <c r="U26" i="6"/>
  <c r="U27" i="6" s="1"/>
  <c r="U25" i="6"/>
  <c r="R26" i="6"/>
  <c r="H29" i="6" l="1"/>
  <c r="F29" i="6"/>
  <c r="G29" i="6"/>
  <c r="E29" i="6"/>
  <c r="C33" i="6" s="1"/>
  <c r="D29" i="6"/>
  <c r="H28" i="6"/>
  <c r="C35" i="6" l="1"/>
  <c r="B41" i="6" l="1"/>
  <c r="B42" i="6" s="1"/>
  <c r="AB12" i="6"/>
  <c r="AB13" i="6"/>
  <c r="AB14" i="6"/>
  <c r="AB15" i="6"/>
  <c r="AB16" i="6"/>
  <c r="AB11" i="6"/>
  <c r="H40" i="6" l="1"/>
  <c r="I40" i="6" s="1"/>
  <c r="B40" i="6"/>
  <c r="U21" i="6"/>
  <c r="X42" i="6"/>
  <c r="R18" i="6"/>
  <c r="R19" i="6" s="1"/>
  <c r="R25" i="6"/>
  <c r="R27" i="6"/>
  <c r="I51" i="6" l="1"/>
  <c r="I61" i="6" s="1"/>
  <c r="I62" i="6" s="1"/>
  <c r="X43" i="6"/>
  <c r="X48" i="6"/>
  <c r="U42" i="6"/>
  <c r="R42" i="6"/>
  <c r="X21" i="6"/>
  <c r="X22" i="6" s="1"/>
  <c r="R21" i="6"/>
  <c r="R28" i="6" s="1"/>
  <c r="R29" i="6" s="1"/>
  <c r="I52" i="6" l="1"/>
  <c r="U43" i="6"/>
  <c r="X49" i="6"/>
  <c r="U48" i="6"/>
  <c r="U49" i="6" s="1"/>
  <c r="X28" i="6"/>
  <c r="X29" i="6" s="1"/>
  <c r="R48" i="6"/>
  <c r="R49" i="6" s="1"/>
  <c r="R43" i="6"/>
  <c r="R22" i="6"/>
  <c r="U28" i="6"/>
  <c r="U29" i="6" s="1"/>
  <c r="U22" i="6"/>
  <c r="D25" i="11" l="1"/>
  <c r="H41" i="11" s="1"/>
  <c r="H53" i="11" s="1"/>
  <c r="H54" i="11" s="1"/>
  <c r="B30" i="11" l="1"/>
  <c r="B32" i="11"/>
</calcChain>
</file>

<file path=xl/sharedStrings.xml><?xml version="1.0" encoding="utf-8"?>
<sst xmlns="http://schemas.openxmlformats.org/spreadsheetml/2006/main" count="451" uniqueCount="201">
  <si>
    <t>Company name</t>
  </si>
  <si>
    <t>`</t>
  </si>
  <si>
    <t>Fiscal year ended</t>
  </si>
  <si>
    <t>1 = Calculate interest on beginning balance</t>
  </si>
  <si>
    <t>2 = Calculate interest on average balance</t>
  </si>
  <si>
    <t>Cost of goods sold</t>
  </si>
  <si>
    <t>Gross Profit</t>
  </si>
  <si>
    <t>Selling, general &amp; administrative expense</t>
  </si>
  <si>
    <t>EBITDA</t>
  </si>
  <si>
    <t>Depreciation</t>
  </si>
  <si>
    <t>Amortization</t>
  </si>
  <si>
    <t>EBIT</t>
  </si>
  <si>
    <t>Interest expense</t>
  </si>
  <si>
    <t>Pretax Income</t>
  </si>
  <si>
    <t>Income taxes</t>
  </si>
  <si>
    <t>Cash</t>
  </si>
  <si>
    <t>Accounts receivable</t>
  </si>
  <si>
    <t>Inventory</t>
  </si>
  <si>
    <t>Other current assets</t>
  </si>
  <si>
    <t>PP&amp;E, net</t>
  </si>
  <si>
    <t>Definite life intangibles</t>
  </si>
  <si>
    <t>Goodwill and other intangibles</t>
  </si>
  <si>
    <t>Other long-term assets</t>
  </si>
  <si>
    <t>Total Assets</t>
  </si>
  <si>
    <t>Accounts payable</t>
  </si>
  <si>
    <t>Other liabilities</t>
  </si>
  <si>
    <t>Long-term debt</t>
  </si>
  <si>
    <t>Other long-term liabilities</t>
  </si>
  <si>
    <t>Total Liabilities &amp; Equity</t>
  </si>
  <si>
    <t>Parity check (A=L+E)</t>
  </si>
  <si>
    <t>Depreciation &amp; amortization</t>
  </si>
  <si>
    <t>Cash from Operating Activities:</t>
  </si>
  <si>
    <t>Capital Expenditures</t>
  </si>
  <si>
    <t>Additions to intangibles</t>
  </si>
  <si>
    <t>Cash from Investing Activities:</t>
  </si>
  <si>
    <t>Scheduled long-term debt payments</t>
  </si>
  <si>
    <t>Dividend payments</t>
  </si>
  <si>
    <t>Cash from Financing Activities:</t>
  </si>
  <si>
    <t>Net change in cash</t>
  </si>
  <si>
    <t>Beginning balance of cash</t>
  </si>
  <si>
    <t>Ending balance of cash</t>
  </si>
  <si>
    <t>N/A</t>
  </si>
  <si>
    <t>COGS as a % of sales</t>
  </si>
  <si>
    <t>SG&amp;A as a % of sales</t>
  </si>
  <si>
    <t>Tax rate</t>
  </si>
  <si>
    <t>Capital Expenditures "CapEx" (amount)</t>
  </si>
  <si>
    <t>Depreciation as a % of CapEx</t>
  </si>
  <si>
    <t>Depreciation ($ amount)</t>
  </si>
  <si>
    <t>Additions to intangibles ($ amount)</t>
  </si>
  <si>
    <t>Amortization ($ amount)</t>
  </si>
  <si>
    <t>Dividends</t>
  </si>
  <si>
    <t>Net income</t>
  </si>
  <si>
    <t>Dividend payout ratio</t>
  </si>
  <si>
    <t>Interest rate on debt</t>
  </si>
  <si>
    <t>Owner's Equity</t>
  </si>
  <si>
    <t>WACC / Discount Rate</t>
  </si>
  <si>
    <t>Revenue</t>
  </si>
  <si>
    <t>COGS</t>
  </si>
  <si>
    <t>SG&amp;A</t>
  </si>
  <si>
    <t>(-) Capex</t>
  </si>
  <si>
    <t>(-) Change in working capital</t>
  </si>
  <si>
    <t>Discounted FCF</t>
  </si>
  <si>
    <t>Ending Enterprise Value</t>
  </si>
  <si>
    <t>REVENUE</t>
  </si>
  <si>
    <t xml:space="preserve">Hire Date </t>
  </si>
  <si>
    <t>Terminal Growth Rate</t>
  </si>
  <si>
    <t>Fiscal End Date:</t>
  </si>
  <si>
    <t xml:space="preserve"> </t>
  </si>
  <si>
    <t>Level</t>
  </si>
  <si>
    <t>Threshold</t>
  </si>
  <si>
    <t>Target</t>
  </si>
  <si>
    <t>Perf Metric</t>
  </si>
  <si>
    <t>NET INCOME</t>
  </si>
  <si>
    <t>Sales Growth</t>
  </si>
  <si>
    <t xml:space="preserve">Starting Enterprise Value </t>
  </si>
  <si>
    <t>TTDC:</t>
  </si>
  <si>
    <t>TTCC:</t>
  </si>
  <si>
    <t>Linear Regression</t>
  </si>
  <si>
    <t>Base Forecast</t>
  </si>
  <si>
    <t>Prorated</t>
  </si>
  <si>
    <t>Base Salary</t>
  </si>
  <si>
    <t>LTI Cash</t>
  </si>
  <si>
    <t>(-) Taxes (1.5% for S-Corp)</t>
  </si>
  <si>
    <t>Payout % of Target</t>
  </si>
  <si>
    <t>Proration %</t>
  </si>
  <si>
    <t>Rev Growth Rate</t>
  </si>
  <si>
    <t>Aggressive (+10%)</t>
  </si>
  <si>
    <t>Conservative (-25%)</t>
  </si>
  <si>
    <t>Full Year TDC</t>
  </si>
  <si>
    <t>Max Cap</t>
  </si>
  <si>
    <t>Attainment %</t>
  </si>
  <si>
    <t>Final LTIP Payout $M</t>
  </si>
  <si>
    <t>Assumption</t>
  </si>
  <si>
    <t>Cash Flow Statement</t>
  </si>
  <si>
    <t>Balance Sheet</t>
  </si>
  <si>
    <t>Income Statement</t>
  </si>
  <si>
    <t>Base</t>
  </si>
  <si>
    <r>
      <rPr>
        <b/>
        <sz val="10"/>
        <color theme="1"/>
        <rFont val="Calibri"/>
        <family val="2"/>
        <scheme val="minor"/>
      </rPr>
      <t xml:space="preserve">👇UNGROUP COLUMNS &amp; ROWS.  </t>
    </r>
    <r>
      <rPr>
        <sz val="10"/>
        <color theme="1"/>
        <rFont val="Calibri"/>
        <family val="2"/>
        <scheme val="minor"/>
      </rPr>
      <t>Scroll all the way to the bottom of the page and update the</t>
    </r>
    <r>
      <rPr>
        <b/>
        <sz val="10"/>
        <color theme="1"/>
        <rFont val="Calibri"/>
        <family val="2"/>
        <scheme val="minor"/>
      </rPr>
      <t xml:space="preserve"> Assumption Section</t>
    </r>
    <r>
      <rPr>
        <sz val="10"/>
        <color theme="1"/>
        <rFont val="Calibri"/>
        <family val="2"/>
        <scheme val="minor"/>
      </rPr>
      <t xml:space="preserve"> first, before updating column F (2024 historical data). "Update all cells </t>
    </r>
    <r>
      <rPr>
        <b/>
        <sz val="10"/>
        <color rgb="FFC00000"/>
        <rFont val="Calibri"/>
        <family val="2"/>
        <scheme val="minor"/>
      </rPr>
      <t>highlighted with red font on a light yellow background</t>
    </r>
    <r>
      <rPr>
        <sz val="10"/>
        <color theme="1"/>
        <rFont val="Calibri"/>
        <family val="2"/>
        <scheme val="minor"/>
      </rPr>
      <t xml:space="preserve"> to automatically forecast the Income Statement, Balance Sheet, and Cash Flow Statement from FY25–FY29. Use these forecasts to set Threshold, Target, and Max/Capped performance metrics (on the right) for the CEO's STI and LTI payouts."</t>
    </r>
  </si>
  <si>
    <r>
      <rPr>
        <b/>
        <i/>
        <sz val="10"/>
        <color rgb="FFFF0000"/>
        <rFont val="Calibri"/>
        <family val="2"/>
        <scheme val="minor"/>
      </rPr>
      <t xml:space="preserve">💡 Note: </t>
    </r>
    <r>
      <rPr>
        <i/>
        <sz val="10"/>
        <color rgb="FFFF0000"/>
        <rFont val="Calibri"/>
        <family val="2"/>
        <scheme val="minor"/>
      </rPr>
      <t>Projection based off of historical 2022- 2024 revenue data*</t>
    </r>
  </si>
  <si>
    <r>
      <t xml:space="preserve">Scenario 1 
</t>
    </r>
    <r>
      <rPr>
        <i/>
        <sz val="10"/>
        <color theme="0"/>
        <rFont val="Calibri"/>
        <family val="2"/>
        <scheme val="minor"/>
      </rPr>
      <t>(Minium Payout)</t>
    </r>
  </si>
  <si>
    <r>
      <t xml:space="preserve">  Scenario 2 
</t>
    </r>
    <r>
      <rPr>
        <i/>
        <sz val="10"/>
        <color theme="0"/>
        <rFont val="Calibri"/>
        <family val="2"/>
        <scheme val="minor"/>
      </rPr>
      <t>(Target Payout)</t>
    </r>
  </si>
  <si>
    <t>LTI Cash $</t>
  </si>
  <si>
    <r>
      <t xml:space="preserve">Scenario 5
</t>
    </r>
    <r>
      <rPr>
        <i/>
        <sz val="10"/>
        <color theme="0"/>
        <rFont val="Calibri"/>
        <family val="2"/>
        <scheme val="minor"/>
      </rPr>
      <t xml:space="preserve"> Interpolated (Target → Max Cap Payout )</t>
    </r>
  </si>
  <si>
    <t xml:space="preserve">Annual Bonus </t>
  </si>
  <si>
    <t>LTIP Target</t>
  </si>
  <si>
    <t>Annual Bonus Target %</t>
  </si>
  <si>
    <t>Annual Bonus Cash</t>
  </si>
  <si>
    <t>EV Growth Goal $M</t>
  </si>
  <si>
    <t>Payout
% of Target--&gt;</t>
  </si>
  <si>
    <r>
      <t xml:space="preserve">  Scenario 3
</t>
    </r>
    <r>
      <rPr>
        <i/>
        <sz val="10"/>
        <color theme="0"/>
        <rFont val="Calibri"/>
        <family val="2"/>
        <scheme val="minor"/>
      </rPr>
      <t xml:space="preserve"> (Maximum Payout )</t>
    </r>
  </si>
  <si>
    <t>📄 TAB OVERVIEW 2: Interactive Total Direct Compensation Calculator</t>
  </si>
  <si>
    <t xml:space="preserve">Select Rev.Growth % Here </t>
  </si>
  <si>
    <t>Custom (update cell k5)</t>
  </si>
  <si>
    <t>📄 TAB OVERVIEW 1: Forecast 2025- 2029 Income, Balance Sheet, and Cash Flow Statements</t>
  </si>
  <si>
    <r>
      <t>This tab serves as a</t>
    </r>
    <r>
      <rPr>
        <b/>
        <sz val="10"/>
        <color theme="1"/>
        <rFont val="Calibri"/>
        <family val="2"/>
        <scheme val="minor"/>
      </rPr>
      <t xml:space="preserve"> reusable forecasting template</t>
    </r>
    <r>
      <rPr>
        <sz val="10"/>
        <color theme="1"/>
        <rFont val="Calibri"/>
        <family val="2"/>
        <scheme val="minor"/>
      </rPr>
      <t xml:space="preserve"> for companies.  It enables their accounting team to project financial performance every 6 months by updating a few key drivers.</t>
    </r>
  </si>
  <si>
    <r>
      <t xml:space="preserve">✔ </t>
    </r>
    <r>
      <rPr>
        <b/>
        <sz val="10"/>
        <rFont val="Calibri"/>
        <family val="2"/>
        <scheme val="minor"/>
      </rPr>
      <t xml:space="preserve">Auto-forecasts </t>
    </r>
    <r>
      <rPr>
        <sz val="10"/>
        <rFont val="Calibri"/>
        <family val="2"/>
        <scheme val="minor"/>
      </rPr>
      <t>the</t>
    </r>
    <r>
      <rPr>
        <b/>
        <sz val="10"/>
        <rFont val="Calibri"/>
        <family val="2"/>
        <scheme val="minor"/>
      </rPr>
      <t xml:space="preserve"> Income Statement, Balance Sheet,</t>
    </r>
    <r>
      <rPr>
        <sz val="10"/>
        <rFont val="Calibri"/>
        <family val="2"/>
        <scheme val="minor"/>
      </rPr>
      <t xml:space="preserve"> and </t>
    </r>
    <r>
      <rPr>
        <b/>
        <sz val="10"/>
        <rFont val="Calibri"/>
        <family val="2"/>
        <scheme val="minor"/>
      </rPr>
      <t>Cash Flow Statement</t>
    </r>
    <r>
      <rPr>
        <sz val="10"/>
        <rFont val="Calibri"/>
        <family val="2"/>
        <scheme val="minor"/>
      </rPr>
      <t xml:space="preserve"> from</t>
    </r>
    <r>
      <rPr>
        <b/>
        <sz val="10"/>
        <rFont val="Calibri"/>
        <family val="2"/>
        <scheme val="minor"/>
      </rPr>
      <t xml:space="preserve"> (2025 to 2029)</t>
    </r>
    <r>
      <rPr>
        <sz val="10"/>
        <rFont val="Calibri"/>
        <family val="2"/>
        <scheme val="minor"/>
      </rPr>
      <t xml:space="preserve">
✔ Designed to support</t>
    </r>
    <r>
      <rPr>
        <b/>
        <sz val="10"/>
        <rFont val="Calibri"/>
        <family val="2"/>
        <scheme val="minor"/>
      </rPr>
      <t xml:space="preserve"> enterprise valuation,</t>
    </r>
    <r>
      <rPr>
        <sz val="10"/>
        <rFont val="Calibri"/>
        <family val="2"/>
        <scheme val="minor"/>
      </rPr>
      <t xml:space="preserve"> strategic planning, and</t>
    </r>
    <r>
      <rPr>
        <b/>
        <sz val="10"/>
        <rFont val="Calibri"/>
        <family val="2"/>
        <scheme val="minor"/>
      </rPr>
      <t xml:space="preserve"> Revenue, EBITDA and Net Income scenario testing</t>
    </r>
    <r>
      <rPr>
        <sz val="10"/>
        <rFont val="Calibri"/>
        <family val="2"/>
        <scheme val="minor"/>
      </rPr>
      <t xml:space="preserve">
✔ Supports internal financial reviews, debt planning, and Incentive</t>
    </r>
    <r>
      <rPr>
        <b/>
        <sz val="10"/>
        <rFont val="Calibri"/>
        <family val="2"/>
        <scheme val="minor"/>
      </rPr>
      <t xml:space="preserve"> design calibration</t>
    </r>
  </si>
  <si>
    <t>Select Bonus Scenario</t>
  </si>
  <si>
    <t>Min Bonus Payout</t>
  </si>
  <si>
    <t>Target Bonus Payout</t>
  </si>
  <si>
    <t>Max Bonus Payout</t>
  </si>
  <si>
    <t>Below Threshold  Payout</t>
  </si>
  <si>
    <t>FY25 Total Direct Compensation Scenario Modelling</t>
  </si>
  <si>
    <t>Min LTIP Payout</t>
  </si>
  <si>
    <t>Target LTIP Payout</t>
  </si>
  <si>
    <t>Max LTIP Payout</t>
  </si>
  <si>
    <t>Select LTIP Scenario</t>
  </si>
  <si>
    <t>btw Threshold &amp; Target Bonus Payout</t>
  </si>
  <si>
    <t>btw Target &amp; Max Bonus Payout</t>
  </si>
  <si>
    <t>btw Threshold &amp;Target LTIP Payout</t>
  </si>
  <si>
    <t>btw Target &amp; Max LTIP Payout</t>
  </si>
  <si>
    <r>
      <t xml:space="preserve">Scenario 4
</t>
    </r>
    <r>
      <rPr>
        <i/>
        <sz val="10"/>
        <color theme="0"/>
        <rFont val="Calibri"/>
        <family val="2"/>
        <scheme val="minor"/>
      </rPr>
      <t>Interpolated (Threshold → Target Payout)</t>
    </r>
  </si>
  <si>
    <t>Mix and Match Diff Bonus 
and LTIP Payout Scenarios</t>
  </si>
  <si>
    <t>Income taxes (1.5%)</t>
  </si>
  <si>
    <t>📄 TAB OVERVIEW 1 : Forecast Revenue, EBITDA, and Net Income</t>
  </si>
  <si>
    <t xml:space="preserve">		$225,419</t>
  </si>
  <si>
    <t xml:space="preserve"> Assumptions</t>
  </si>
  <si>
    <r>
      <rPr>
        <b/>
        <sz val="10"/>
        <color rgb="FF7030A0"/>
        <rFont val="Calibri"/>
        <family val="2"/>
        <scheme val="minor"/>
      </rPr>
      <t xml:space="preserve">
Mix and Match Payout Scenarios Based on Enterprise Value Growth
</t>
    </r>
    <r>
      <rPr>
        <sz val="10"/>
        <color theme="1"/>
        <rFont val="Calibri"/>
        <family val="2"/>
        <scheme val="minor"/>
      </rPr>
      <t>👇 Use this tool to estimate 2025 executive payouts by inputting actual Enterprise Value growth rate. The model calculates LTIP payout % using performance thresholds: threshold, threshold → target, target, target → max, and maximum—and interpolates if actual results fall between levels. 👇 The output includes both full-year and prorated total direct compensation across six payout scenarios. Use dropdowns to test assumptions for annual bonus and LTI outcomes.</t>
    </r>
  </si>
  <si>
    <r>
      <t>👇</t>
    </r>
    <r>
      <rPr>
        <sz val="10"/>
        <color rgb="FFFF0000"/>
        <rFont val="Calibri"/>
        <family val="2"/>
        <scheme val="minor"/>
      </rPr>
      <t>Update the yellow-highlighted red font input cells</t>
    </r>
    <r>
      <rPr>
        <sz val="10"/>
        <color theme="1"/>
        <rFont val="Calibri"/>
        <family val="2"/>
        <scheme val="minor"/>
      </rPr>
      <t xml:space="preserve"> to forecast future Free Cash Flow, Terminal Value, and Enterprise Value using both the Discounted Cash Flow (DCF) and Gordon Growth methods.
👇Select a Revenue Growth Scenario (cell C10), Discount Rate, and Terminal Growth Rate to see valuation outputs dynamically update.</t>
    </r>
  </si>
  <si>
    <t>Final LTIP Payout $</t>
  </si>
  <si>
    <t>Growth Rate %</t>
  </si>
  <si>
    <t>Metric</t>
  </si>
  <si>
    <t>Definition</t>
  </si>
  <si>
    <t>Pros</t>
  </si>
  <si>
    <t xml:space="preserve">	Cons</t>
  </si>
  <si>
    <t>Revenue Growth</t>
  </si>
  <si>
    <t>Net Income</t>
  </si>
  <si>
    <t>Enterprise Value (EV) Growth</t>
  </si>
  <si>
    <t>Free Cash Flow (FCF)</t>
  </si>
  <si>
    <t>Earnings before interest, taxes, depreciation, and amortization.</t>
  </si>
  <si>
    <t>Increase in company value based on discounted cash flow (DCF) of future free cash flows and terminal value.</t>
  </si>
  <si>
    <t>Operating cash flow minus capital expenditures; measures real cash generated from operations.</t>
  </si>
  <si>
    <t>Total top-line sales growth, before costs or expenses.</t>
  </si>
  <si>
    <t>Earnings before interest and taxes; includes depreciation and amortization.</t>
  </si>
  <si>
    <t>Core profit metric; aligns with operational performance; not skewed by taxes or financing.</t>
  </si>
  <si>
    <t>Can be inflated short-term by cutting key spend; ignores capex needs.</t>
  </si>
  <si>
    <t>Ultimate value creation metric; aligns with company valuation for potential exit/IPO.</t>
  </si>
  <si>
    <t>Real measure of liquidity and long-term sustainability.</t>
  </si>
  <si>
    <t>Volatile due to capex timing; influenced by working capital shifts.</t>
  </si>
  <si>
    <t>Easy to understand and measure; encourages growth focus.</t>
  </si>
  <si>
    <t>Can incentivize growth at all costs without profit discipline.</t>
  </si>
  <si>
    <t>Standard GAAP metric; reflects final profitability.</t>
  </si>
  <si>
    <t>Not reflective of actual operating performance in private firms.</t>
  </si>
  <si>
    <t>Includes impact of asset investment through depreciation.</t>
  </si>
  <si>
    <t>Can be distorted by accounting rules; less clear than EBITDA.</t>
  </si>
  <si>
    <r>
      <t xml:space="preserve">📊 </t>
    </r>
    <r>
      <rPr>
        <b/>
        <sz val="14"/>
        <color theme="1"/>
        <rFont val="Calibri"/>
        <family val="2"/>
        <scheme val="minor"/>
      </rPr>
      <t>LTIP Financial Metric Comparison Table (Aligned to 3-Statement Financial Model)</t>
    </r>
  </si>
  <si>
    <t xml:space="preserve">EBITDA
</t>
  </si>
  <si>
    <t>Ungroup columns to view various payout scenarios</t>
  </si>
  <si>
    <t>Value Created</t>
  </si>
  <si>
    <r>
      <rPr>
        <b/>
        <i/>
        <sz val="10"/>
        <color theme="0"/>
        <rFont val="Calibri"/>
        <family val="2"/>
        <scheme val="minor"/>
      </rPr>
      <t xml:space="preserve">💡 Note: </t>
    </r>
    <r>
      <rPr>
        <i/>
        <sz val="10"/>
        <color theme="0"/>
        <rFont val="Calibri"/>
        <family val="2"/>
        <scheme val="minor"/>
      </rPr>
      <t>Projection based off of historical 2022- 2024 revenue data*</t>
    </r>
  </si>
  <si>
    <t>Final Total Direct Comp</t>
  </si>
  <si>
    <t>STI Target %</t>
  </si>
  <si>
    <t>STI Cash</t>
  </si>
  <si>
    <t>Prorated Based on Hire Date</t>
  </si>
  <si>
    <t>Enter Final Result Here</t>
  </si>
  <si>
    <t>Enterprise Value Created</t>
  </si>
  <si>
    <t>EBITDA Goal $M</t>
  </si>
  <si>
    <t>FY25 Actual EBITDA Result and Final LTI Payment</t>
  </si>
  <si>
    <t>FY25 EBITDA Performance Target</t>
  </si>
  <si>
    <t>Select Rev Growth Rate</t>
  </si>
  <si>
    <t>EBITDA $M</t>
  </si>
  <si>
    <t>EV Growth ($M)</t>
  </si>
  <si>
    <t>Final LTI Cash</t>
  </si>
  <si>
    <t>Unlevered Free Cash Flow (FCF)</t>
  </si>
  <si>
    <t>PV of Forecasted FCF</t>
  </si>
  <si>
    <t>Undiscounted Terminal (FV)</t>
  </si>
  <si>
    <t>Discounted Terminal Value (PV)</t>
  </si>
  <si>
    <r>
      <rPr>
        <b/>
        <i/>
        <sz val="9"/>
        <color rgb="FFFF0000"/>
        <rFont val="Calibri"/>
        <family val="2"/>
        <scheme val="minor"/>
      </rPr>
      <t xml:space="preserve">Note: </t>
    </r>
    <r>
      <rPr>
        <i/>
        <sz val="9"/>
        <color rgb="FFFF0000"/>
        <rFont val="Calibri"/>
        <family val="2"/>
        <scheme val="minor"/>
      </rPr>
      <t xml:space="preserve">Final payout reflects </t>
    </r>
    <r>
      <rPr>
        <b/>
        <i/>
        <sz val="9"/>
        <color rgb="FFFF0000"/>
        <rFont val="Calibri"/>
        <family val="2"/>
        <scheme val="minor"/>
      </rPr>
      <t>118.5%</t>
    </r>
    <r>
      <rPr>
        <i/>
        <sz val="9"/>
        <color rgb="FFFF0000"/>
        <rFont val="Calibri"/>
        <family val="2"/>
        <scheme val="minor"/>
      </rPr>
      <t xml:space="preserve"> of the</t>
    </r>
    <r>
      <rPr>
        <b/>
        <i/>
        <sz val="9"/>
        <color rgb="FFFF0000"/>
        <rFont val="Calibri"/>
        <family val="2"/>
        <scheme val="minor"/>
      </rPr>
      <t xml:space="preserve"> $200,000</t>
    </r>
    <r>
      <rPr>
        <i/>
        <sz val="9"/>
        <color rgb="FFFF0000"/>
        <rFont val="Calibri"/>
        <family val="2"/>
        <scheme val="minor"/>
      </rPr>
      <t xml:space="preserve"> LTIP target, based on EV growth attainment of </t>
    </r>
    <r>
      <rPr>
        <b/>
        <i/>
        <sz val="9"/>
        <color rgb="FFFF0000"/>
        <rFont val="Calibri"/>
        <family val="2"/>
        <scheme val="minor"/>
      </rPr>
      <t>104%</t>
    </r>
  </si>
  <si>
    <t>FY26 Actual Enterprise Value (EV) Growth and Final LTIP Payout</t>
  </si>
  <si>
    <t>📄 TAB OVERVIEW 1 : Forecast Enterprise Value Creation YOY</t>
  </si>
  <si>
    <t xml:space="preserve">Total Company Enterprise Value (EV) </t>
  </si>
  <si>
    <t>Requires modeling; doesn't translate to short-term ops performance.</t>
  </si>
  <si>
    <t>Profit after all costs, taxes, and interest — the bottom line of the income statement.</t>
  </si>
  <si>
    <t>(Used Gordon Growth Formula)</t>
  </si>
  <si>
    <t>('Used DCF Formula)</t>
  </si>
  <si>
    <t>📄 TAB OVERVIEW 2: Interactive TDC Calculator</t>
  </si>
  <si>
    <t>FY26 Total Direct Compensation Scenario Modelling</t>
  </si>
  <si>
    <t>FY26 EV Growth Performance Target</t>
  </si>
  <si>
    <r>
      <t>At</t>
    </r>
    <r>
      <rPr>
        <b/>
        <i/>
        <sz val="10"/>
        <color rgb="FFFF0000"/>
        <rFont val="Calibri"/>
        <family val="2"/>
        <scheme val="minor"/>
      </rPr>
      <t xml:space="preserve"> 100% </t>
    </r>
    <r>
      <rPr>
        <i/>
        <sz val="10"/>
        <color rgb="FFFF0000"/>
        <rFont val="Calibri"/>
        <family val="2"/>
        <scheme val="minor"/>
      </rPr>
      <t xml:space="preserve">target, the LTIP is </t>
    </r>
    <r>
      <rPr>
        <b/>
        <i/>
        <sz val="10"/>
        <color rgb="FFFF0000"/>
        <rFont val="Calibri"/>
        <family val="2"/>
        <scheme val="minor"/>
      </rPr>
      <t>$200,000</t>
    </r>
    <r>
      <rPr>
        <i/>
        <sz val="10"/>
        <color rgb="FFFF0000"/>
        <rFont val="Calibri"/>
        <family val="2"/>
        <scheme val="minor"/>
      </rPr>
      <t xml:space="preserve">. With a </t>
    </r>
    <r>
      <rPr>
        <b/>
        <i/>
        <sz val="10"/>
        <color rgb="FFFF0000"/>
        <rFont val="Calibri"/>
        <family val="2"/>
        <scheme val="minor"/>
      </rPr>
      <t>94.85%</t>
    </r>
    <r>
      <rPr>
        <i/>
        <sz val="10"/>
        <color rgb="FFFF0000"/>
        <rFont val="Calibri"/>
        <family val="2"/>
        <scheme val="minor"/>
      </rPr>
      <t xml:space="preserve"> attainment of the EBITDA goal, the payout is calculated at </t>
    </r>
    <r>
      <rPr>
        <b/>
        <i/>
        <sz val="10"/>
        <color rgb="FFFF0000"/>
        <rFont val="Calibri"/>
        <family val="2"/>
        <scheme val="minor"/>
      </rPr>
      <t>74.23% of the target,</t>
    </r>
    <r>
      <rPr>
        <i/>
        <sz val="10"/>
        <color rgb="FFFF0000"/>
        <rFont val="Calibri"/>
        <family val="2"/>
        <scheme val="minor"/>
      </rPr>
      <t xml:space="preserve"> resulting in a final payout of </t>
    </r>
    <r>
      <rPr>
        <b/>
        <i/>
        <sz val="10"/>
        <color rgb="FFFF0000"/>
        <rFont val="Calibri"/>
        <family val="2"/>
        <scheme val="minor"/>
      </rPr>
      <t>$148,469.</t>
    </r>
  </si>
  <si>
    <t>Company X</t>
  </si>
  <si>
    <r>
      <rPr>
        <b/>
        <i/>
        <sz val="10"/>
        <rFont val="Calibri"/>
        <family val="2"/>
        <scheme val="minor"/>
      </rPr>
      <t xml:space="preserve">Note: 
- </t>
    </r>
    <r>
      <rPr>
        <i/>
        <sz val="10"/>
        <rFont val="Calibri"/>
        <family val="2"/>
        <scheme val="minor"/>
      </rPr>
      <t xml:space="preserve">Any performance achievement </t>
    </r>
    <r>
      <rPr>
        <b/>
        <i/>
        <sz val="10"/>
        <rFont val="Calibri"/>
        <family val="2"/>
        <scheme val="minor"/>
      </rPr>
      <t xml:space="preserve">above 110% </t>
    </r>
    <r>
      <rPr>
        <i/>
        <sz val="10"/>
        <rFont val="Calibri"/>
        <family val="2"/>
        <scheme val="minor"/>
      </rPr>
      <t xml:space="preserve">will be </t>
    </r>
    <r>
      <rPr>
        <b/>
        <i/>
        <sz val="10"/>
        <rFont val="Calibri"/>
        <family val="2"/>
        <scheme val="minor"/>
      </rPr>
      <t xml:space="preserve">capped at a 150% payout </t>
    </r>
    <r>
      <rPr>
        <i/>
        <sz val="10"/>
        <rFont val="Calibri"/>
        <family val="2"/>
        <scheme val="minor"/>
      </rPr>
      <t xml:space="preserve">of annual LTIP target
- Achievement of </t>
    </r>
    <r>
      <rPr>
        <b/>
        <i/>
        <sz val="10"/>
        <rFont val="Calibri"/>
        <family val="2"/>
        <scheme val="minor"/>
      </rPr>
      <t>90%</t>
    </r>
    <r>
      <rPr>
        <i/>
        <sz val="10"/>
        <rFont val="Calibri"/>
        <family val="2"/>
        <scheme val="minor"/>
      </rPr>
      <t xml:space="preserve"> will result in</t>
    </r>
    <r>
      <rPr>
        <b/>
        <i/>
        <sz val="10"/>
        <rFont val="Calibri"/>
        <family val="2"/>
        <scheme val="minor"/>
      </rPr>
      <t xml:space="preserve"> 50% payout</t>
    </r>
    <r>
      <rPr>
        <i/>
        <sz val="10"/>
        <rFont val="Calibri"/>
        <family val="2"/>
        <scheme val="minor"/>
      </rPr>
      <t xml:space="preserve">
- Achievement</t>
    </r>
    <r>
      <rPr>
        <b/>
        <i/>
        <sz val="10"/>
        <rFont val="Calibri"/>
        <family val="2"/>
        <scheme val="minor"/>
      </rPr>
      <t xml:space="preserve"> below 50%</t>
    </r>
    <r>
      <rPr>
        <i/>
        <sz val="10"/>
        <rFont val="Calibri"/>
        <family val="2"/>
        <scheme val="minor"/>
      </rPr>
      <t xml:space="preserve"> will result in </t>
    </r>
    <r>
      <rPr>
        <b/>
        <i/>
        <sz val="10"/>
        <rFont val="Calibri"/>
        <family val="2"/>
        <scheme val="minor"/>
      </rPr>
      <t>0% payout</t>
    </r>
    <r>
      <rPr>
        <i/>
        <sz val="10"/>
        <rFont val="Calibri"/>
        <family val="2"/>
        <scheme val="minor"/>
      </rPr>
      <t xml:space="preserve">
- Performance</t>
    </r>
    <r>
      <rPr>
        <b/>
        <i/>
        <sz val="10"/>
        <rFont val="Calibri"/>
        <family val="2"/>
        <scheme val="minor"/>
      </rPr>
      <t xml:space="preserve"> between threshold and target, </t>
    </r>
    <r>
      <rPr>
        <i/>
        <sz val="10"/>
        <rFont val="Calibri"/>
        <family val="2"/>
        <scheme val="minor"/>
      </rPr>
      <t xml:space="preserve">or </t>
    </r>
    <r>
      <rPr>
        <b/>
        <i/>
        <sz val="10"/>
        <rFont val="Calibri"/>
        <family val="2"/>
        <scheme val="minor"/>
      </rPr>
      <t xml:space="preserve">target and max payout, </t>
    </r>
    <r>
      <rPr>
        <i/>
        <sz val="10"/>
        <rFont val="Calibri"/>
        <family val="2"/>
        <scheme val="minor"/>
      </rPr>
      <t>will be</t>
    </r>
    <r>
      <rPr>
        <b/>
        <i/>
        <sz val="10"/>
        <rFont val="Calibri"/>
        <family val="2"/>
        <scheme val="minor"/>
      </rPr>
      <t xml:space="preserve"> interpolated.</t>
    </r>
  </si>
  <si>
    <r>
      <t xml:space="preserve">Note: 
</t>
    </r>
    <r>
      <rPr>
        <i/>
        <sz val="10"/>
        <rFont val="Calibri"/>
        <family val="2"/>
        <scheme val="minor"/>
      </rPr>
      <t xml:space="preserve">- Any performance achievement </t>
    </r>
    <r>
      <rPr>
        <b/>
        <i/>
        <sz val="10"/>
        <rFont val="Calibri"/>
        <family val="2"/>
        <scheme val="minor"/>
      </rPr>
      <t>above 110%</t>
    </r>
    <r>
      <rPr>
        <i/>
        <sz val="10"/>
        <rFont val="Calibri"/>
        <family val="2"/>
        <scheme val="minor"/>
      </rPr>
      <t xml:space="preserve"> will be capped at a </t>
    </r>
    <r>
      <rPr>
        <b/>
        <i/>
        <sz val="10"/>
        <rFont val="Calibri"/>
        <family val="2"/>
        <scheme val="minor"/>
      </rPr>
      <t>150% payout</t>
    </r>
    <r>
      <rPr>
        <i/>
        <sz val="10"/>
        <rFont val="Calibri"/>
        <family val="2"/>
        <scheme val="minor"/>
      </rPr>
      <t xml:space="preserve"> of annual LTIP target
- Achievement o</t>
    </r>
    <r>
      <rPr>
        <b/>
        <i/>
        <sz val="10"/>
        <rFont val="Calibri"/>
        <family val="2"/>
        <scheme val="minor"/>
      </rPr>
      <t>f 90%</t>
    </r>
    <r>
      <rPr>
        <i/>
        <sz val="10"/>
        <rFont val="Calibri"/>
        <family val="2"/>
        <scheme val="minor"/>
      </rPr>
      <t xml:space="preserve"> will result in </t>
    </r>
    <r>
      <rPr>
        <b/>
        <i/>
        <sz val="10"/>
        <rFont val="Calibri"/>
        <family val="2"/>
        <scheme val="minor"/>
      </rPr>
      <t>50% payout</t>
    </r>
    <r>
      <rPr>
        <i/>
        <sz val="10"/>
        <rFont val="Calibri"/>
        <family val="2"/>
        <scheme val="minor"/>
      </rPr>
      <t xml:space="preserve">
- Achievement below </t>
    </r>
    <r>
      <rPr>
        <b/>
        <i/>
        <sz val="10"/>
        <rFont val="Calibri"/>
        <family val="2"/>
        <scheme val="minor"/>
      </rPr>
      <t>50%</t>
    </r>
    <r>
      <rPr>
        <i/>
        <sz val="10"/>
        <rFont val="Calibri"/>
        <family val="2"/>
        <scheme val="minor"/>
      </rPr>
      <t xml:space="preserve"> will result in </t>
    </r>
    <r>
      <rPr>
        <b/>
        <i/>
        <sz val="10"/>
        <rFont val="Calibri"/>
        <family val="2"/>
        <scheme val="minor"/>
      </rPr>
      <t>0% payout</t>
    </r>
    <r>
      <rPr>
        <i/>
        <sz val="10"/>
        <rFont val="Calibri"/>
        <family val="2"/>
        <scheme val="minor"/>
      </rPr>
      <t xml:space="preserve">
- Performance</t>
    </r>
    <r>
      <rPr>
        <b/>
        <i/>
        <sz val="10"/>
        <rFont val="Calibri"/>
        <family val="2"/>
        <scheme val="minor"/>
      </rPr>
      <t xml:space="preserve"> between threshold and target, </t>
    </r>
    <r>
      <rPr>
        <i/>
        <sz val="10"/>
        <rFont val="Calibri"/>
        <family val="2"/>
        <scheme val="minor"/>
      </rPr>
      <t>or</t>
    </r>
    <r>
      <rPr>
        <b/>
        <i/>
        <sz val="10"/>
        <rFont val="Calibri"/>
        <family val="2"/>
        <scheme val="minor"/>
      </rPr>
      <t xml:space="preserve"> target and max payout</t>
    </r>
    <r>
      <rPr>
        <i/>
        <sz val="10"/>
        <rFont val="Calibri"/>
        <family val="2"/>
        <scheme val="minor"/>
      </rPr>
      <t xml:space="preserve">, will be </t>
    </r>
    <r>
      <rPr>
        <b/>
        <i/>
        <sz val="10"/>
        <rFont val="Calibri"/>
        <family val="2"/>
        <scheme val="minor"/>
      </rPr>
      <t>interpolated.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</si>
</sst>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%_);\(#,##0.0%\)"/>
    <numFmt numFmtId="165" formatCode="m/d/yyyy;@"/>
    <numFmt numFmtId="166" formatCode="#,##0.0_);\(#,##0.0\)"/>
    <numFmt numFmtId="167" formatCode="0&quot;A&quot;_)"/>
    <numFmt numFmtId="168" formatCode="0&quot;E&quot;_)"/>
    <numFmt numFmtId="169" formatCode="&quot;$&quot;#,##0.0_);\(&quot;$&quot;#,##0.0\)"/>
    <numFmt numFmtId="170" formatCode="0.0%_);\(0.0%\)"/>
    <numFmt numFmtId="171" formatCode="0%_);\(0%\)"/>
    <numFmt numFmtId="172" formatCode="#,##0%_);\(#,##0%\)"/>
    <numFmt numFmtId="173" formatCode="&quot;$&quot;#,##0"/>
    <numFmt numFmtId="174" formatCode="_(#,##0.0%_);\(#,##0.0%\);_(&quot;–&quot;_)_%;_(@_)_%"/>
    <numFmt numFmtId="175" formatCode="&quot;$&quot;#,##0.0"/>
    <numFmt numFmtId="176" formatCode="0.0%"/>
    <numFmt numFmtId="177" formatCode="&quot;$&quot;#,##0.00"/>
  </numFmts>
  <fonts count="78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2"/>
    </font>
    <font>
      <sz val="10"/>
      <color theme="1"/>
      <name val="Times New Roman"/>
      <family val="2"/>
    </font>
    <font>
      <sz val="10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7"/>
      <color theme="0" tint="-0.34998626667073579"/>
      <name val="Arial"/>
      <family val="2"/>
    </font>
    <font>
      <sz val="10"/>
      <name val="Arial"/>
      <family val="2"/>
    </font>
    <font>
      <sz val="10"/>
      <name val="Segoe UI"/>
      <family val="2"/>
    </font>
    <font>
      <sz val="7"/>
      <color theme="0" tint="-0.34998626667073579"/>
      <name val="Calibri"/>
      <family val="2"/>
      <scheme val="minor"/>
    </font>
    <font>
      <sz val="10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rgb="FFC00000"/>
      <name val="Calibri"/>
      <family val="2"/>
      <scheme val="minor"/>
    </font>
    <font>
      <i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5"/>
      <color theme="3" tint="-0.249977111117893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1"/>
      <color rgb="FF000000"/>
      <name val="Calibri"/>
      <family val="2"/>
    </font>
    <font>
      <sz val="10"/>
      <color rgb="FF00B050"/>
      <name val="Calibri"/>
      <family val="2"/>
      <scheme val="minor"/>
    </font>
    <font>
      <sz val="10"/>
      <color rgb="FF00206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i/>
      <sz val="1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00A249"/>
      <name val="Calibri"/>
      <family val="2"/>
      <scheme val="minor"/>
    </font>
    <font>
      <b/>
      <sz val="10"/>
      <color rgb="FF7030A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6" tint="-0.499984740745262"/>
      <name val="Calibri"/>
      <family val="2"/>
      <scheme val="minor"/>
    </font>
    <font>
      <sz val="10"/>
      <color theme="9" tint="-0.499984740745262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10"/>
      <color rgb="FFE061ED"/>
      <name val="Calibri"/>
      <family val="2"/>
      <scheme val="minor"/>
    </font>
    <font>
      <b/>
      <i/>
      <sz val="11"/>
      <color theme="2" tint="-0.749992370372631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1"/>
      <color rgb="FF00206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i/>
      <sz val="14"/>
      <color rgb="FFFF0000"/>
      <name val="Calibri"/>
      <family val="2"/>
      <scheme val="minor"/>
    </font>
    <font>
      <sz val="10"/>
      <color rgb="FF0070C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00B0F0"/>
      <name val="Calibri"/>
      <family val="2"/>
      <scheme val="minor"/>
    </font>
    <font>
      <i/>
      <sz val="14"/>
      <name val="Calibri"/>
      <family val="2"/>
      <scheme val="minor"/>
    </font>
    <font>
      <b/>
      <sz val="15"/>
      <name val="Calibri"/>
      <family val="2"/>
      <scheme val="minor"/>
    </font>
    <font>
      <b/>
      <i/>
      <u/>
      <sz val="10"/>
      <name val="Calibri"/>
      <family val="2"/>
      <scheme val="minor"/>
    </font>
    <font>
      <i/>
      <sz val="10"/>
      <color rgb="FFC00000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b/>
      <i/>
      <sz val="10"/>
      <color rgb="FFC0000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i/>
      <sz val="10"/>
      <color rgb="FF7030A0"/>
      <name val="Calibri"/>
      <family val="2"/>
      <scheme val="minor"/>
    </font>
    <font>
      <i/>
      <sz val="10"/>
      <color theme="2" tint="-0.499984740745262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rgb="FFFFFFE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D3FDD5"/>
        <bgColor indexed="64"/>
      </patternFill>
    </fill>
    <fill>
      <patternFill patternType="solid">
        <fgColor rgb="FFFEDAFE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DCFBFC"/>
        <bgColor indexed="64"/>
      </patternFill>
    </fill>
    <fill>
      <patternFill patternType="solid">
        <fgColor rgb="FFFDE3FB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rgb="FFFFC000"/>
      </patternFill>
    </fill>
    <fill>
      <patternFill patternType="solid">
        <fgColor theme="0"/>
        <bgColor rgb="FFFFFF00"/>
      </patternFill>
    </fill>
    <fill>
      <patternFill patternType="solid">
        <fgColor theme="0" tint="-0.14999847407452621"/>
        <bgColor rgb="FF002060"/>
      </patternFill>
    </fill>
    <fill>
      <patternFill patternType="solid">
        <fgColor rgb="FFFFFFE5"/>
        <bgColor rgb="FFFFFFFF"/>
      </patternFill>
    </fill>
    <fill>
      <patternFill patternType="solid">
        <fgColor rgb="FFDCFBFC"/>
        <bgColor rgb="FFFFFFFF"/>
      </patternFill>
    </fill>
    <fill>
      <patternFill patternType="solid">
        <fgColor rgb="FFFFFF00"/>
        <bgColor rgb="FFFFC000"/>
      </patternFill>
    </fill>
    <fill>
      <patternFill patternType="solid">
        <fgColor rgb="FFFFFFF7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E5"/>
        <bgColor rgb="FFFFC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DF2FF"/>
        <bgColor indexed="64"/>
      </patternFill>
    </fill>
    <fill>
      <patternFill patternType="solid">
        <fgColor rgb="FFCDF2FF"/>
        <bgColor rgb="FFFFFFFF"/>
      </patternFill>
    </fill>
    <fill>
      <patternFill patternType="solid">
        <fgColor rgb="FFFFF1C5"/>
        <bgColor indexed="64"/>
      </patternFill>
    </fill>
    <fill>
      <patternFill patternType="solid">
        <fgColor rgb="FFF1EFF5"/>
        <bgColor indexed="64"/>
      </patternFill>
    </fill>
    <fill>
      <patternFill patternType="solid">
        <fgColor rgb="FFE1F7FF"/>
        <bgColor indexed="64"/>
      </patternFill>
    </fill>
  </fills>
  <borders count="9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theme="0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 style="medium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/>
      <bottom/>
      <diagonal/>
    </border>
    <border>
      <left style="thin">
        <color rgb="FFC00000"/>
      </left>
      <right style="thin">
        <color rgb="FFC00000"/>
      </right>
      <top/>
      <bottom style="thin">
        <color rgb="FFC00000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hair">
        <color theme="0" tint="-0.499984740745262"/>
      </right>
      <top style="medium">
        <color theme="1" tint="0.34998626667073579"/>
      </top>
      <bottom style="medium">
        <color theme="1" tint="0.34998626667073579"/>
      </bottom>
      <diagonal/>
    </border>
    <border>
      <left/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medium">
        <color rgb="FFC00000"/>
      </left>
      <right/>
      <top/>
      <bottom/>
      <diagonal/>
    </border>
    <border>
      <left style="hair">
        <color theme="1" tint="0.499984740745262"/>
      </left>
      <right/>
      <top/>
      <bottom/>
      <diagonal/>
    </border>
    <border>
      <left style="thin">
        <color rgb="FFC00000"/>
      </left>
      <right style="hair">
        <color theme="1" tint="0.499984740745262"/>
      </right>
      <top style="thin">
        <color rgb="FFC00000"/>
      </top>
      <bottom style="thin">
        <color rgb="FFC00000"/>
      </bottom>
      <diagonal/>
    </border>
    <border>
      <left/>
      <right style="hair">
        <color theme="1" tint="0.499984740745262"/>
      </right>
      <top/>
      <bottom/>
      <diagonal/>
    </border>
    <border>
      <left/>
      <right style="hair">
        <color theme="1" tint="0.499984740745262"/>
      </right>
      <top/>
      <bottom style="double">
        <color indexed="64"/>
      </bottom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/>
      <right style="hair">
        <color theme="1" tint="0.499984740745262"/>
      </right>
      <top/>
      <bottom style="hair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 style="hair">
        <color theme="0" tint="-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0" tint="-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0" tint="-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 style="medium">
        <color theme="1" tint="0.499984740745262"/>
      </right>
      <top/>
      <bottom/>
      <diagonal/>
    </border>
    <border>
      <left style="medium">
        <color theme="1" tint="0.499984740745262"/>
      </left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 style="medium">
        <color rgb="FFC00000"/>
      </right>
      <top style="medium">
        <color theme="1" tint="0.499984740745262"/>
      </top>
      <bottom/>
      <diagonal/>
    </border>
    <border>
      <left style="medium">
        <color rgb="FFC00000"/>
      </left>
      <right/>
      <top style="medium">
        <color theme="1" tint="0.499984740745262"/>
      </top>
      <bottom/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 style="medium">
        <color rgb="FFC00000"/>
      </right>
      <top/>
      <bottom/>
      <diagonal/>
    </border>
    <border>
      <left style="medium">
        <color theme="1" tint="0.499984740745262"/>
      </left>
      <right style="medium">
        <color rgb="FFC00000"/>
      </right>
      <top/>
      <bottom style="medium">
        <color theme="1" tint="0.499984740745262"/>
      </bottom>
      <diagonal/>
    </border>
    <border>
      <left style="medium">
        <color rgb="FFC00000"/>
      </left>
      <right/>
      <top/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hair">
        <color theme="0" tint="-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/>
      <right style="hair">
        <color theme="1" tint="0.499984740745262"/>
      </right>
      <top style="medium">
        <color theme="1" tint="0.499984740745262"/>
      </top>
      <bottom style="thin">
        <color rgb="FFC00000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medium">
        <color theme="1" tint="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medium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00000"/>
      </left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rgb="FFC00000"/>
      </left>
      <right style="medium">
        <color theme="1" tint="0.499984740745262"/>
      </right>
      <top/>
      <bottom/>
      <diagonal/>
    </border>
    <border>
      <left style="medium">
        <color rgb="FFC00000"/>
      </left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1" tint="0.499984740745262"/>
      </bottom>
      <diagonal/>
    </border>
    <border>
      <left/>
      <right/>
      <top style="medium">
        <color theme="0" tint="-0.499984740745262"/>
      </top>
      <bottom style="medium">
        <color theme="1" tint="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1" tint="0.499984740745262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1" tint="0.499984740745262"/>
      </right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9" fontId="4" fillId="0" borderId="0" applyFont="0" applyFill="0" applyBorder="0" applyAlignment="0" applyProtection="0"/>
    <xf numFmtId="0" fontId="7" fillId="0" borderId="0" applyNumberFormat="0" applyFill="0" applyBorder="0" applyAlignment="0"/>
    <xf numFmtId="9" fontId="8" fillId="0" borderId="0" applyFont="0" applyFill="0" applyBorder="0" applyAlignment="0" applyProtection="0"/>
    <xf numFmtId="0" fontId="9" fillId="0" borderId="0"/>
    <xf numFmtId="0" fontId="26" fillId="0" borderId="9" applyNumberFormat="0" applyFill="0" applyAlignment="0" applyProtection="0"/>
    <xf numFmtId="0" fontId="30" fillId="0" borderId="0"/>
    <xf numFmtId="44" fontId="3" fillId="0" borderId="0" applyFont="0" applyFill="0" applyBorder="0" applyAlignment="0" applyProtection="0"/>
    <xf numFmtId="0" fontId="3" fillId="0" borderId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29">
    <xf numFmtId="0" fontId="0" fillId="0" borderId="0" xfId="0"/>
    <xf numFmtId="0" fontId="10" fillId="0" borderId="0" xfId="2" applyFont="1" applyAlignment="1">
      <alignment horizontal="left" vertical="top"/>
    </xf>
    <xf numFmtId="0" fontId="11" fillId="0" borderId="0" xfId="4" applyFont="1" applyAlignment="1" applyProtection="1">
      <alignment horizontal="left" vertical="top"/>
      <protection hidden="1"/>
    </xf>
    <xf numFmtId="0" fontId="11" fillId="0" borderId="0" xfId="4" applyFont="1" applyAlignment="1">
      <alignment horizontal="left" vertical="top"/>
    </xf>
    <xf numFmtId="0" fontId="15" fillId="0" borderId="0" xfId="4" applyFont="1" applyAlignment="1" applyProtection="1">
      <alignment horizontal="left" vertical="top"/>
      <protection hidden="1"/>
    </xf>
    <xf numFmtId="0" fontId="15" fillId="0" borderId="6" xfId="4" applyFont="1" applyBorder="1" applyAlignment="1" applyProtection="1">
      <alignment horizontal="left" vertical="top"/>
      <protection hidden="1"/>
    </xf>
    <xf numFmtId="169" fontId="15" fillId="0" borderId="6" xfId="4" applyNumberFormat="1" applyFont="1" applyBorder="1" applyAlignment="1" applyProtection="1">
      <alignment horizontal="left" vertical="top"/>
      <protection hidden="1"/>
    </xf>
    <xf numFmtId="170" fontId="12" fillId="0" borderId="0" xfId="4" applyNumberFormat="1" applyFont="1" applyAlignment="1" applyProtection="1">
      <alignment horizontal="left" vertical="top"/>
      <protection hidden="1"/>
    </xf>
    <xf numFmtId="0" fontId="11" fillId="0" borderId="7" xfId="4" applyFont="1" applyBorder="1" applyAlignment="1" applyProtection="1">
      <alignment horizontal="left" vertical="top"/>
      <protection hidden="1"/>
    </xf>
    <xf numFmtId="0" fontId="17" fillId="0" borderId="0" xfId="2" applyFont="1" applyAlignment="1">
      <alignment horizontal="left" vertical="top"/>
    </xf>
    <xf numFmtId="0" fontId="18" fillId="4" borderId="0" xfId="4" applyFont="1" applyFill="1" applyAlignment="1" applyProtection="1">
      <alignment horizontal="left" vertical="top"/>
      <protection hidden="1"/>
    </xf>
    <xf numFmtId="0" fontId="19" fillId="4" borderId="0" xfId="4" applyFont="1" applyFill="1" applyAlignment="1">
      <alignment horizontal="left" vertical="top"/>
    </xf>
    <xf numFmtId="167" fontId="18" fillId="4" borderId="4" xfId="4" applyNumberFormat="1" applyFont="1" applyFill="1" applyBorder="1" applyAlignment="1">
      <alignment horizontal="left" vertical="top"/>
    </xf>
    <xf numFmtId="0" fontId="20" fillId="0" borderId="0" xfId="4" applyFont="1" applyAlignment="1">
      <alignment horizontal="left" vertical="top"/>
    </xf>
    <xf numFmtId="0" fontId="21" fillId="0" borderId="0" xfId="2" applyFont="1" applyAlignment="1">
      <alignment horizontal="left" vertical="top"/>
    </xf>
    <xf numFmtId="0" fontId="22" fillId="0" borderId="0" xfId="2" applyFont="1" applyAlignment="1">
      <alignment horizontal="left" vertical="top"/>
    </xf>
    <xf numFmtId="0" fontId="23" fillId="0" borderId="0" xfId="4" applyFont="1" applyAlignment="1" applyProtection="1">
      <alignment horizontal="left" vertical="top"/>
      <protection hidden="1"/>
    </xf>
    <xf numFmtId="0" fontId="11" fillId="0" borderId="8" xfId="4" applyFont="1" applyBorder="1" applyAlignment="1" applyProtection="1">
      <alignment horizontal="left" vertical="top"/>
      <protection hidden="1"/>
    </xf>
    <xf numFmtId="5" fontId="11" fillId="3" borderId="0" xfId="4" applyNumberFormat="1" applyFont="1" applyFill="1" applyAlignment="1" applyProtection="1">
      <alignment horizontal="left" vertical="top"/>
      <protection hidden="1"/>
    </xf>
    <xf numFmtId="5" fontId="15" fillId="0" borderId="0" xfId="4" applyNumberFormat="1" applyFont="1" applyAlignment="1" applyProtection="1">
      <alignment horizontal="left" vertical="top"/>
      <protection hidden="1"/>
    </xf>
    <xf numFmtId="5" fontId="23" fillId="0" borderId="0" xfId="4" applyNumberFormat="1" applyFont="1" applyAlignment="1" applyProtection="1">
      <alignment horizontal="left" vertical="top"/>
      <protection hidden="1"/>
    </xf>
    <xf numFmtId="171" fontId="11" fillId="0" borderId="0" xfId="4" applyNumberFormat="1" applyFont="1" applyAlignment="1" applyProtection="1">
      <alignment horizontal="left" vertical="top"/>
      <protection hidden="1"/>
    </xf>
    <xf numFmtId="172" fontId="11" fillId="0" borderId="7" xfId="4" applyNumberFormat="1" applyFont="1" applyBorder="1" applyAlignment="1" applyProtection="1">
      <alignment horizontal="left" vertical="top"/>
      <protection hidden="1"/>
    </xf>
    <xf numFmtId="173" fontId="11" fillId="0" borderId="0" xfId="4" applyNumberFormat="1" applyFont="1" applyAlignment="1" applyProtection="1">
      <alignment horizontal="left" vertical="top"/>
      <protection hidden="1"/>
    </xf>
    <xf numFmtId="173" fontId="11" fillId="0" borderId="8" xfId="4" applyNumberFormat="1" applyFont="1" applyBorder="1" applyAlignment="1" applyProtection="1">
      <alignment horizontal="left" vertical="top"/>
      <protection hidden="1"/>
    </xf>
    <xf numFmtId="5" fontId="11" fillId="0" borderId="7" xfId="4" applyNumberFormat="1" applyFont="1" applyBorder="1" applyAlignment="1" applyProtection="1">
      <alignment horizontal="left" vertical="top"/>
      <protection hidden="1"/>
    </xf>
    <xf numFmtId="9" fontId="11" fillId="3" borderId="7" xfId="1" applyFont="1" applyFill="1" applyBorder="1" applyAlignment="1" applyProtection="1">
      <alignment horizontal="left" vertical="top"/>
      <protection hidden="1"/>
    </xf>
    <xf numFmtId="171" fontId="11" fillId="3" borderId="7" xfId="4" applyNumberFormat="1" applyFont="1" applyFill="1" applyBorder="1" applyAlignment="1" applyProtection="1">
      <alignment horizontal="left" vertical="top"/>
      <protection hidden="1"/>
    </xf>
    <xf numFmtId="173" fontId="15" fillId="0" borderId="0" xfId="4" applyNumberFormat="1" applyFont="1" applyAlignment="1" applyProtection="1">
      <alignment horizontal="left" vertical="top"/>
      <protection hidden="1"/>
    </xf>
    <xf numFmtId="0" fontId="11" fillId="0" borderId="8" xfId="4" applyFont="1" applyBorder="1" applyAlignment="1">
      <alignment horizontal="left" vertical="top"/>
    </xf>
    <xf numFmtId="169" fontId="15" fillId="0" borderId="0" xfId="4" applyNumberFormat="1" applyFont="1" applyAlignment="1" applyProtection="1">
      <alignment horizontal="left" vertical="top"/>
      <protection hidden="1"/>
    </xf>
    <xf numFmtId="173" fontId="11" fillId="3" borderId="7" xfId="4" applyNumberFormat="1" applyFont="1" applyFill="1" applyBorder="1" applyAlignment="1">
      <alignment horizontal="left" vertical="top"/>
    </xf>
    <xf numFmtId="173" fontId="11" fillId="3" borderId="0" xfId="4" applyNumberFormat="1" applyFont="1" applyFill="1" applyAlignment="1" applyProtection="1">
      <alignment horizontal="left" vertical="top"/>
      <protection hidden="1"/>
    </xf>
    <xf numFmtId="173" fontId="11" fillId="3" borderId="8" xfId="4" applyNumberFormat="1" applyFont="1" applyFill="1" applyBorder="1" applyAlignment="1" applyProtection="1">
      <alignment horizontal="left" vertical="top"/>
      <protection hidden="1"/>
    </xf>
    <xf numFmtId="173" fontId="15" fillId="3" borderId="0" xfId="4" applyNumberFormat="1" applyFont="1" applyFill="1" applyAlignment="1" applyProtection="1">
      <alignment horizontal="left" vertical="top"/>
      <protection hidden="1"/>
    </xf>
    <xf numFmtId="173" fontId="23" fillId="3" borderId="0" xfId="4" applyNumberFormat="1" applyFont="1" applyFill="1" applyAlignment="1" applyProtection="1">
      <alignment horizontal="left" vertical="top"/>
      <protection hidden="1"/>
    </xf>
    <xf numFmtId="173" fontId="23" fillId="3" borderId="8" xfId="4" applyNumberFormat="1" applyFont="1" applyFill="1" applyBorder="1" applyAlignment="1" applyProtection="1">
      <alignment horizontal="left" vertical="top"/>
      <protection hidden="1"/>
    </xf>
    <xf numFmtId="37" fontId="11" fillId="3" borderId="0" xfId="4" applyNumberFormat="1" applyFont="1" applyFill="1" applyAlignment="1">
      <alignment horizontal="left" vertical="top"/>
    </xf>
    <xf numFmtId="171" fontId="12" fillId="3" borderId="0" xfId="4" applyNumberFormat="1" applyFont="1" applyFill="1" applyAlignment="1" applyProtection="1">
      <alignment horizontal="left" vertical="top"/>
      <protection hidden="1"/>
    </xf>
    <xf numFmtId="171" fontId="11" fillId="3" borderId="0" xfId="4" applyNumberFormat="1" applyFont="1" applyFill="1" applyAlignment="1" applyProtection="1">
      <alignment horizontal="left" vertical="top"/>
      <protection hidden="1"/>
    </xf>
    <xf numFmtId="5" fontId="23" fillId="3" borderId="0" xfId="4" applyNumberFormat="1" applyFont="1" applyFill="1" applyAlignment="1" applyProtection="1">
      <alignment horizontal="left" vertical="top"/>
      <protection hidden="1"/>
    </xf>
    <xf numFmtId="0" fontId="11" fillId="3" borderId="0" xfId="4" applyFont="1" applyFill="1" applyAlignment="1">
      <alignment horizontal="left" vertical="top"/>
    </xf>
    <xf numFmtId="0" fontId="11" fillId="3" borderId="0" xfId="4" applyFont="1" applyFill="1" applyAlignment="1" applyProtection="1">
      <alignment horizontal="left" vertical="top"/>
      <protection hidden="1"/>
    </xf>
    <xf numFmtId="0" fontId="15" fillId="3" borderId="0" xfId="4" applyFont="1" applyFill="1" applyAlignment="1" applyProtection="1">
      <alignment horizontal="left" vertical="top"/>
      <protection hidden="1"/>
    </xf>
    <xf numFmtId="0" fontId="28" fillId="0" borderId="0" xfId="5" applyFont="1" applyFill="1" applyBorder="1" applyAlignment="1">
      <alignment vertical="top"/>
    </xf>
    <xf numFmtId="0" fontId="4" fillId="0" borderId="0" xfId="0" applyFont="1" applyAlignment="1">
      <alignment vertical="top"/>
    </xf>
    <xf numFmtId="0" fontId="4" fillId="0" borderId="0" xfId="0" applyFont="1" applyAlignment="1">
      <alignment horizontal="left" vertical="top"/>
    </xf>
    <xf numFmtId="0" fontId="4" fillId="3" borderId="0" xfId="0" applyFont="1" applyFill="1" applyAlignment="1">
      <alignment horizontal="left" vertical="top"/>
    </xf>
    <xf numFmtId="0" fontId="4" fillId="3" borderId="0" xfId="0" applyFont="1" applyFill="1" applyAlignment="1">
      <alignment vertical="top"/>
    </xf>
    <xf numFmtId="164" fontId="11" fillId="2" borderId="15" xfId="3" applyNumberFormat="1" applyFont="1" applyFill="1" applyBorder="1" applyAlignment="1" applyProtection="1">
      <alignment horizontal="left" vertical="top"/>
      <protection locked="0"/>
    </xf>
    <xf numFmtId="0" fontId="11" fillId="2" borderId="16" xfId="4" applyFont="1" applyFill="1" applyBorder="1" applyAlignment="1">
      <alignment horizontal="left" vertical="top"/>
    </xf>
    <xf numFmtId="0" fontId="11" fillId="2" borderId="17" xfId="4" applyFont="1" applyFill="1" applyBorder="1" applyAlignment="1" applyProtection="1">
      <alignment horizontal="left" vertical="top"/>
      <protection hidden="1"/>
    </xf>
    <xf numFmtId="0" fontId="11" fillId="2" borderId="1" xfId="4" applyFont="1" applyFill="1" applyBorder="1" applyAlignment="1" applyProtection="1">
      <alignment horizontal="left" vertical="top"/>
      <protection hidden="1"/>
    </xf>
    <xf numFmtId="0" fontId="11" fillId="2" borderId="1" xfId="4" applyFont="1" applyFill="1" applyBorder="1" applyAlignment="1">
      <alignment horizontal="left" vertical="top"/>
    </xf>
    <xf numFmtId="0" fontId="14" fillId="2" borderId="1" xfId="4" applyFont="1" applyFill="1" applyBorder="1" applyAlignment="1">
      <alignment horizontal="left" vertical="top"/>
    </xf>
    <xf numFmtId="0" fontId="11" fillId="2" borderId="18" xfId="4" applyFont="1" applyFill="1" applyBorder="1" applyAlignment="1">
      <alignment horizontal="left" vertical="top"/>
    </xf>
    <xf numFmtId="0" fontId="10" fillId="0" borderId="0" xfId="2" applyFont="1" applyBorder="1" applyAlignment="1">
      <alignment horizontal="left" vertical="top"/>
    </xf>
    <xf numFmtId="0" fontId="29" fillId="0" borderId="0" xfId="0" applyFont="1" applyAlignment="1">
      <alignment horizontal="left" vertical="top"/>
    </xf>
    <xf numFmtId="5" fontId="15" fillId="3" borderId="0" xfId="4" applyNumberFormat="1" applyFont="1" applyFill="1" applyAlignment="1" applyProtection="1">
      <alignment horizontal="left" vertical="top"/>
      <protection hidden="1"/>
    </xf>
    <xf numFmtId="0" fontId="35" fillId="0" borderId="0" xfId="0" applyFont="1" applyAlignment="1">
      <alignment vertical="top"/>
    </xf>
    <xf numFmtId="0" fontId="15" fillId="2" borderId="0" xfId="4" applyFont="1" applyFill="1" applyAlignment="1">
      <alignment horizontal="left" vertical="top"/>
    </xf>
    <xf numFmtId="0" fontId="11" fillId="2" borderId="0" xfId="4" applyFont="1" applyFill="1" applyAlignment="1">
      <alignment horizontal="left" vertical="top"/>
    </xf>
    <xf numFmtId="0" fontId="14" fillId="2" borderId="0" xfId="4" applyFont="1" applyFill="1" applyAlignment="1">
      <alignment horizontal="left" vertical="top"/>
    </xf>
    <xf numFmtId="0" fontId="33" fillId="0" borderId="0" xfId="0" applyFont="1" applyAlignment="1">
      <alignment vertical="top"/>
    </xf>
    <xf numFmtId="0" fontId="31" fillId="0" borderId="0" xfId="0" applyFont="1" applyAlignment="1">
      <alignment vertical="top"/>
    </xf>
    <xf numFmtId="0" fontId="33" fillId="0" borderId="0" xfId="0" applyFont="1" applyAlignment="1">
      <alignment horizontal="left" vertical="top"/>
    </xf>
    <xf numFmtId="0" fontId="27" fillId="0" borderId="0" xfId="0" applyFont="1" applyAlignment="1">
      <alignment horizontal="left" vertical="top"/>
    </xf>
    <xf numFmtId="173" fontId="22" fillId="6" borderId="8" xfId="4" applyNumberFormat="1" applyFont="1" applyFill="1" applyBorder="1" applyAlignment="1" applyProtection="1">
      <alignment horizontal="left" vertical="top"/>
      <protection hidden="1"/>
    </xf>
    <xf numFmtId="173" fontId="22" fillId="6" borderId="0" xfId="4" applyNumberFormat="1" applyFont="1" applyFill="1" applyAlignment="1" applyProtection="1">
      <alignment horizontal="left" vertical="top"/>
      <protection hidden="1"/>
    </xf>
    <xf numFmtId="5" fontId="22" fillId="6" borderId="0" xfId="4" applyNumberFormat="1" applyFont="1" applyFill="1" applyAlignment="1" applyProtection="1">
      <alignment horizontal="left" vertical="top"/>
      <protection hidden="1"/>
    </xf>
    <xf numFmtId="5" fontId="22" fillId="6" borderId="0" xfId="4" applyNumberFormat="1" applyFont="1" applyFill="1" applyAlignment="1">
      <alignment horizontal="left" vertical="top"/>
    </xf>
    <xf numFmtId="5" fontId="22" fillId="6" borderId="8" xfId="4" applyNumberFormat="1" applyFont="1" applyFill="1" applyBorder="1" applyAlignment="1">
      <alignment horizontal="left" vertical="top"/>
    </xf>
    <xf numFmtId="173" fontId="22" fillId="6" borderId="0" xfId="4" applyNumberFormat="1" applyFont="1" applyFill="1" applyAlignment="1">
      <alignment horizontal="left" vertical="top"/>
    </xf>
    <xf numFmtId="173" fontId="22" fillId="6" borderId="7" xfId="4" applyNumberFormat="1" applyFont="1" applyFill="1" applyBorder="1" applyAlignment="1" applyProtection="1">
      <alignment horizontal="left" vertical="top"/>
      <protection hidden="1"/>
    </xf>
    <xf numFmtId="5" fontId="22" fillId="6" borderId="7" xfId="4" applyNumberFormat="1" applyFont="1" applyFill="1" applyBorder="1" applyAlignment="1">
      <alignment horizontal="left" vertical="top"/>
    </xf>
    <xf numFmtId="171" fontId="22" fillId="6" borderId="7" xfId="4" applyNumberFormat="1" applyFont="1" applyFill="1" applyBorder="1" applyAlignment="1">
      <alignment horizontal="left" vertical="top"/>
    </xf>
    <xf numFmtId="170" fontId="22" fillId="6" borderId="3" xfId="4" applyNumberFormat="1" applyFont="1" applyFill="1" applyBorder="1" applyAlignment="1" applyProtection="1">
      <alignment horizontal="left" vertical="top"/>
      <protection hidden="1"/>
    </xf>
    <xf numFmtId="0" fontId="47" fillId="4" borderId="0" xfId="4" applyFont="1" applyFill="1" applyAlignment="1" applyProtection="1">
      <alignment horizontal="left" vertical="top"/>
      <protection hidden="1"/>
    </xf>
    <xf numFmtId="0" fontId="44" fillId="8" borderId="10" xfId="4" applyFont="1" applyFill="1" applyBorder="1" applyAlignment="1" applyProtection="1">
      <alignment horizontal="left" vertical="top"/>
      <protection hidden="1"/>
    </xf>
    <xf numFmtId="0" fontId="11" fillId="8" borderId="5" xfId="4" applyFont="1" applyFill="1" applyBorder="1" applyAlignment="1" applyProtection="1">
      <alignment horizontal="left" vertical="top"/>
      <protection hidden="1"/>
    </xf>
    <xf numFmtId="173" fontId="22" fillId="8" borderId="5" xfId="4" applyNumberFormat="1" applyFont="1" applyFill="1" applyBorder="1" applyAlignment="1" applyProtection="1">
      <alignment horizontal="left" vertical="top"/>
      <protection hidden="1"/>
    </xf>
    <xf numFmtId="173" fontId="27" fillId="8" borderId="5" xfId="4" applyNumberFormat="1" applyFont="1" applyFill="1" applyBorder="1" applyAlignment="1" applyProtection="1">
      <alignment horizontal="left" vertical="top"/>
      <protection hidden="1"/>
    </xf>
    <xf numFmtId="173" fontId="15" fillId="8" borderId="5" xfId="4" applyNumberFormat="1" applyFont="1" applyFill="1" applyBorder="1" applyAlignment="1" applyProtection="1">
      <alignment horizontal="left" vertical="top"/>
      <protection hidden="1"/>
    </xf>
    <xf numFmtId="0" fontId="45" fillId="9" borderId="10" xfId="4" applyFont="1" applyFill="1" applyBorder="1" applyAlignment="1" applyProtection="1">
      <alignment horizontal="left" vertical="top"/>
      <protection hidden="1"/>
    </xf>
    <xf numFmtId="0" fontId="11" fillId="9" borderId="5" xfId="4" applyFont="1" applyFill="1" applyBorder="1" applyAlignment="1" applyProtection="1">
      <alignment horizontal="left" vertical="top"/>
      <protection hidden="1"/>
    </xf>
    <xf numFmtId="5" fontId="27" fillId="9" borderId="5" xfId="4" applyNumberFormat="1" applyFont="1" applyFill="1" applyBorder="1" applyAlignment="1" applyProtection="1">
      <alignment horizontal="left" vertical="top"/>
      <protection hidden="1"/>
    </xf>
    <xf numFmtId="5" fontId="15" fillId="9" borderId="5" xfId="4" applyNumberFormat="1" applyFont="1" applyFill="1" applyBorder="1" applyAlignment="1" applyProtection="1">
      <alignment horizontal="left" vertical="top"/>
      <protection hidden="1"/>
    </xf>
    <xf numFmtId="173" fontId="22" fillId="3" borderId="0" xfId="4" applyNumberFormat="1" applyFont="1" applyFill="1" applyAlignment="1" applyProtection="1">
      <alignment horizontal="left" vertical="top"/>
      <protection hidden="1"/>
    </xf>
    <xf numFmtId="170" fontId="11" fillId="0" borderId="0" xfId="4" applyNumberFormat="1" applyFont="1" applyAlignment="1" applyProtection="1">
      <alignment horizontal="left" vertical="top"/>
      <protection hidden="1"/>
    </xf>
    <xf numFmtId="170" fontId="22" fillId="6" borderId="0" xfId="4" applyNumberFormat="1" applyFont="1" applyFill="1" applyAlignment="1" applyProtection="1">
      <alignment horizontal="left" vertical="top"/>
      <protection hidden="1"/>
    </xf>
    <xf numFmtId="170" fontId="11" fillId="3" borderId="0" xfId="4" applyNumberFormat="1" applyFont="1" applyFill="1" applyAlignment="1" applyProtection="1">
      <alignment horizontal="left" vertical="top"/>
      <protection hidden="1"/>
    </xf>
    <xf numFmtId="170" fontId="11" fillId="3" borderId="0" xfId="4" applyNumberFormat="1" applyFont="1" applyFill="1" applyAlignment="1">
      <alignment horizontal="left" vertical="top"/>
    </xf>
    <xf numFmtId="170" fontId="11" fillId="0" borderId="0" xfId="4" applyNumberFormat="1" applyFont="1" applyAlignment="1">
      <alignment horizontal="left" vertical="top"/>
    </xf>
    <xf numFmtId="170" fontId="15" fillId="0" borderId="0" xfId="4" applyNumberFormat="1" applyFont="1" applyAlignment="1">
      <alignment horizontal="left" vertical="top"/>
    </xf>
    <xf numFmtId="170" fontId="11" fillId="0" borderId="3" xfId="4" applyNumberFormat="1" applyFont="1" applyBorder="1" applyAlignment="1" applyProtection="1">
      <alignment horizontal="left" vertical="top"/>
      <protection hidden="1"/>
    </xf>
    <xf numFmtId="168" fontId="18" fillId="10" borderId="5" xfId="4" applyNumberFormat="1" applyFont="1" applyFill="1" applyBorder="1" applyAlignment="1">
      <alignment horizontal="left" vertical="top"/>
    </xf>
    <xf numFmtId="0" fontId="15" fillId="0" borderId="11" xfId="4" applyFont="1" applyBorder="1" applyAlignment="1" applyProtection="1">
      <alignment horizontal="left" vertical="top"/>
      <protection hidden="1"/>
    </xf>
    <xf numFmtId="0" fontId="40" fillId="3" borderId="0" xfId="4" applyFont="1" applyFill="1" applyAlignment="1" applyProtection="1">
      <alignment horizontal="left" vertical="top"/>
      <protection hidden="1"/>
    </xf>
    <xf numFmtId="0" fontId="39" fillId="0" borderId="0" xfId="0" applyFont="1" applyAlignment="1">
      <alignment vertical="top"/>
    </xf>
    <xf numFmtId="0" fontId="39" fillId="3" borderId="0" xfId="4" applyFont="1" applyFill="1" applyAlignment="1" applyProtection="1">
      <alignment horizontal="left" vertical="top"/>
      <protection hidden="1"/>
    </xf>
    <xf numFmtId="171" fontId="40" fillId="3" borderId="0" xfId="4" applyNumberFormat="1" applyFont="1" applyFill="1" applyAlignment="1" applyProtection="1">
      <alignment horizontal="left" vertical="top"/>
      <protection hidden="1"/>
    </xf>
    <xf numFmtId="10" fontId="11" fillId="0" borderId="0" xfId="4" applyNumberFormat="1" applyFont="1" applyAlignment="1">
      <alignment horizontal="left" vertical="top"/>
    </xf>
    <xf numFmtId="164" fontId="11" fillId="2" borderId="12" xfId="3" applyNumberFormat="1" applyFont="1" applyFill="1" applyBorder="1" applyAlignment="1" applyProtection="1">
      <alignment horizontal="left" vertical="top"/>
      <protection locked="0"/>
    </xf>
    <xf numFmtId="0" fontId="15" fillId="2" borderId="13" xfId="4" applyFont="1" applyFill="1" applyBorder="1" applyAlignment="1">
      <alignment horizontal="left" vertical="top"/>
    </xf>
    <xf numFmtId="165" fontId="11" fillId="3" borderId="13" xfId="4" applyNumberFormat="1" applyFont="1" applyFill="1" applyBorder="1" applyAlignment="1" applyProtection="1">
      <alignment horizontal="left" vertical="top"/>
      <protection hidden="1"/>
    </xf>
    <xf numFmtId="166" fontId="13" fillId="2" borderId="13" xfId="4" applyNumberFormat="1" applyFont="1" applyFill="1" applyBorder="1" applyAlignment="1" applyProtection="1">
      <alignment horizontal="left" vertical="top"/>
      <protection locked="0"/>
    </xf>
    <xf numFmtId="0" fontId="14" fillId="2" borderId="13" xfId="4" applyFont="1" applyFill="1" applyBorder="1" applyAlignment="1" applyProtection="1">
      <alignment horizontal="left" vertical="top"/>
      <protection hidden="1"/>
    </xf>
    <xf numFmtId="166" fontId="13" fillId="2" borderId="14" xfId="4" applyNumberFormat="1" applyFont="1" applyFill="1" applyBorder="1" applyAlignment="1" applyProtection="1">
      <alignment horizontal="left" vertical="top"/>
      <protection locked="0"/>
    </xf>
    <xf numFmtId="0" fontId="27" fillId="3" borderId="0" xfId="0" applyFont="1" applyFill="1" applyAlignment="1">
      <alignment horizontal="left" vertical="top"/>
    </xf>
    <xf numFmtId="0" fontId="24" fillId="0" borderId="0" xfId="4" applyFont="1" applyAlignment="1" applyProtection="1">
      <alignment horizontal="left" vertical="top"/>
      <protection hidden="1"/>
    </xf>
    <xf numFmtId="171" fontId="52" fillId="0" borderId="0" xfId="4" applyNumberFormat="1" applyFont="1" applyAlignment="1">
      <alignment horizontal="left" vertical="top"/>
    </xf>
    <xf numFmtId="0" fontId="6" fillId="0" borderId="0" xfId="0" applyFont="1" applyAlignment="1">
      <alignment vertical="top"/>
    </xf>
    <xf numFmtId="10" fontId="33" fillId="0" borderId="0" xfId="1" applyNumberFormat="1" applyFont="1" applyBorder="1" applyAlignment="1">
      <alignment horizontal="left" vertical="top"/>
    </xf>
    <xf numFmtId="0" fontId="37" fillId="0" borderId="0" xfId="0" applyFont="1" applyAlignment="1">
      <alignment vertical="top"/>
    </xf>
    <xf numFmtId="0" fontId="17" fillId="0" borderId="0" xfId="2" applyFont="1" applyBorder="1" applyAlignment="1">
      <alignment horizontal="left" vertical="top"/>
    </xf>
    <xf numFmtId="173" fontId="33" fillId="0" borderId="0" xfId="0" applyNumberFormat="1" applyFont="1" applyAlignment="1">
      <alignment horizontal="left" vertical="top"/>
    </xf>
    <xf numFmtId="0" fontId="21" fillId="0" borderId="0" xfId="2" applyFont="1" applyBorder="1" applyAlignment="1">
      <alignment horizontal="left" vertical="top"/>
    </xf>
    <xf numFmtId="0" fontId="22" fillId="0" borderId="0" xfId="2" applyFont="1" applyBorder="1" applyAlignment="1">
      <alignment horizontal="left" vertical="top"/>
    </xf>
    <xf numFmtId="173" fontId="11" fillId="0" borderId="0" xfId="0" applyNumberFormat="1" applyFont="1" applyAlignment="1">
      <alignment horizontal="left" vertical="top"/>
    </xf>
    <xf numFmtId="173" fontId="33" fillId="0" borderId="0" xfId="1" applyNumberFormat="1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33" fillId="3" borderId="0" xfId="0" applyFont="1" applyFill="1" applyAlignment="1">
      <alignment vertical="top"/>
    </xf>
    <xf numFmtId="0" fontId="5" fillId="0" borderId="0" xfId="0" applyFont="1" applyAlignment="1">
      <alignment horizontal="left" vertical="top"/>
    </xf>
    <xf numFmtId="0" fontId="39" fillId="3" borderId="0" xfId="0" applyFont="1" applyFill="1" applyAlignment="1">
      <alignment horizontal="left" vertical="top"/>
    </xf>
    <xf numFmtId="0" fontId="33" fillId="0" borderId="22" xfId="0" applyFont="1" applyBorder="1" applyAlignment="1">
      <alignment vertical="top"/>
    </xf>
    <xf numFmtId="0" fontId="33" fillId="0" borderId="23" xfId="0" applyFont="1" applyBorder="1" applyAlignment="1">
      <alignment vertical="top"/>
    </xf>
    <xf numFmtId="0" fontId="16" fillId="3" borderId="0" xfId="4" applyFont="1" applyFill="1" applyAlignment="1" applyProtection="1">
      <alignment horizontal="left" vertical="top"/>
      <protection hidden="1"/>
    </xf>
    <xf numFmtId="0" fontId="20" fillId="3" borderId="0" xfId="4" applyFont="1" applyFill="1" applyAlignment="1" applyProtection="1">
      <alignment horizontal="left" vertical="top"/>
      <protection hidden="1"/>
    </xf>
    <xf numFmtId="0" fontId="58" fillId="0" borderId="0" xfId="4" applyFont="1" applyAlignment="1">
      <alignment vertical="top" wrapText="1"/>
    </xf>
    <xf numFmtId="9" fontId="11" fillId="5" borderId="19" xfId="6" applyNumberFormat="1" applyFont="1" applyFill="1" applyBorder="1" applyAlignment="1">
      <alignment horizontal="center" vertical="top"/>
    </xf>
    <xf numFmtId="173" fontId="11" fillId="0" borderId="21" xfId="0" applyNumberFormat="1" applyFont="1" applyBorder="1" applyAlignment="1">
      <alignment horizontal="left" vertical="top"/>
    </xf>
    <xf numFmtId="0" fontId="33" fillId="0" borderId="21" xfId="0" applyFont="1" applyBorder="1" applyAlignment="1">
      <alignment horizontal="left" vertical="top"/>
    </xf>
    <xf numFmtId="0" fontId="52" fillId="0" borderId="0" xfId="0" applyFont="1" applyAlignment="1">
      <alignment vertical="top" wrapText="1"/>
    </xf>
    <xf numFmtId="176" fontId="11" fillId="3" borderId="0" xfId="1" applyNumberFormat="1" applyFont="1" applyFill="1" applyBorder="1" applyAlignment="1">
      <alignment horizontal="left" vertical="top"/>
    </xf>
    <xf numFmtId="176" fontId="33" fillId="3" borderId="0" xfId="1" applyNumberFormat="1" applyFont="1" applyFill="1" applyAlignment="1">
      <alignment horizontal="left" vertical="top"/>
    </xf>
    <xf numFmtId="0" fontId="51" fillId="0" borderId="37" xfId="0" applyFont="1" applyBorder="1" applyAlignment="1">
      <alignment vertical="top"/>
    </xf>
    <xf numFmtId="0" fontId="45" fillId="0" borderId="19" xfId="0" applyFont="1" applyBorder="1" applyAlignment="1">
      <alignment vertical="top"/>
    </xf>
    <xf numFmtId="10" fontId="11" fillId="18" borderId="37" xfId="6" applyNumberFormat="1" applyFont="1" applyFill="1" applyBorder="1" applyAlignment="1">
      <alignment horizontal="center" vertical="top"/>
    </xf>
    <xf numFmtId="10" fontId="11" fillId="19" borderId="19" xfId="6" applyNumberFormat="1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0" xfId="0" applyAlignment="1">
      <alignment vertical="top"/>
    </xf>
    <xf numFmtId="9" fontId="11" fillId="5" borderId="32" xfId="6" applyNumberFormat="1" applyFont="1" applyFill="1" applyBorder="1" applyAlignment="1">
      <alignment horizontal="center" vertical="top"/>
    </xf>
    <xf numFmtId="0" fontId="48" fillId="0" borderId="31" xfId="0" applyFont="1" applyBorder="1" applyAlignment="1">
      <alignment vertical="top"/>
    </xf>
    <xf numFmtId="0" fontId="4" fillId="0" borderId="0" xfId="0" applyFont="1"/>
    <xf numFmtId="9" fontId="11" fillId="0" borderId="0" xfId="1" applyFont="1" applyAlignment="1">
      <alignment horizontal="left" vertical="top"/>
    </xf>
    <xf numFmtId="175" fontId="15" fillId="22" borderId="30" xfId="1" applyNumberFormat="1" applyFont="1" applyFill="1" applyBorder="1" applyAlignment="1">
      <alignment horizontal="left" vertical="top"/>
    </xf>
    <xf numFmtId="5" fontId="15" fillId="9" borderId="30" xfId="4" applyNumberFormat="1" applyFont="1" applyFill="1" applyBorder="1" applyAlignment="1" applyProtection="1">
      <alignment horizontal="left" vertical="top"/>
      <protection hidden="1"/>
    </xf>
    <xf numFmtId="14" fontId="11" fillId="3" borderId="0" xfId="0" applyNumberFormat="1" applyFont="1" applyFill="1" applyAlignment="1">
      <alignment horizontal="left" vertical="top"/>
    </xf>
    <xf numFmtId="176" fontId="33" fillId="0" borderId="0" xfId="1" applyNumberFormat="1" applyFont="1" applyAlignment="1">
      <alignment horizontal="left" vertical="top"/>
    </xf>
    <xf numFmtId="0" fontId="20" fillId="3" borderId="0" xfId="0" applyFont="1" applyFill="1" applyAlignment="1">
      <alignment horizontal="left" vertical="top"/>
    </xf>
    <xf numFmtId="9" fontId="11" fillId="3" borderId="0" xfId="1" applyFont="1" applyFill="1" applyBorder="1" applyAlignment="1">
      <alignment horizontal="left" vertical="top"/>
    </xf>
    <xf numFmtId="0" fontId="38" fillId="0" borderId="0" xfId="4" applyFont="1" applyAlignment="1">
      <alignment horizontal="left" vertical="top"/>
    </xf>
    <xf numFmtId="0" fontId="33" fillId="0" borderId="0" xfId="0" applyFont="1"/>
    <xf numFmtId="0" fontId="48" fillId="14" borderId="10" xfId="4" applyFont="1" applyFill="1" applyBorder="1" applyAlignment="1" applyProtection="1">
      <alignment horizontal="left" vertical="top"/>
      <protection hidden="1"/>
    </xf>
    <xf numFmtId="0" fontId="11" fillId="14" borderId="5" xfId="4" applyFont="1" applyFill="1" applyBorder="1" applyAlignment="1" applyProtection="1">
      <alignment horizontal="left" vertical="top"/>
      <protection hidden="1"/>
    </xf>
    <xf numFmtId="5" fontId="15" fillId="14" borderId="5" xfId="4" applyNumberFormat="1" applyFont="1" applyFill="1" applyBorder="1" applyAlignment="1" applyProtection="1">
      <alignment horizontal="left" vertical="top"/>
      <protection hidden="1"/>
    </xf>
    <xf numFmtId="0" fontId="20" fillId="0" borderId="0" xfId="0" applyFont="1" applyAlignment="1">
      <alignment horizontal="left" vertical="top"/>
    </xf>
    <xf numFmtId="0" fontId="20" fillId="0" borderId="0" xfId="0" applyFont="1" applyAlignment="1">
      <alignment horizontal="left"/>
    </xf>
    <xf numFmtId="0" fontId="62" fillId="0" borderId="0" xfId="4" applyFont="1" applyAlignment="1">
      <alignment horizontal="left" vertical="top" wrapText="1"/>
    </xf>
    <xf numFmtId="0" fontId="63" fillId="0" borderId="0" xfId="5" applyFont="1" applyFill="1" applyBorder="1" applyAlignment="1">
      <alignment horizontal="left" vertical="top"/>
    </xf>
    <xf numFmtId="0" fontId="35" fillId="0" borderId="0" xfId="0" applyFont="1"/>
    <xf numFmtId="0" fontId="59" fillId="0" borderId="0" xfId="0" applyFont="1"/>
    <xf numFmtId="176" fontId="33" fillId="3" borderId="0" xfId="1" applyNumberFormat="1" applyFont="1" applyFill="1" applyBorder="1" applyAlignment="1">
      <alignment horizontal="left" vertical="top"/>
    </xf>
    <xf numFmtId="9" fontId="11" fillId="0" borderId="0" xfId="0" applyNumberFormat="1" applyFont="1" applyAlignment="1">
      <alignment horizontal="left" vertical="top"/>
    </xf>
    <xf numFmtId="0" fontId="11" fillId="3" borderId="0" xfId="0" applyFont="1" applyFill="1" applyAlignment="1">
      <alignment horizontal="left" vertical="top"/>
    </xf>
    <xf numFmtId="9" fontId="11" fillId="3" borderId="0" xfId="1" applyFont="1" applyFill="1" applyAlignment="1">
      <alignment horizontal="left" vertical="top"/>
    </xf>
    <xf numFmtId="0" fontId="59" fillId="0" borderId="0" xfId="4" applyFont="1" applyAlignment="1">
      <alignment horizontal="left" vertical="top"/>
    </xf>
    <xf numFmtId="0" fontId="61" fillId="0" borderId="0" xfId="0" applyFont="1" applyAlignment="1">
      <alignment horizontal="left" vertical="top"/>
    </xf>
    <xf numFmtId="0" fontId="33" fillId="3" borderId="0" xfId="0" applyFont="1" applyFill="1" applyAlignment="1">
      <alignment horizontal="left" vertical="top"/>
    </xf>
    <xf numFmtId="0" fontId="25" fillId="0" borderId="0" xfId="0" applyFont="1" applyAlignment="1">
      <alignment horizontal="left" vertical="top"/>
    </xf>
    <xf numFmtId="177" fontId="33" fillId="0" borderId="0" xfId="0" applyNumberFormat="1" applyFont="1" applyAlignment="1">
      <alignment horizontal="left" vertical="top"/>
    </xf>
    <xf numFmtId="175" fontId="32" fillId="5" borderId="0" xfId="1" applyNumberFormat="1" applyFont="1" applyFill="1" applyBorder="1" applyAlignment="1">
      <alignment horizontal="left" vertical="top"/>
    </xf>
    <xf numFmtId="173" fontId="15" fillId="3" borderId="26" xfId="0" applyNumberFormat="1" applyFont="1" applyFill="1" applyBorder="1" applyAlignment="1">
      <alignment horizontal="left" vertical="top"/>
    </xf>
    <xf numFmtId="9" fontId="20" fillId="0" borderId="0" xfId="1" applyFont="1" applyAlignment="1">
      <alignment horizontal="left" vertical="top"/>
    </xf>
    <xf numFmtId="173" fontId="22" fillId="6" borderId="41" xfId="0" applyNumberFormat="1" applyFont="1" applyFill="1" applyBorder="1" applyAlignment="1">
      <alignment horizontal="left" vertical="top"/>
    </xf>
    <xf numFmtId="173" fontId="22" fillId="6" borderId="43" xfId="0" applyNumberFormat="1" applyFont="1" applyFill="1" applyBorder="1" applyAlignment="1">
      <alignment horizontal="left" vertical="top"/>
    </xf>
    <xf numFmtId="173" fontId="65" fillId="6" borderId="41" xfId="0" applyNumberFormat="1" applyFont="1" applyFill="1" applyBorder="1" applyAlignment="1">
      <alignment horizontal="left" vertical="top"/>
    </xf>
    <xf numFmtId="14" fontId="22" fillId="6" borderId="41" xfId="0" applyNumberFormat="1" applyFont="1" applyFill="1" applyBorder="1" applyAlignment="1">
      <alignment horizontal="left" vertical="top"/>
    </xf>
    <xf numFmtId="9" fontId="24" fillId="6" borderId="41" xfId="1" applyFont="1" applyFill="1" applyBorder="1" applyAlignment="1">
      <alignment horizontal="left" vertical="top"/>
    </xf>
    <xf numFmtId="9" fontId="22" fillId="6" borderId="41" xfId="1" applyFont="1" applyFill="1" applyBorder="1" applyAlignment="1">
      <alignment horizontal="left" vertical="top"/>
    </xf>
    <xf numFmtId="0" fontId="64" fillId="3" borderId="26" xfId="0" applyFont="1" applyFill="1" applyBorder="1" applyAlignment="1">
      <alignment horizontal="left"/>
    </xf>
    <xf numFmtId="9" fontId="15" fillId="3" borderId="26" xfId="0" applyNumberFormat="1" applyFont="1" applyFill="1" applyBorder="1" applyAlignment="1">
      <alignment horizontal="left"/>
    </xf>
    <xf numFmtId="0" fontId="64" fillId="3" borderId="0" xfId="0" applyFont="1" applyFill="1" applyAlignment="1">
      <alignment horizontal="left"/>
    </xf>
    <xf numFmtId="171" fontId="24" fillId="3" borderId="0" xfId="4" applyNumberFormat="1" applyFont="1" applyFill="1" applyAlignment="1" applyProtection="1">
      <alignment horizontal="left" vertical="top"/>
      <protection hidden="1"/>
    </xf>
    <xf numFmtId="0" fontId="25" fillId="0" borderId="0" xfId="0" applyFont="1" applyAlignment="1">
      <alignment vertical="top"/>
    </xf>
    <xf numFmtId="0" fontId="25" fillId="0" borderId="21" xfId="0" applyFont="1" applyBorder="1" applyAlignment="1">
      <alignment vertical="top"/>
    </xf>
    <xf numFmtId="173" fontId="22" fillId="6" borderId="47" xfId="0" applyNumberFormat="1" applyFont="1" applyFill="1" applyBorder="1" applyAlignment="1">
      <alignment horizontal="left" vertical="top"/>
    </xf>
    <xf numFmtId="0" fontId="27" fillId="3" borderId="48" xfId="0" applyFont="1" applyFill="1" applyBorder="1" applyAlignment="1">
      <alignment vertical="top"/>
    </xf>
    <xf numFmtId="173" fontId="11" fillId="3" borderId="49" xfId="0" applyNumberFormat="1" applyFont="1" applyFill="1" applyBorder="1" applyAlignment="1">
      <alignment horizontal="left" vertical="top"/>
    </xf>
    <xf numFmtId="173" fontId="33" fillId="3" borderId="50" xfId="0" applyNumberFormat="1" applyFont="1" applyFill="1" applyBorder="1" applyAlignment="1">
      <alignment horizontal="left" vertical="top"/>
    </xf>
    <xf numFmtId="173" fontId="33" fillId="3" borderId="51" xfId="0" applyNumberFormat="1" applyFont="1" applyFill="1" applyBorder="1" applyAlignment="1">
      <alignment horizontal="left" vertical="top"/>
    </xf>
    <xf numFmtId="0" fontId="64" fillId="3" borderId="26" xfId="0" applyFont="1" applyFill="1" applyBorder="1" applyAlignment="1">
      <alignment horizontal="left" wrapText="1"/>
    </xf>
    <xf numFmtId="0" fontId="33" fillId="0" borderId="0" xfId="0" applyFont="1" applyAlignment="1">
      <alignment horizontal="left" vertical="top" indent="3"/>
    </xf>
    <xf numFmtId="0" fontId="68" fillId="0" borderId="0" xfId="0" applyFont="1" applyAlignment="1">
      <alignment vertical="top"/>
    </xf>
    <xf numFmtId="0" fontId="59" fillId="0" borderId="0" xfId="0" applyFont="1" applyAlignment="1">
      <alignment vertical="top"/>
    </xf>
    <xf numFmtId="0" fontId="24" fillId="0" borderId="0" xfId="0" applyFont="1" applyAlignment="1">
      <alignment vertical="top"/>
    </xf>
    <xf numFmtId="9" fontId="22" fillId="30" borderId="37" xfId="6" applyNumberFormat="1" applyFont="1" applyFill="1" applyBorder="1" applyAlignment="1">
      <alignment horizontal="center" vertical="top"/>
    </xf>
    <xf numFmtId="9" fontId="22" fillId="21" borderId="19" xfId="6" applyNumberFormat="1" applyFont="1" applyFill="1" applyBorder="1" applyAlignment="1">
      <alignment horizontal="center" vertical="top"/>
    </xf>
    <xf numFmtId="177" fontId="11" fillId="18" borderId="40" xfId="1" applyNumberFormat="1" applyFont="1" applyFill="1" applyBorder="1" applyAlignment="1" applyProtection="1">
      <alignment horizontal="center" vertical="top"/>
    </xf>
    <xf numFmtId="177" fontId="11" fillId="5" borderId="37" xfId="1" applyNumberFormat="1" applyFont="1" applyFill="1" applyBorder="1" applyAlignment="1" applyProtection="1">
      <alignment horizontal="center" vertical="top"/>
    </xf>
    <xf numFmtId="176" fontId="52" fillId="0" borderId="0" xfId="1" applyNumberFormat="1" applyFont="1" applyBorder="1" applyAlignment="1">
      <alignment horizontal="center"/>
    </xf>
    <xf numFmtId="0" fontId="11" fillId="0" borderId="0" xfId="4" applyFont="1" applyAlignment="1">
      <alignment horizontal="left" vertical="top" indent="9"/>
    </xf>
    <xf numFmtId="0" fontId="11" fillId="0" borderId="0" xfId="4" applyFont="1" applyAlignment="1">
      <alignment horizontal="left" vertical="top" indent="2"/>
    </xf>
    <xf numFmtId="0" fontId="53" fillId="0" borderId="0" xfId="0" applyFont="1" applyAlignment="1">
      <alignment horizontal="left" vertical="top" indent="9"/>
    </xf>
    <xf numFmtId="0" fontId="33" fillId="0" borderId="0" xfId="0" applyFont="1" applyAlignment="1">
      <alignment horizontal="left" vertical="top" indent="9"/>
    </xf>
    <xf numFmtId="0" fontId="11" fillId="0" borderId="0" xfId="4" applyFont="1" applyAlignment="1" applyProtection="1">
      <alignment horizontal="left" vertical="top" indent="9"/>
      <protection hidden="1"/>
    </xf>
    <xf numFmtId="0" fontId="29" fillId="0" borderId="0" xfId="0" applyFont="1" applyAlignment="1">
      <alignment horizontal="left" vertical="top" indent="3"/>
    </xf>
    <xf numFmtId="0" fontId="11" fillId="0" borderId="0" xfId="4" applyFont="1" applyAlignment="1">
      <alignment horizontal="left" vertical="top" indent="3"/>
    </xf>
    <xf numFmtId="0" fontId="11" fillId="3" borderId="0" xfId="4" applyFont="1" applyFill="1" applyAlignment="1">
      <alignment horizontal="left" vertical="top" indent="3"/>
    </xf>
    <xf numFmtId="9" fontId="22" fillId="6" borderId="43" xfId="0" applyNumberFormat="1" applyFont="1" applyFill="1" applyBorder="1" applyAlignment="1">
      <alignment horizontal="left" vertical="top"/>
    </xf>
    <xf numFmtId="10" fontId="11" fillId="18" borderId="19" xfId="6" applyNumberFormat="1" applyFont="1" applyFill="1" applyBorder="1" applyAlignment="1">
      <alignment horizontal="center" vertical="top"/>
    </xf>
    <xf numFmtId="173" fontId="27" fillId="8" borderId="2" xfId="0" applyNumberFormat="1" applyFont="1" applyFill="1" applyBorder="1" applyAlignment="1">
      <alignment horizontal="left" vertical="top"/>
    </xf>
    <xf numFmtId="9" fontId="33" fillId="0" borderId="0" xfId="1" applyFont="1" applyAlignment="1">
      <alignment horizontal="center" vertical="top"/>
    </xf>
    <xf numFmtId="0" fontId="47" fillId="4" borderId="24" xfId="0" applyFont="1" applyFill="1" applyBorder="1" applyAlignment="1">
      <alignment vertical="top"/>
    </xf>
    <xf numFmtId="0" fontId="47" fillId="4" borderId="42" xfId="0" applyFont="1" applyFill="1" applyBorder="1" applyAlignment="1">
      <alignment horizontal="center" vertical="top"/>
    </xf>
    <xf numFmtId="0" fontId="43" fillId="11" borderId="27" xfId="0" applyFont="1" applyFill="1" applyBorder="1" applyAlignment="1">
      <alignment horizontal="center" vertical="top"/>
    </xf>
    <xf numFmtId="0" fontId="43" fillId="11" borderId="25" xfId="0" applyFont="1" applyFill="1" applyBorder="1" applyAlignment="1">
      <alignment horizontal="center" vertical="top"/>
    </xf>
    <xf numFmtId="0" fontId="67" fillId="0" borderId="53" xfId="0" applyFont="1" applyBorder="1" applyAlignment="1">
      <alignment horizontal="right" vertical="top"/>
    </xf>
    <xf numFmtId="0" fontId="33" fillId="0" borderId="54" xfId="0" applyFont="1" applyBorder="1" applyAlignment="1">
      <alignment vertical="top"/>
    </xf>
    <xf numFmtId="0" fontId="27" fillId="0" borderId="53" xfId="0" applyFont="1" applyBorder="1" applyAlignment="1">
      <alignment horizontal="left" vertical="top"/>
    </xf>
    <xf numFmtId="176" fontId="33" fillId="3" borderId="55" xfId="0" applyNumberFormat="1" applyFont="1" applyFill="1" applyBorder="1" applyAlignment="1">
      <alignment horizontal="left" vertical="top"/>
    </xf>
    <xf numFmtId="6" fontId="33" fillId="0" borderId="56" xfId="0" applyNumberFormat="1" applyFont="1" applyBorder="1" applyAlignment="1">
      <alignment horizontal="left" vertical="top"/>
    </xf>
    <xf numFmtId="0" fontId="41" fillId="0" borderId="53" xfId="0" applyFont="1" applyBorder="1" applyAlignment="1">
      <alignment horizontal="right" vertical="top"/>
    </xf>
    <xf numFmtId="6" fontId="42" fillId="0" borderId="55" xfId="0" applyNumberFormat="1" applyFont="1" applyBorder="1" applyAlignment="1">
      <alignment horizontal="left" vertical="top"/>
    </xf>
    <xf numFmtId="0" fontId="41" fillId="0" borderId="57" xfId="0" applyFont="1" applyBorder="1" applyAlignment="1">
      <alignment horizontal="right" vertical="top"/>
    </xf>
    <xf numFmtId="6" fontId="33" fillId="3" borderId="55" xfId="0" applyNumberFormat="1" applyFont="1" applyFill="1" applyBorder="1" applyAlignment="1">
      <alignment horizontal="left" vertical="top"/>
    </xf>
    <xf numFmtId="176" fontId="11" fillId="3" borderId="55" xfId="0" applyNumberFormat="1" applyFont="1" applyFill="1" applyBorder="1" applyAlignment="1">
      <alignment horizontal="left" vertical="top"/>
    </xf>
    <xf numFmtId="6" fontId="33" fillId="0" borderId="55" xfId="0" applyNumberFormat="1" applyFont="1" applyBorder="1" applyAlignment="1">
      <alignment horizontal="left" vertical="top"/>
    </xf>
    <xf numFmtId="0" fontId="33" fillId="0" borderId="57" xfId="0" applyFont="1" applyBorder="1" applyAlignment="1">
      <alignment vertical="top"/>
    </xf>
    <xf numFmtId="0" fontId="33" fillId="0" borderId="58" xfId="0" applyFont="1" applyBorder="1" applyAlignment="1">
      <alignment vertical="top"/>
    </xf>
    <xf numFmtId="6" fontId="11" fillId="3" borderId="55" xfId="0" applyNumberFormat="1" applyFont="1" applyFill="1" applyBorder="1" applyAlignment="1">
      <alignment horizontal="left" vertical="top"/>
    </xf>
    <xf numFmtId="0" fontId="36" fillId="20" borderId="61" xfId="6" applyFont="1" applyFill="1" applyBorder="1" applyAlignment="1">
      <alignment horizontal="center" wrapText="1"/>
    </xf>
    <xf numFmtId="0" fontId="36" fillId="20" borderId="62" xfId="6" applyFont="1" applyFill="1" applyBorder="1" applyAlignment="1">
      <alignment horizontal="center" wrapText="1"/>
    </xf>
    <xf numFmtId="0" fontId="36" fillId="20" borderId="63" xfId="6" applyFont="1" applyFill="1" applyBorder="1" applyAlignment="1">
      <alignment horizontal="center" wrapText="1"/>
    </xf>
    <xf numFmtId="0" fontId="36" fillId="20" borderId="64" xfId="6" applyFont="1" applyFill="1" applyBorder="1" applyAlignment="1">
      <alignment horizontal="center" wrapText="1"/>
    </xf>
    <xf numFmtId="6" fontId="41" fillId="3" borderId="58" xfId="0" applyNumberFormat="1" applyFont="1" applyFill="1" applyBorder="1" applyAlignment="1">
      <alignment horizontal="left" vertical="top"/>
    </xf>
    <xf numFmtId="6" fontId="41" fillId="3" borderId="55" xfId="0" applyNumberFormat="1" applyFont="1" applyFill="1" applyBorder="1" applyAlignment="1">
      <alignment horizontal="left" vertical="top"/>
    </xf>
    <xf numFmtId="177" fontId="68" fillId="22" borderId="30" xfId="1" applyNumberFormat="1" applyFont="1" applyFill="1" applyBorder="1" applyAlignment="1">
      <alignment horizontal="center" vertical="top"/>
    </xf>
    <xf numFmtId="173" fontId="22" fillId="6" borderId="46" xfId="0" applyNumberFormat="1" applyFont="1" applyFill="1" applyBorder="1" applyAlignment="1">
      <alignment horizontal="left" vertical="top"/>
    </xf>
    <xf numFmtId="0" fontId="27" fillId="3" borderId="59" xfId="0" applyFont="1" applyFill="1" applyBorder="1" applyAlignment="1">
      <alignment vertical="top"/>
    </xf>
    <xf numFmtId="173" fontId="11" fillId="3" borderId="74" xfId="0" applyNumberFormat="1" applyFont="1" applyFill="1" applyBorder="1" applyAlignment="1">
      <alignment horizontal="left" vertical="top"/>
    </xf>
    <xf numFmtId="173" fontId="11" fillId="3" borderId="60" xfId="0" applyNumberFormat="1" applyFont="1" applyFill="1" applyBorder="1" applyAlignment="1">
      <alignment horizontal="left" vertical="top"/>
    </xf>
    <xf numFmtId="0" fontId="4" fillId="0" borderId="75" xfId="0" applyFont="1" applyBorder="1" applyAlignment="1">
      <alignment vertical="top"/>
    </xf>
    <xf numFmtId="0" fontId="52" fillId="0" borderId="35" xfId="0" applyFont="1" applyBorder="1" applyAlignment="1">
      <alignment horizontal="right"/>
    </xf>
    <xf numFmtId="0" fontId="4" fillId="0" borderId="0" xfId="0" applyFont="1" applyAlignment="1">
      <alignment wrapText="1"/>
    </xf>
    <xf numFmtId="173" fontId="53" fillId="0" borderId="0" xfId="0" applyNumberFormat="1" applyFont="1" applyAlignment="1">
      <alignment horizontal="left" vertical="top"/>
    </xf>
    <xf numFmtId="1" fontId="46" fillId="6" borderId="13" xfId="4" applyNumberFormat="1" applyFont="1" applyFill="1" applyBorder="1" applyAlignment="1" applyProtection="1">
      <alignment horizontal="center" vertical="top"/>
      <protection hidden="1"/>
    </xf>
    <xf numFmtId="0" fontId="71" fillId="0" borderId="0" xfId="0" applyFont="1" applyAlignment="1">
      <alignment horizontal="left" vertical="top"/>
    </xf>
    <xf numFmtId="0" fontId="0" fillId="0" borderId="0" xfId="0" applyAlignment="1">
      <alignment horizontal="left" vertical="top" wrapText="1"/>
    </xf>
    <xf numFmtId="0" fontId="71" fillId="2" borderId="2" xfId="0" applyFont="1" applyFill="1" applyBorder="1" applyAlignment="1">
      <alignment horizontal="left" vertical="top" wrapText="1"/>
    </xf>
    <xf numFmtId="0" fontId="70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72" fillId="0" borderId="0" xfId="0" applyFont="1" applyAlignment="1">
      <alignment horizontal="left" vertical="top"/>
    </xf>
    <xf numFmtId="0" fontId="72" fillId="0" borderId="0" xfId="0" applyFont="1" applyAlignment="1">
      <alignment horizontal="left" vertical="top" wrapText="1"/>
    </xf>
    <xf numFmtId="0" fontId="55" fillId="0" borderId="0" xfId="0" applyFont="1" applyAlignment="1">
      <alignment vertical="top"/>
    </xf>
    <xf numFmtId="0" fontId="55" fillId="0" borderId="21" xfId="0" applyFont="1" applyBorder="1" applyAlignment="1">
      <alignment vertical="top"/>
    </xf>
    <xf numFmtId="0" fontId="55" fillId="0" borderId="0" xfId="0" applyFont="1" applyAlignment="1">
      <alignment horizontal="left" vertical="top"/>
    </xf>
    <xf numFmtId="10" fontId="39" fillId="0" borderId="0" xfId="0" applyNumberFormat="1" applyFont="1" applyAlignment="1">
      <alignment vertical="top"/>
    </xf>
    <xf numFmtId="0" fontId="27" fillId="0" borderId="0" xfId="0" applyFont="1" applyAlignment="1">
      <alignment vertical="top"/>
    </xf>
    <xf numFmtId="0" fontId="60" fillId="0" borderId="0" xfId="0" applyFont="1" applyAlignment="1">
      <alignment horizontal="center" vertical="top"/>
    </xf>
    <xf numFmtId="177" fontId="68" fillId="34" borderId="30" xfId="1" applyNumberFormat="1" applyFont="1" applyFill="1" applyBorder="1" applyAlignment="1">
      <alignment horizontal="center" vertical="top"/>
    </xf>
    <xf numFmtId="173" fontId="68" fillId="33" borderId="78" xfId="0" applyNumberFormat="1" applyFont="1" applyFill="1" applyBorder="1" applyAlignment="1">
      <alignment horizontal="left" vertical="top"/>
    </xf>
    <xf numFmtId="0" fontId="27" fillId="3" borderId="0" xfId="0" applyFont="1" applyFill="1" applyAlignment="1">
      <alignment horizontal="right" vertical="center"/>
    </xf>
    <xf numFmtId="6" fontId="11" fillId="3" borderId="80" xfId="0" applyNumberFormat="1" applyFont="1" applyFill="1" applyBorder="1" applyAlignment="1">
      <alignment horizontal="left" vertical="top"/>
    </xf>
    <xf numFmtId="0" fontId="27" fillId="0" borderId="81" xfId="0" applyFont="1" applyBorder="1" applyAlignment="1">
      <alignment horizontal="left" vertical="top"/>
    </xf>
    <xf numFmtId="176" fontId="11" fillId="3" borderId="7" xfId="0" applyNumberFormat="1" applyFont="1" applyFill="1" applyBorder="1" applyAlignment="1">
      <alignment horizontal="left" vertical="top"/>
    </xf>
    <xf numFmtId="6" fontId="33" fillId="0" borderId="7" xfId="0" applyNumberFormat="1" applyFont="1" applyBorder="1" applyAlignment="1">
      <alignment horizontal="left" vertical="top"/>
    </xf>
    <xf numFmtId="6" fontId="33" fillId="0" borderId="82" xfId="0" applyNumberFormat="1" applyFont="1" applyBorder="1" applyAlignment="1">
      <alignment horizontal="left" vertical="top"/>
    </xf>
    <xf numFmtId="0" fontId="41" fillId="0" borderId="83" xfId="0" applyFont="1" applyBorder="1" applyAlignment="1">
      <alignment horizontal="right" vertical="top"/>
    </xf>
    <xf numFmtId="6" fontId="41" fillId="3" borderId="84" xfId="0" applyNumberFormat="1" applyFont="1" applyFill="1" applyBorder="1" applyAlignment="1">
      <alignment horizontal="left" vertical="top"/>
    </xf>
    <xf numFmtId="173" fontId="34" fillId="3" borderId="0" xfId="0" applyNumberFormat="1" applyFont="1" applyFill="1" applyAlignment="1">
      <alignment horizontal="left" vertical="top"/>
    </xf>
    <xf numFmtId="0" fontId="47" fillId="28" borderId="0" xfId="0" applyFont="1" applyFill="1" applyAlignment="1">
      <alignment vertical="top" wrapText="1"/>
    </xf>
    <xf numFmtId="6" fontId="33" fillId="3" borderId="80" xfId="0" applyNumberFormat="1" applyFont="1" applyFill="1" applyBorder="1" applyAlignment="1">
      <alignment horizontal="left" vertical="top"/>
    </xf>
    <xf numFmtId="176" fontId="33" fillId="3" borderId="7" xfId="0" applyNumberFormat="1" applyFont="1" applyFill="1" applyBorder="1" applyAlignment="1">
      <alignment horizontal="left" vertical="top"/>
    </xf>
    <xf numFmtId="6" fontId="42" fillId="0" borderId="7" xfId="0" applyNumberFormat="1" applyFont="1" applyBorder="1" applyAlignment="1">
      <alignment horizontal="left" vertical="top"/>
    </xf>
    <xf numFmtId="6" fontId="27" fillId="32" borderId="82" xfId="0" applyNumberFormat="1" applyFont="1" applyFill="1" applyBorder="1" applyAlignment="1">
      <alignment horizontal="left" vertical="top"/>
    </xf>
    <xf numFmtId="6" fontId="42" fillId="3" borderId="84" xfId="0" applyNumberFormat="1" applyFont="1" applyFill="1" applyBorder="1" applyAlignment="1">
      <alignment horizontal="left" vertical="top"/>
    </xf>
    <xf numFmtId="0" fontId="41" fillId="0" borderId="88" xfId="0" applyFont="1" applyBorder="1" applyAlignment="1">
      <alignment horizontal="right" vertical="top"/>
    </xf>
    <xf numFmtId="173" fontId="50" fillId="3" borderId="0" xfId="0" applyNumberFormat="1" applyFont="1" applyFill="1" applyAlignment="1">
      <alignment horizontal="left" vertical="top"/>
    </xf>
    <xf numFmtId="173" fontId="49" fillId="3" borderId="0" xfId="0" applyNumberFormat="1" applyFont="1" applyFill="1" applyAlignment="1">
      <alignment horizontal="left" vertical="top"/>
    </xf>
    <xf numFmtId="173" fontId="50" fillId="3" borderId="0" xfId="0" applyNumberFormat="1" applyFont="1" applyFill="1" applyAlignment="1">
      <alignment vertical="top"/>
    </xf>
    <xf numFmtId="0" fontId="27" fillId="0" borderId="79" xfId="0" applyFont="1" applyBorder="1" applyAlignment="1">
      <alignment vertical="top"/>
    </xf>
    <xf numFmtId="0" fontId="27" fillId="0" borderId="87" xfId="0" applyFont="1" applyBorder="1" applyAlignment="1">
      <alignment vertical="top"/>
    </xf>
    <xf numFmtId="0" fontId="27" fillId="0" borderId="81" xfId="0" applyFont="1" applyBorder="1" applyAlignment="1">
      <alignment vertical="top"/>
    </xf>
    <xf numFmtId="0" fontId="41" fillId="0" borderId="81" xfId="0" applyFont="1" applyBorder="1" applyAlignment="1">
      <alignment vertical="top"/>
    </xf>
    <xf numFmtId="0" fontId="41" fillId="0" borderId="0" xfId="0" applyFont="1" applyAlignment="1">
      <alignment vertical="top"/>
    </xf>
    <xf numFmtId="0" fontId="41" fillId="0" borderId="83" xfId="0" applyFont="1" applyBorder="1" applyAlignment="1">
      <alignment vertical="top"/>
    </xf>
    <xf numFmtId="0" fontId="41" fillId="0" borderId="88" xfId="0" applyFont="1" applyBorder="1" applyAlignment="1">
      <alignment vertical="top"/>
    </xf>
    <xf numFmtId="0" fontId="50" fillId="0" borderId="0" xfId="0" applyFont="1" applyAlignment="1">
      <alignment vertical="top" wrapText="1"/>
    </xf>
    <xf numFmtId="0" fontId="29" fillId="0" borderId="0" xfId="0" applyFont="1" applyAlignment="1">
      <alignment vertical="top"/>
    </xf>
    <xf numFmtId="0" fontId="56" fillId="29" borderId="59" xfId="0" applyFont="1" applyFill="1" applyBorder="1"/>
    <xf numFmtId="0" fontId="56" fillId="29" borderId="60" xfId="0" applyFont="1" applyFill="1" applyBorder="1"/>
    <xf numFmtId="0" fontId="43" fillId="11" borderId="24" xfId="0" applyFont="1" applyFill="1" applyBorder="1" applyAlignment="1">
      <alignment vertical="top" wrapText="1"/>
    </xf>
    <xf numFmtId="0" fontId="43" fillId="11" borderId="27" xfId="0" applyFont="1" applyFill="1" applyBorder="1" applyAlignment="1">
      <alignment vertical="top" wrapText="1"/>
    </xf>
    <xf numFmtId="0" fontId="43" fillId="11" borderId="25" xfId="0" applyFont="1" applyFill="1" applyBorder="1" applyAlignment="1">
      <alignment vertical="top" wrapText="1"/>
    </xf>
    <xf numFmtId="174" fontId="22" fillId="6" borderId="44" xfId="0" applyNumberFormat="1" applyFont="1" applyFill="1" applyBorder="1" applyAlignment="1">
      <alignment vertical="top"/>
    </xf>
    <xf numFmtId="174" fontId="22" fillId="6" borderId="45" xfId="0" applyNumberFormat="1" applyFont="1" applyFill="1" applyBorder="1" applyAlignment="1">
      <alignment vertical="top"/>
    </xf>
    <xf numFmtId="0" fontId="43" fillId="11" borderId="0" xfId="0" applyFont="1" applyFill="1" applyAlignment="1">
      <alignment vertical="top"/>
    </xf>
    <xf numFmtId="1" fontId="22" fillId="6" borderId="44" xfId="0" applyNumberFormat="1" applyFont="1" applyFill="1" applyBorder="1" applyAlignment="1">
      <alignment vertical="top"/>
    </xf>
    <xf numFmtId="1" fontId="22" fillId="6" borderId="45" xfId="0" applyNumberFormat="1" applyFont="1" applyFill="1" applyBorder="1" applyAlignment="1">
      <alignment vertical="top"/>
    </xf>
    <xf numFmtId="173" fontId="68" fillId="14" borderId="59" xfId="0" applyNumberFormat="1" applyFont="1" applyFill="1" applyBorder="1" applyAlignment="1">
      <alignment vertical="top"/>
    </xf>
    <xf numFmtId="173" fontId="68" fillId="14" borderId="60" xfId="0" applyNumberFormat="1" applyFont="1" applyFill="1" applyBorder="1" applyAlignment="1">
      <alignment vertical="top"/>
    </xf>
    <xf numFmtId="173" fontId="34" fillId="3" borderId="76" xfId="0" applyNumberFormat="1" applyFont="1" applyFill="1" applyBorder="1" applyAlignment="1">
      <alignment vertical="top"/>
    </xf>
    <xf numFmtId="173" fontId="34" fillId="3" borderId="77" xfId="0" applyNumberFormat="1" applyFont="1" applyFill="1" applyBorder="1" applyAlignment="1">
      <alignment vertical="top"/>
    </xf>
    <xf numFmtId="173" fontId="50" fillId="3" borderId="38" xfId="0" applyNumberFormat="1" applyFont="1" applyFill="1" applyBorder="1" applyAlignment="1">
      <alignment vertical="top"/>
    </xf>
    <xf numFmtId="173" fontId="50" fillId="3" borderId="39" xfId="0" applyNumberFormat="1" applyFont="1" applyFill="1" applyBorder="1" applyAlignment="1">
      <alignment vertical="top"/>
    </xf>
    <xf numFmtId="173" fontId="34" fillId="3" borderId="0" xfId="0" applyNumberFormat="1" applyFont="1" applyFill="1" applyAlignment="1">
      <alignment vertical="top"/>
    </xf>
    <xf numFmtId="173" fontId="49" fillId="3" borderId="0" xfId="0" applyNumberFormat="1" applyFont="1" applyFill="1" applyAlignment="1">
      <alignment vertical="top"/>
    </xf>
    <xf numFmtId="0" fontId="34" fillId="0" borderId="0" xfId="0" applyFont="1" applyAlignment="1">
      <alignment vertical="top" wrapText="1"/>
    </xf>
    <xf numFmtId="0" fontId="66" fillId="0" borderId="0" xfId="0" applyFont="1" applyAlignment="1">
      <alignment vertical="top"/>
    </xf>
    <xf numFmtId="0" fontId="43" fillId="11" borderId="24" xfId="4" applyFont="1" applyFill="1" applyBorder="1" applyAlignment="1">
      <alignment vertical="top" wrapText="1"/>
    </xf>
    <xf numFmtId="0" fontId="43" fillId="11" borderId="27" xfId="4" applyFont="1" applyFill="1" applyBorder="1" applyAlignment="1">
      <alignment vertical="top" wrapText="1"/>
    </xf>
    <xf numFmtId="0" fontId="43" fillId="11" borderId="25" xfId="4" applyFont="1" applyFill="1" applyBorder="1" applyAlignment="1">
      <alignment vertical="top" wrapText="1"/>
    </xf>
    <xf numFmtId="176" fontId="33" fillId="0" borderId="0" xfId="1" applyNumberFormat="1" applyFont="1" applyAlignment="1">
      <alignment vertical="top"/>
    </xf>
    <xf numFmtId="0" fontId="27" fillId="24" borderId="0" xfId="0" applyFont="1" applyFill="1" applyAlignment="1">
      <alignment vertical="top" wrapText="1"/>
    </xf>
    <xf numFmtId="0" fontId="56" fillId="15" borderId="59" xfId="0" applyFont="1" applyFill="1" applyBorder="1"/>
    <xf numFmtId="0" fontId="56" fillId="15" borderId="60" xfId="0" applyFont="1" applyFill="1" applyBorder="1"/>
    <xf numFmtId="0" fontId="56" fillId="27" borderId="59" xfId="0" applyFont="1" applyFill="1" applyBorder="1"/>
    <xf numFmtId="0" fontId="56" fillId="27" borderId="60" xfId="0" applyFont="1" applyFill="1" applyBorder="1"/>
    <xf numFmtId="0" fontId="56" fillId="31" borderId="59" xfId="0" applyFont="1" applyFill="1" applyBorder="1"/>
    <xf numFmtId="0" fontId="56" fillId="31" borderId="60" xfId="0" applyFont="1" applyFill="1" applyBorder="1"/>
    <xf numFmtId="0" fontId="54" fillId="7" borderId="59" xfId="0" applyFont="1" applyFill="1" applyBorder="1" applyAlignment="1">
      <alignment wrapText="1"/>
    </xf>
    <xf numFmtId="0" fontId="54" fillId="7" borderId="60" xfId="0" applyFont="1" applyFill="1" applyBorder="1" applyAlignment="1">
      <alignment wrapText="1"/>
    </xf>
    <xf numFmtId="0" fontId="54" fillId="17" borderId="59" xfId="0" applyFont="1" applyFill="1" applyBorder="1"/>
    <xf numFmtId="0" fontId="54" fillId="17" borderId="60" xfId="0" applyFont="1" applyFill="1" applyBorder="1"/>
    <xf numFmtId="0" fontId="54" fillId="7" borderId="59" xfId="0" applyFont="1" applyFill="1" applyBorder="1"/>
    <xf numFmtId="0" fontId="54" fillId="7" borderId="60" xfId="0" applyFont="1" applyFill="1" applyBorder="1"/>
    <xf numFmtId="0" fontId="43" fillId="13" borderId="0" xfId="0" applyFont="1" applyFill="1" applyAlignment="1">
      <alignment wrapText="1"/>
    </xf>
    <xf numFmtId="0" fontId="43" fillId="12" borderId="0" xfId="0" applyFont="1" applyFill="1" applyAlignment="1">
      <alignment wrapText="1"/>
    </xf>
    <xf numFmtId="0" fontId="43" fillId="16" borderId="0" xfId="0" applyFont="1" applyFill="1" applyAlignment="1">
      <alignment wrapText="1"/>
    </xf>
    <xf numFmtId="0" fontId="69" fillId="11" borderId="28" xfId="0" applyFont="1" applyFill="1" applyBorder="1" applyAlignment="1">
      <alignment vertical="top" wrapText="1"/>
    </xf>
    <xf numFmtId="0" fontId="69" fillId="11" borderId="33" xfId="0" applyFont="1" applyFill="1" applyBorder="1" applyAlignment="1">
      <alignment vertical="top" wrapText="1"/>
    </xf>
    <xf numFmtId="0" fontId="69" fillId="11" borderId="29" xfId="0" applyFont="1" applyFill="1" applyBorder="1" applyAlignment="1">
      <alignment vertical="top" wrapText="1"/>
    </xf>
    <xf numFmtId="0" fontId="69" fillId="11" borderId="34" xfId="0" applyFont="1" applyFill="1" applyBorder="1" applyAlignment="1">
      <alignment vertical="top" wrapText="1"/>
    </xf>
    <xf numFmtId="0" fontId="69" fillId="11" borderId="35" xfId="0" applyFont="1" applyFill="1" applyBorder="1" applyAlignment="1">
      <alignment vertical="top" wrapText="1"/>
    </xf>
    <xf numFmtId="0" fontId="69" fillId="11" borderId="36" xfId="0" applyFont="1" applyFill="1" applyBorder="1" applyAlignment="1">
      <alignment vertical="top" wrapText="1"/>
    </xf>
    <xf numFmtId="0" fontId="43" fillId="25" borderId="0" xfId="0" applyFont="1" applyFill="1" applyAlignment="1">
      <alignment wrapText="1"/>
    </xf>
    <xf numFmtId="0" fontId="43" fillId="26" borderId="0" xfId="0" applyFont="1" applyFill="1" applyAlignment="1">
      <alignment wrapText="1"/>
    </xf>
    <xf numFmtId="0" fontId="27" fillId="37" borderId="59" xfId="0" applyFont="1" applyFill="1" applyBorder="1" applyAlignment="1">
      <alignment vertical="top"/>
    </xf>
    <xf numFmtId="173" fontId="11" fillId="37" borderId="73" xfId="0" applyNumberFormat="1" applyFont="1" applyFill="1" applyBorder="1" applyAlignment="1">
      <alignment horizontal="left" vertical="top"/>
    </xf>
    <xf numFmtId="173" fontId="33" fillId="37" borderId="73" xfId="0" applyNumberFormat="1" applyFont="1" applyFill="1" applyBorder="1" applyAlignment="1">
      <alignment horizontal="left" vertical="top"/>
    </xf>
    <xf numFmtId="173" fontId="33" fillId="37" borderId="60" xfId="0" applyNumberFormat="1" applyFont="1" applyFill="1" applyBorder="1" applyAlignment="1">
      <alignment horizontal="left" vertical="top"/>
    </xf>
    <xf numFmtId="0" fontId="76" fillId="0" borderId="0" xfId="0" quotePrefix="1" applyFont="1" applyAlignment="1">
      <alignment horizontal="left" vertical="top" wrapText="1" indent="1"/>
    </xf>
    <xf numFmtId="0" fontId="77" fillId="0" borderId="0" xfId="0" quotePrefix="1" applyFont="1" applyAlignment="1">
      <alignment horizontal="left" vertical="top" indent="1"/>
    </xf>
    <xf numFmtId="0" fontId="60" fillId="0" borderId="0" xfId="0" applyFont="1" applyAlignment="1">
      <alignment horizontal="left" vertical="top" indent="6"/>
    </xf>
    <xf numFmtId="0" fontId="27" fillId="3" borderId="10" xfId="0" applyFont="1" applyFill="1" applyBorder="1" applyAlignment="1">
      <alignment vertical="top"/>
    </xf>
    <xf numFmtId="173" fontId="11" fillId="3" borderId="5" xfId="0" applyNumberFormat="1" applyFont="1" applyFill="1" applyBorder="1" applyAlignment="1">
      <alignment horizontal="left" vertical="top"/>
    </xf>
    <xf numFmtId="173" fontId="33" fillId="3" borderId="5" xfId="0" applyNumberFormat="1" applyFont="1" applyFill="1" applyBorder="1" applyAlignment="1">
      <alignment horizontal="left" vertical="top"/>
    </xf>
    <xf numFmtId="173" fontId="33" fillId="3" borderId="96" xfId="0" applyNumberFormat="1" applyFont="1" applyFill="1" applyBorder="1" applyAlignment="1">
      <alignment horizontal="left" vertical="top"/>
    </xf>
    <xf numFmtId="0" fontId="49" fillId="3" borderId="0" xfId="0" applyFont="1" applyFill="1" applyAlignment="1">
      <alignment vertical="top"/>
    </xf>
    <xf numFmtId="0" fontId="53" fillId="0" borderId="0" xfId="0" applyFont="1" applyAlignment="1">
      <alignment vertical="top"/>
    </xf>
    <xf numFmtId="173" fontId="11" fillId="3" borderId="97" xfId="0" applyNumberFormat="1" applyFont="1" applyFill="1" applyBorder="1" applyAlignment="1">
      <alignment horizontal="left" vertical="top"/>
    </xf>
    <xf numFmtId="173" fontId="51" fillId="35" borderId="78" xfId="0" applyNumberFormat="1" applyFont="1" applyFill="1" applyBorder="1" applyAlignment="1">
      <alignment vertical="top"/>
    </xf>
    <xf numFmtId="173" fontId="45" fillId="36" borderId="78" xfId="0" applyNumberFormat="1" applyFont="1" applyFill="1" applyBorder="1" applyAlignment="1">
      <alignment horizontal="left" vertical="top"/>
    </xf>
    <xf numFmtId="0" fontId="52" fillId="0" borderId="0" xfId="4" applyFont="1" applyAlignment="1">
      <alignment horizontal="left" vertical="top" wrapText="1"/>
    </xf>
    <xf numFmtId="0" fontId="60" fillId="0" borderId="0" xfId="0" applyFont="1" applyAlignment="1">
      <alignment horizontal="left" vertical="top" indent="6"/>
    </xf>
    <xf numFmtId="0" fontId="56" fillId="29" borderId="85" xfId="0" applyFont="1" applyFill="1" applyBorder="1" applyAlignment="1">
      <alignment horizontal="center"/>
    </xf>
    <xf numFmtId="0" fontId="56" fillId="29" borderId="89" xfId="0" applyFont="1" applyFill="1" applyBorder="1" applyAlignment="1">
      <alignment horizontal="center"/>
    </xf>
    <xf numFmtId="0" fontId="56" fillId="29" borderId="86" xfId="0" applyFont="1" applyFill="1" applyBorder="1" applyAlignment="1">
      <alignment horizontal="center"/>
    </xf>
    <xf numFmtId="0" fontId="47" fillId="28" borderId="88" xfId="0" applyFont="1" applyFill="1" applyBorder="1" applyAlignment="1">
      <alignment horizontal="center" vertical="top" wrapText="1"/>
    </xf>
    <xf numFmtId="0" fontId="52" fillId="3" borderId="87" xfId="0" applyFont="1" applyFill="1" applyBorder="1" applyAlignment="1">
      <alignment horizontal="left" vertical="top" wrapText="1"/>
    </xf>
    <xf numFmtId="0" fontId="52" fillId="3" borderId="88" xfId="0" applyFont="1" applyFill="1" applyBorder="1" applyAlignment="1">
      <alignment horizontal="left" vertical="top" wrapText="1"/>
    </xf>
    <xf numFmtId="0" fontId="33" fillId="24" borderId="0" xfId="0" applyFont="1" applyFill="1" applyAlignment="1">
      <alignment horizontal="left" vertical="top" wrapText="1"/>
    </xf>
    <xf numFmtId="177" fontId="60" fillId="21" borderId="67" xfId="1" applyNumberFormat="1" applyFont="1" applyFill="1" applyBorder="1" applyAlignment="1">
      <alignment horizontal="center" vertical="center" wrapText="1"/>
    </xf>
    <xf numFmtId="177" fontId="60" fillId="21" borderId="70" xfId="1" applyNumberFormat="1" applyFont="1" applyFill="1" applyBorder="1" applyAlignment="1">
      <alignment horizontal="center" vertical="center" wrapText="1"/>
    </xf>
    <xf numFmtId="177" fontId="60" fillId="21" borderId="71" xfId="1" applyNumberFormat="1" applyFont="1" applyFill="1" applyBorder="1" applyAlignment="1">
      <alignment horizontal="center" vertical="center" wrapText="1"/>
    </xf>
    <xf numFmtId="9" fontId="11" fillId="18" borderId="90" xfId="1" applyFont="1" applyFill="1" applyBorder="1" applyAlignment="1">
      <alignment horizontal="center" vertical="center"/>
    </xf>
    <xf numFmtId="9" fontId="11" fillId="18" borderId="91" xfId="1" applyFont="1" applyFill="1" applyBorder="1" applyAlignment="1">
      <alignment horizontal="center" vertical="center"/>
    </xf>
    <xf numFmtId="9" fontId="11" fillId="18" borderId="92" xfId="1" applyFont="1" applyFill="1" applyBorder="1" applyAlignment="1">
      <alignment horizontal="center" vertical="center"/>
    </xf>
    <xf numFmtId="173" fontId="15" fillId="23" borderId="69" xfId="6" applyNumberFormat="1" applyFont="1" applyFill="1" applyBorder="1" applyAlignment="1">
      <alignment horizontal="center" vertical="center"/>
    </xf>
    <xf numFmtId="173" fontId="15" fillId="23" borderId="65" xfId="6" applyNumberFormat="1" applyFont="1" applyFill="1" applyBorder="1" applyAlignment="1">
      <alignment horizontal="center" vertical="center"/>
    </xf>
    <xf numFmtId="173" fontId="15" fillId="23" borderId="66" xfId="6" applyNumberFormat="1" applyFont="1" applyFill="1" applyBorder="1" applyAlignment="1">
      <alignment horizontal="center" vertical="center"/>
    </xf>
    <xf numFmtId="0" fontId="43" fillId="11" borderId="93" xfId="4" applyFont="1" applyFill="1" applyBorder="1" applyAlignment="1">
      <alignment horizontal="center" vertical="top" wrapText="1"/>
    </xf>
    <xf numFmtId="0" fontId="43" fillId="11" borderId="94" xfId="4" applyFont="1" applyFill="1" applyBorder="1" applyAlignment="1">
      <alignment horizontal="center" vertical="top" wrapText="1"/>
    </xf>
    <xf numFmtId="0" fontId="43" fillId="11" borderId="95" xfId="4" applyFont="1" applyFill="1" applyBorder="1" applyAlignment="1">
      <alignment horizontal="center" vertical="top" wrapText="1"/>
    </xf>
    <xf numFmtId="1" fontId="22" fillId="6" borderId="44" xfId="0" applyNumberFormat="1" applyFont="1" applyFill="1" applyBorder="1" applyAlignment="1">
      <alignment horizontal="left" vertical="top"/>
    </xf>
    <xf numFmtId="1" fontId="22" fillId="6" borderId="45" xfId="0" applyNumberFormat="1" applyFont="1" applyFill="1" applyBorder="1" applyAlignment="1">
      <alignment horizontal="left" vertical="top"/>
    </xf>
    <xf numFmtId="0" fontId="52" fillId="0" borderId="35" xfId="0" applyFont="1" applyBorder="1" applyAlignment="1">
      <alignment horizontal="right"/>
    </xf>
    <xf numFmtId="0" fontId="29" fillId="0" borderId="0" xfId="0" applyFont="1" applyAlignment="1">
      <alignment horizontal="left" vertical="top" indent="7"/>
    </xf>
    <xf numFmtId="0" fontId="43" fillId="12" borderId="0" xfId="0" applyFont="1" applyFill="1" applyAlignment="1">
      <alignment horizontal="center" wrapText="1"/>
    </xf>
    <xf numFmtId="0" fontId="43" fillId="16" borderId="0" xfId="0" applyFont="1" applyFill="1" applyAlignment="1">
      <alignment horizontal="center" wrapText="1"/>
    </xf>
    <xf numFmtId="0" fontId="43" fillId="11" borderId="24" xfId="4" applyFont="1" applyFill="1" applyBorder="1" applyAlignment="1">
      <alignment horizontal="center" vertical="top" wrapText="1"/>
    </xf>
    <xf numFmtId="0" fontId="43" fillId="11" borderId="27" xfId="4" applyFont="1" applyFill="1" applyBorder="1" applyAlignment="1">
      <alignment horizontal="center" vertical="top" wrapText="1"/>
    </xf>
    <xf numFmtId="0" fontId="43" fillId="11" borderId="25" xfId="4" applyFont="1" applyFill="1" applyBorder="1" applyAlignment="1">
      <alignment horizontal="center" vertical="top" wrapText="1"/>
    </xf>
    <xf numFmtId="0" fontId="43" fillId="11" borderId="28" xfId="4" applyFont="1" applyFill="1" applyBorder="1" applyAlignment="1">
      <alignment horizontal="center" vertical="top" wrapText="1"/>
    </xf>
    <xf numFmtId="0" fontId="43" fillId="11" borderId="33" xfId="4" applyFont="1" applyFill="1" applyBorder="1" applyAlignment="1">
      <alignment horizontal="center" vertical="top" wrapText="1"/>
    </xf>
    <xf numFmtId="0" fontId="43" fillId="11" borderId="29" xfId="4" applyFont="1" applyFill="1" applyBorder="1" applyAlignment="1">
      <alignment horizontal="center" vertical="top" wrapText="1"/>
    </xf>
    <xf numFmtId="10" fontId="15" fillId="18" borderId="68" xfId="1" applyNumberFormat="1" applyFont="1" applyFill="1" applyBorder="1" applyAlignment="1">
      <alignment horizontal="center" vertical="center"/>
    </xf>
    <xf numFmtId="10" fontId="15" fillId="18" borderId="52" xfId="1" applyNumberFormat="1" applyFont="1" applyFill="1" applyBorder="1" applyAlignment="1">
      <alignment horizontal="center" vertical="center"/>
    </xf>
    <xf numFmtId="10" fontId="15" fillId="18" borderId="72" xfId="1" applyNumberFormat="1" applyFont="1" applyFill="1" applyBorder="1" applyAlignment="1">
      <alignment horizontal="center" vertical="center"/>
    </xf>
    <xf numFmtId="0" fontId="56" fillId="29" borderId="59" xfId="0" applyFont="1" applyFill="1" applyBorder="1" applyAlignment="1">
      <alignment horizontal="center"/>
    </xf>
    <xf numFmtId="0" fontId="56" fillId="29" borderId="60" xfId="0" applyFont="1" applyFill="1" applyBorder="1" applyAlignment="1">
      <alignment horizontal="center"/>
    </xf>
    <xf numFmtId="0" fontId="29" fillId="0" borderId="0" xfId="0" applyFont="1" applyAlignment="1">
      <alignment horizontal="left" vertical="top" indent="3"/>
    </xf>
    <xf numFmtId="0" fontId="43" fillId="25" borderId="0" xfId="0" applyFont="1" applyFill="1" applyAlignment="1">
      <alignment horizontal="center" wrapText="1"/>
    </xf>
    <xf numFmtId="0" fontId="43" fillId="26" borderId="0" xfId="0" applyFont="1" applyFill="1" applyAlignment="1">
      <alignment horizontal="center" wrapText="1"/>
    </xf>
    <xf numFmtId="0" fontId="47" fillId="28" borderId="0" xfId="0" applyFont="1" applyFill="1" applyAlignment="1">
      <alignment horizontal="center" vertical="top" wrapText="1"/>
    </xf>
    <xf numFmtId="0" fontId="56" fillId="15" borderId="59" xfId="0" applyFont="1" applyFill="1" applyBorder="1" applyAlignment="1">
      <alignment horizontal="center"/>
    </xf>
    <xf numFmtId="0" fontId="56" fillId="15" borderId="60" xfId="0" applyFont="1" applyFill="1" applyBorder="1" applyAlignment="1">
      <alignment horizontal="center"/>
    </xf>
    <xf numFmtId="0" fontId="56" fillId="27" borderId="59" xfId="0" applyFont="1" applyFill="1" applyBorder="1" applyAlignment="1">
      <alignment horizontal="center"/>
    </xf>
    <xf numFmtId="0" fontId="56" fillId="27" borderId="60" xfId="0" applyFont="1" applyFill="1" applyBorder="1" applyAlignment="1">
      <alignment horizontal="center"/>
    </xf>
    <xf numFmtId="0" fontId="56" fillId="31" borderId="59" xfId="0" applyFont="1" applyFill="1" applyBorder="1" applyAlignment="1">
      <alignment horizontal="center"/>
    </xf>
    <xf numFmtId="0" fontId="56" fillId="31" borderId="60" xfId="0" applyFont="1" applyFill="1" applyBorder="1" applyAlignment="1">
      <alignment horizontal="center"/>
    </xf>
    <xf numFmtId="0" fontId="54" fillId="7" borderId="59" xfId="0" applyFont="1" applyFill="1" applyBorder="1" applyAlignment="1">
      <alignment horizontal="center" wrapText="1"/>
    </xf>
    <xf numFmtId="0" fontId="54" fillId="7" borderId="60" xfId="0" applyFont="1" applyFill="1" applyBorder="1" applyAlignment="1">
      <alignment horizontal="center" wrapText="1"/>
    </xf>
    <xf numFmtId="0" fontId="54" fillId="17" borderId="59" xfId="0" applyFont="1" applyFill="1" applyBorder="1" applyAlignment="1">
      <alignment horizontal="center"/>
    </xf>
    <xf numFmtId="0" fontId="54" fillId="17" borderId="60" xfId="0" applyFont="1" applyFill="1" applyBorder="1" applyAlignment="1">
      <alignment horizontal="center"/>
    </xf>
    <xf numFmtId="0" fontId="54" fillId="7" borderId="59" xfId="0" applyFont="1" applyFill="1" applyBorder="1" applyAlignment="1">
      <alignment horizontal="center"/>
    </xf>
    <xf numFmtId="0" fontId="54" fillId="7" borderId="60" xfId="0" applyFont="1" applyFill="1" applyBorder="1" applyAlignment="1">
      <alignment horizontal="center"/>
    </xf>
    <xf numFmtId="0" fontId="69" fillId="11" borderId="28" xfId="0" applyFont="1" applyFill="1" applyBorder="1" applyAlignment="1">
      <alignment horizontal="center" vertical="top" wrapText="1"/>
    </xf>
    <xf numFmtId="0" fontId="69" fillId="11" borderId="33" xfId="0" applyFont="1" applyFill="1" applyBorder="1" applyAlignment="1">
      <alignment horizontal="center" vertical="top" wrapText="1"/>
    </xf>
    <xf numFmtId="0" fontId="69" fillId="11" borderId="29" xfId="0" applyFont="1" applyFill="1" applyBorder="1" applyAlignment="1">
      <alignment horizontal="center" vertical="top" wrapText="1"/>
    </xf>
    <xf numFmtId="0" fontId="69" fillId="11" borderId="34" xfId="0" applyFont="1" applyFill="1" applyBorder="1" applyAlignment="1">
      <alignment horizontal="center" vertical="top" wrapText="1"/>
    </xf>
    <xf numFmtId="0" fontId="69" fillId="11" borderId="35" xfId="0" applyFont="1" applyFill="1" applyBorder="1" applyAlignment="1">
      <alignment horizontal="center" vertical="top" wrapText="1"/>
    </xf>
    <xf numFmtId="0" fontId="69" fillId="11" borderId="36" xfId="0" applyFont="1" applyFill="1" applyBorder="1" applyAlignment="1">
      <alignment horizontal="center" vertical="top" wrapText="1"/>
    </xf>
    <xf numFmtId="0" fontId="43" fillId="13" borderId="0" xfId="0" applyFont="1" applyFill="1" applyAlignment="1">
      <alignment horizontal="center" wrapText="1"/>
    </xf>
    <xf numFmtId="0" fontId="25" fillId="3" borderId="87" xfId="0" applyFont="1" applyFill="1" applyBorder="1" applyAlignment="1">
      <alignment horizontal="left" vertical="top" wrapText="1"/>
    </xf>
    <xf numFmtId="0" fontId="25" fillId="3" borderId="0" xfId="0" applyFont="1" applyFill="1" applyAlignment="1">
      <alignment horizontal="left" vertical="top" wrapText="1"/>
    </xf>
    <xf numFmtId="165" fontId="11" fillId="3" borderId="0" xfId="4" applyNumberFormat="1" applyFont="1" applyFill="1" applyAlignment="1" applyProtection="1">
      <alignment horizontal="left" vertical="top"/>
      <protection hidden="1"/>
    </xf>
    <xf numFmtId="0" fontId="33" fillId="0" borderId="0" xfId="0" applyFont="1" applyAlignment="1">
      <alignment horizontal="left" vertical="top" wrapText="1"/>
    </xf>
    <xf numFmtId="0" fontId="11" fillId="0" borderId="0" xfId="4" applyFont="1" applyAlignment="1">
      <alignment horizontal="left" vertical="top" wrapText="1"/>
    </xf>
    <xf numFmtId="0" fontId="33" fillId="6" borderId="12" xfId="0" applyFont="1" applyFill="1" applyBorder="1" applyAlignment="1">
      <alignment horizontal="left" vertical="top" wrapText="1"/>
    </xf>
    <xf numFmtId="0" fontId="33" fillId="6" borderId="13" xfId="0" applyFont="1" applyFill="1" applyBorder="1" applyAlignment="1">
      <alignment horizontal="left" vertical="top" wrapText="1"/>
    </xf>
    <xf numFmtId="0" fontId="33" fillId="6" borderId="14" xfId="0" applyFont="1" applyFill="1" applyBorder="1" applyAlignment="1">
      <alignment horizontal="left" vertical="top" wrapText="1"/>
    </xf>
    <xf numFmtId="0" fontId="33" fillId="6" borderId="17" xfId="0" applyFont="1" applyFill="1" applyBorder="1" applyAlignment="1">
      <alignment horizontal="left" vertical="top" wrapText="1"/>
    </xf>
    <xf numFmtId="0" fontId="33" fillId="6" borderId="1" xfId="0" applyFont="1" applyFill="1" applyBorder="1" applyAlignment="1">
      <alignment horizontal="left" vertical="top" wrapText="1"/>
    </xf>
    <xf numFmtId="0" fontId="33" fillId="6" borderId="18" xfId="0" applyFont="1" applyFill="1" applyBorder="1" applyAlignment="1">
      <alignment horizontal="left" vertical="top" wrapText="1"/>
    </xf>
    <xf numFmtId="0" fontId="23" fillId="0" borderId="0" xfId="0" applyFont="1" applyBorder="1" applyAlignment="1">
      <alignment vertical="top" wrapText="1"/>
    </xf>
    <xf numFmtId="0" fontId="36" fillId="0" borderId="20" xfId="0" applyFont="1" applyBorder="1" applyAlignment="1">
      <alignment horizontal="left" vertical="top" wrapText="1"/>
    </xf>
    <xf numFmtId="0" fontId="36" fillId="0" borderId="0" xfId="0" applyFont="1" applyBorder="1" applyAlignment="1">
      <alignment horizontal="left" vertical="top" wrapText="1"/>
    </xf>
  </cellXfs>
  <cellStyles count="17">
    <cellStyle name="1JZirpolo" xfId="2" xr:uid="{1863FF7C-8F40-4FAC-8594-9DB3C1C575D3}"/>
    <cellStyle name="Comma 2" xfId="12" xr:uid="{BB956023-388B-44A6-9805-A81621E6C59C}"/>
    <cellStyle name="Comma 3" xfId="16" xr:uid="{F1AC19F6-1C4C-45FF-B027-17536B8E3242}"/>
    <cellStyle name="Currency 2" xfId="7" xr:uid="{6BFEEE34-4C18-4734-B7EF-83BCB765A342}"/>
    <cellStyle name="Currency 3" xfId="10" xr:uid="{38DCED1B-6060-4826-A38E-ABB189468DBD}"/>
    <cellStyle name="Currency 4" xfId="15" xr:uid="{3F85E902-2258-4382-AAFC-91CFA8578146}"/>
    <cellStyle name="Heading 1 2" xfId="5" xr:uid="{5C2D2434-F625-4ECC-9723-6D5BD012DBE3}"/>
    <cellStyle name="Normal" xfId="0" builtinId="0"/>
    <cellStyle name="Normal 2" xfId="4" xr:uid="{BE039FD1-824B-42FB-ADFA-4B305C37A941}"/>
    <cellStyle name="Normal 3" xfId="6" xr:uid="{ED78B140-6F55-4387-B1C2-362C94212FBD}"/>
    <cellStyle name="Normal 4" xfId="8" xr:uid="{62CB970F-4120-4B4F-8B9F-16DFFFED3FD0}"/>
    <cellStyle name="Normal 5" xfId="9" xr:uid="{7ECEF410-C427-41A0-9662-719981430526}"/>
    <cellStyle name="Normal 6" xfId="14" xr:uid="{78E44006-0424-4896-AB11-5EF12BF4A7F8}"/>
    <cellStyle name="Percent" xfId="1" builtinId="5"/>
    <cellStyle name="Percent 2" xfId="3" xr:uid="{70688175-4FD2-4DD0-858C-4A9B7D8D73E3}"/>
    <cellStyle name="Percent 3" xfId="11" xr:uid="{ADDAB927-C8EB-4037-80CA-4F966A96204C}"/>
    <cellStyle name="Percent 4" xfId="13" xr:uid="{0B272A30-3E8D-4EFD-B2E6-EFBB1CDA69A5}"/>
  </cellStyles>
  <dxfs count="7"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</dxfs>
  <tableStyles count="0" defaultTableStyle="TableStyleMedium9" defaultPivotStyle="PivotStyleLight16"/>
  <colors>
    <mruColors>
      <color rgb="FFCDF2FF"/>
      <color rgb="FFE1F7FF"/>
      <color rgb="FFF1EFF5"/>
      <color rgb="FFFFF1C5"/>
      <color rgb="FFFFF7FD"/>
      <color rgb="FFFEDAFE"/>
      <color rgb="FFFFFFE5"/>
      <color rgb="FFDCFBFC"/>
      <color rgb="FFFDE3FB"/>
      <color rgb="FFE7FF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externalLink" Target="externalLinks/externalLink9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externalLink" Target="externalLinks/externalLink11.xml"/><Relationship Id="rId10" Type="http://schemas.openxmlformats.org/officeDocument/2006/relationships/externalLink" Target="externalLinks/externalLink6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externalLink" Target="externalLinks/externalLink10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3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23.emf"/><Relationship Id="rId3" Type="http://schemas.openxmlformats.org/officeDocument/2006/relationships/image" Target="../media/image20.emf"/><Relationship Id="rId7" Type="http://schemas.openxmlformats.org/officeDocument/2006/relationships/image" Target="../media/image16.emf"/><Relationship Id="rId12" Type="http://schemas.openxmlformats.org/officeDocument/2006/relationships/image" Target="../media/image2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6" Type="http://schemas.openxmlformats.org/officeDocument/2006/relationships/image" Target="../media/image17.emf"/><Relationship Id="rId11" Type="http://schemas.openxmlformats.org/officeDocument/2006/relationships/image" Target="../media/image3.emf"/><Relationship Id="rId5" Type="http://schemas.openxmlformats.org/officeDocument/2006/relationships/image" Target="../media/image18.emf"/><Relationship Id="rId10" Type="http://schemas.openxmlformats.org/officeDocument/2006/relationships/image" Target="../media/image14.emf"/><Relationship Id="rId4" Type="http://schemas.openxmlformats.org/officeDocument/2006/relationships/image" Target="../media/image19.emf"/><Relationship Id="rId9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8</xdr:row>
          <xdr:rowOff>31750</xdr:rowOff>
        </xdr:from>
        <xdr:to>
          <xdr:col>3</xdr:col>
          <xdr:colOff>762000</xdr:colOff>
          <xdr:row>8</xdr:row>
          <xdr:rowOff>228600</xdr:rowOff>
        </xdr:to>
        <xdr:sp macro="" textlink="">
          <xdr:nvSpPr>
            <xdr:cNvPr id="5180" name="ComboBox1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0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1758950</xdr:colOff>
          <xdr:row>14</xdr:row>
          <xdr:rowOff>184150</xdr:rowOff>
        </xdr:from>
        <xdr:to>
          <xdr:col>20</xdr:col>
          <xdr:colOff>2051050</xdr:colOff>
          <xdr:row>15</xdr:row>
          <xdr:rowOff>190500</xdr:rowOff>
        </xdr:to>
        <xdr:sp macro="" textlink="">
          <xdr:nvSpPr>
            <xdr:cNvPr id="5185" name="ComboBox3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0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1758950</xdr:colOff>
          <xdr:row>14</xdr:row>
          <xdr:rowOff>184150</xdr:rowOff>
        </xdr:from>
        <xdr:to>
          <xdr:col>23</xdr:col>
          <xdr:colOff>2051050</xdr:colOff>
          <xdr:row>15</xdr:row>
          <xdr:rowOff>190500</xdr:rowOff>
        </xdr:to>
        <xdr:sp macro="" textlink="">
          <xdr:nvSpPr>
            <xdr:cNvPr id="5186" name="ComboBox4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0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6350</xdr:colOff>
          <xdr:row>35</xdr:row>
          <xdr:rowOff>184150</xdr:rowOff>
        </xdr:from>
        <xdr:to>
          <xdr:col>18</xdr:col>
          <xdr:colOff>12700</xdr:colOff>
          <xdr:row>37</xdr:row>
          <xdr:rowOff>12700</xdr:rowOff>
        </xdr:to>
        <xdr:sp macro="" textlink="">
          <xdr:nvSpPr>
            <xdr:cNvPr id="5187" name="ComboBox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0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1758950</xdr:colOff>
          <xdr:row>35</xdr:row>
          <xdr:rowOff>184150</xdr:rowOff>
        </xdr:from>
        <xdr:to>
          <xdr:col>20</xdr:col>
          <xdr:colOff>2051050</xdr:colOff>
          <xdr:row>36</xdr:row>
          <xdr:rowOff>190500</xdr:rowOff>
        </xdr:to>
        <xdr:sp macro="" textlink="">
          <xdr:nvSpPr>
            <xdr:cNvPr id="5188" name="ComboBox6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0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1758950</xdr:colOff>
          <xdr:row>35</xdr:row>
          <xdr:rowOff>184150</xdr:rowOff>
        </xdr:from>
        <xdr:to>
          <xdr:col>23</xdr:col>
          <xdr:colOff>2051050</xdr:colOff>
          <xdr:row>36</xdr:row>
          <xdr:rowOff>190500</xdr:rowOff>
        </xdr:to>
        <xdr:sp macro="" textlink="">
          <xdr:nvSpPr>
            <xdr:cNvPr id="5189" name="ComboBox7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0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12700</xdr:colOff>
          <xdr:row>19</xdr:row>
          <xdr:rowOff>12700</xdr:rowOff>
        </xdr:from>
        <xdr:to>
          <xdr:col>18</xdr:col>
          <xdr:colOff>12700</xdr:colOff>
          <xdr:row>20</xdr:row>
          <xdr:rowOff>6350</xdr:rowOff>
        </xdr:to>
        <xdr:sp macro="" textlink="">
          <xdr:nvSpPr>
            <xdr:cNvPr id="5191" name="ComboBox8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0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</xdr:colOff>
          <xdr:row>19</xdr:row>
          <xdr:rowOff>12700</xdr:rowOff>
        </xdr:from>
        <xdr:to>
          <xdr:col>21</xdr:col>
          <xdr:colOff>12700</xdr:colOff>
          <xdr:row>20</xdr:row>
          <xdr:rowOff>6350</xdr:rowOff>
        </xdr:to>
        <xdr:sp macro="" textlink="">
          <xdr:nvSpPr>
            <xdr:cNvPr id="5192" name="ComboBox9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0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12700</xdr:colOff>
          <xdr:row>37</xdr:row>
          <xdr:rowOff>12700</xdr:rowOff>
        </xdr:from>
        <xdr:to>
          <xdr:col>24</xdr:col>
          <xdr:colOff>12700</xdr:colOff>
          <xdr:row>38</xdr:row>
          <xdr:rowOff>6350</xdr:rowOff>
        </xdr:to>
        <xdr:sp macro="" textlink="">
          <xdr:nvSpPr>
            <xdr:cNvPr id="5193" name="ComboBox1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0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1746250</xdr:colOff>
          <xdr:row>40</xdr:row>
          <xdr:rowOff>0</xdr:rowOff>
        </xdr:from>
        <xdr:to>
          <xdr:col>23</xdr:col>
          <xdr:colOff>2000250</xdr:colOff>
          <xdr:row>41</xdr:row>
          <xdr:rowOff>25400</xdr:rowOff>
        </xdr:to>
        <xdr:sp macro="" textlink="">
          <xdr:nvSpPr>
            <xdr:cNvPr id="5196" name="ComboBox13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0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6350</xdr:colOff>
          <xdr:row>40</xdr:row>
          <xdr:rowOff>6350</xdr:rowOff>
        </xdr:from>
        <xdr:to>
          <xdr:col>18</xdr:col>
          <xdr:colOff>6350</xdr:colOff>
          <xdr:row>41</xdr:row>
          <xdr:rowOff>19050</xdr:rowOff>
        </xdr:to>
        <xdr:sp macro="" textlink="">
          <xdr:nvSpPr>
            <xdr:cNvPr id="5197" name="ComboBox11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0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1758950</xdr:colOff>
          <xdr:row>40</xdr:row>
          <xdr:rowOff>12700</xdr:rowOff>
        </xdr:from>
        <xdr:to>
          <xdr:col>20</xdr:col>
          <xdr:colOff>2038350</xdr:colOff>
          <xdr:row>41</xdr:row>
          <xdr:rowOff>31750</xdr:rowOff>
        </xdr:to>
        <xdr:sp macro="" textlink="">
          <xdr:nvSpPr>
            <xdr:cNvPr id="5198" name="ComboBox12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0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6</xdr:col>
      <xdr:colOff>172832</xdr:colOff>
      <xdr:row>33</xdr:row>
      <xdr:rowOff>76437</xdr:rowOff>
    </xdr:from>
    <xdr:to>
      <xdr:col>6</xdr:col>
      <xdr:colOff>562902</xdr:colOff>
      <xdr:row>36</xdr:row>
      <xdr:rowOff>49223</xdr:rowOff>
    </xdr:to>
    <xdr:sp macro="" textlink="">
      <xdr:nvSpPr>
        <xdr:cNvPr id="32" name="Arrow: Down 31">
          <a:extLst>
            <a:ext uri="{FF2B5EF4-FFF2-40B4-BE49-F238E27FC236}">
              <a16:creationId xmlns:a16="http://schemas.microsoft.com/office/drawing/2014/main" id="{9EB00F9F-C5CE-4F0E-B275-9D60108E87B7}"/>
            </a:ext>
          </a:extLst>
        </xdr:cNvPr>
        <xdr:cNvSpPr/>
      </xdr:nvSpPr>
      <xdr:spPr>
        <a:xfrm>
          <a:off x="5893354" y="6752220"/>
          <a:ext cx="390070" cy="547046"/>
        </a:xfrm>
        <a:prstGeom prst="downArrow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6350</xdr:colOff>
          <xdr:row>14</xdr:row>
          <xdr:rowOff>177800</xdr:rowOff>
        </xdr:from>
        <xdr:to>
          <xdr:col>17</xdr:col>
          <xdr:colOff>2209800</xdr:colOff>
          <xdr:row>16</xdr:row>
          <xdr:rowOff>25400</xdr:rowOff>
        </xdr:to>
        <xdr:sp macro="" textlink="">
          <xdr:nvSpPr>
            <xdr:cNvPr id="5199" name="ComboBox2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0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</xdr:col>
      <xdr:colOff>1400629</xdr:colOff>
      <xdr:row>28</xdr:row>
      <xdr:rowOff>165652</xdr:rowOff>
    </xdr:from>
    <xdr:to>
      <xdr:col>4</xdr:col>
      <xdr:colOff>259522</xdr:colOff>
      <xdr:row>32</xdr:row>
      <xdr:rowOff>90714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EF7D33A3-C801-46BD-9FA4-18FB8483849D}"/>
            </a:ext>
          </a:extLst>
        </xdr:cNvPr>
        <xdr:cNvCxnSpPr/>
      </xdr:nvCxnSpPr>
      <xdr:spPr>
        <a:xfrm flipV="1">
          <a:off x="1792672" y="5797826"/>
          <a:ext cx="2641285" cy="775410"/>
        </a:xfrm>
        <a:prstGeom prst="straightConnector1">
          <a:avLst/>
        </a:prstGeom>
        <a:ln>
          <a:solidFill>
            <a:schemeClr val="accent6">
              <a:lumMod val="50000"/>
            </a:schemeClr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1306286</xdr:colOff>
      <xdr:row>24</xdr:row>
      <xdr:rowOff>143565</xdr:rowOff>
    </xdr:from>
    <xdr:to>
      <xdr:col>4</xdr:col>
      <xdr:colOff>171174</xdr:colOff>
      <xdr:row>33</xdr:row>
      <xdr:rowOff>90714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AFFACDE1-EED8-40C5-8E5B-02F2FBF8E2C0}"/>
            </a:ext>
          </a:extLst>
        </xdr:cNvPr>
        <xdr:cNvCxnSpPr/>
      </xdr:nvCxnSpPr>
      <xdr:spPr>
        <a:xfrm flipV="1">
          <a:off x="1698329" y="5013739"/>
          <a:ext cx="2647280" cy="1752758"/>
        </a:xfrm>
        <a:prstGeom prst="straightConnector1">
          <a:avLst/>
        </a:prstGeom>
        <a:ln>
          <a:solidFill>
            <a:srgbClr val="7030A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1212850</xdr:colOff>
      <xdr:row>35</xdr:row>
      <xdr:rowOff>0</xdr:rowOff>
    </xdr:from>
    <xdr:to>
      <xdr:col>2</xdr:col>
      <xdr:colOff>44450</xdr:colOff>
      <xdr:row>40</xdr:row>
      <xdr:rowOff>127000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85ADADF5-317E-41F3-BB39-E0F7DCE2CECB}"/>
            </a:ext>
          </a:extLst>
        </xdr:cNvPr>
        <xdr:cNvCxnSpPr/>
      </xdr:nvCxnSpPr>
      <xdr:spPr>
        <a:xfrm flipV="1">
          <a:off x="1606550" y="7448550"/>
          <a:ext cx="844550" cy="1231900"/>
        </a:xfrm>
        <a:prstGeom prst="straightConnector1">
          <a:avLst/>
        </a:prstGeom>
        <a:ln>
          <a:solidFill>
            <a:srgbClr val="0070C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882788</xdr:colOff>
      <xdr:row>41</xdr:row>
      <xdr:rowOff>106064</xdr:rowOff>
    </xdr:from>
    <xdr:to>
      <xdr:col>8</xdr:col>
      <xdr:colOff>884430</xdr:colOff>
      <xdr:row>50</xdr:row>
      <xdr:rowOff>88729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A80605A-0A1F-4DC3-B04D-2B61B0D65F3E}"/>
            </a:ext>
          </a:extLst>
        </xdr:cNvPr>
        <xdr:cNvCxnSpPr/>
      </xdr:nvCxnSpPr>
      <xdr:spPr>
        <a:xfrm flipH="1" flipV="1">
          <a:off x="8204614" y="8477021"/>
          <a:ext cx="1642" cy="1473534"/>
        </a:xfrm>
        <a:prstGeom prst="straightConnector1">
          <a:avLst/>
        </a:prstGeom>
        <a:ln>
          <a:solidFill>
            <a:schemeClr val="tx1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6</xdr:row>
          <xdr:rowOff>31750</xdr:rowOff>
        </xdr:from>
        <xdr:to>
          <xdr:col>3</xdr:col>
          <xdr:colOff>762000</xdr:colOff>
          <xdr:row>6</xdr:row>
          <xdr:rowOff>228600</xdr:rowOff>
        </xdr:to>
        <xdr:sp macro="" textlink="">
          <xdr:nvSpPr>
            <xdr:cNvPr id="11265" name="ComboBox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1758950</xdr:colOff>
          <xdr:row>22</xdr:row>
          <xdr:rowOff>184150</xdr:rowOff>
        </xdr:from>
        <xdr:to>
          <xdr:col>17</xdr:col>
          <xdr:colOff>2051050</xdr:colOff>
          <xdr:row>23</xdr:row>
          <xdr:rowOff>190500</xdr:rowOff>
        </xdr:to>
        <xdr:sp macro="" textlink="">
          <xdr:nvSpPr>
            <xdr:cNvPr id="11266" name="ComboBox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1758950</xdr:colOff>
          <xdr:row>22</xdr:row>
          <xdr:rowOff>184150</xdr:rowOff>
        </xdr:from>
        <xdr:to>
          <xdr:col>20</xdr:col>
          <xdr:colOff>2051050</xdr:colOff>
          <xdr:row>23</xdr:row>
          <xdr:rowOff>190500</xdr:rowOff>
        </xdr:to>
        <xdr:sp macro="" textlink="">
          <xdr:nvSpPr>
            <xdr:cNvPr id="11267" name="ComboBox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1758950</xdr:colOff>
          <xdr:row>22</xdr:row>
          <xdr:rowOff>184150</xdr:rowOff>
        </xdr:from>
        <xdr:to>
          <xdr:col>23</xdr:col>
          <xdr:colOff>2051050</xdr:colOff>
          <xdr:row>23</xdr:row>
          <xdr:rowOff>190500</xdr:rowOff>
        </xdr:to>
        <xdr:sp macro="" textlink="">
          <xdr:nvSpPr>
            <xdr:cNvPr id="11268" name="ComboBox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1758950</xdr:colOff>
          <xdr:row>43</xdr:row>
          <xdr:rowOff>184150</xdr:rowOff>
        </xdr:from>
        <xdr:to>
          <xdr:col>17</xdr:col>
          <xdr:colOff>2051050</xdr:colOff>
          <xdr:row>44</xdr:row>
          <xdr:rowOff>190500</xdr:rowOff>
        </xdr:to>
        <xdr:sp macro="" textlink="">
          <xdr:nvSpPr>
            <xdr:cNvPr id="11269" name="ComboBox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1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1758950</xdr:colOff>
          <xdr:row>43</xdr:row>
          <xdr:rowOff>184150</xdr:rowOff>
        </xdr:from>
        <xdr:to>
          <xdr:col>20</xdr:col>
          <xdr:colOff>2051050</xdr:colOff>
          <xdr:row>44</xdr:row>
          <xdr:rowOff>190500</xdr:rowOff>
        </xdr:to>
        <xdr:sp macro="" textlink="">
          <xdr:nvSpPr>
            <xdr:cNvPr id="11270" name="ComboBox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1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1758950</xdr:colOff>
          <xdr:row>43</xdr:row>
          <xdr:rowOff>184150</xdr:rowOff>
        </xdr:from>
        <xdr:to>
          <xdr:col>23</xdr:col>
          <xdr:colOff>2051050</xdr:colOff>
          <xdr:row>44</xdr:row>
          <xdr:rowOff>190500</xdr:rowOff>
        </xdr:to>
        <xdr:sp macro="" textlink="">
          <xdr:nvSpPr>
            <xdr:cNvPr id="11271" name="ComboBox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1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12700</xdr:colOff>
          <xdr:row>27</xdr:row>
          <xdr:rowOff>12700</xdr:rowOff>
        </xdr:from>
        <xdr:to>
          <xdr:col>18</xdr:col>
          <xdr:colOff>12700</xdr:colOff>
          <xdr:row>28</xdr:row>
          <xdr:rowOff>6350</xdr:rowOff>
        </xdr:to>
        <xdr:sp macro="" textlink="">
          <xdr:nvSpPr>
            <xdr:cNvPr id="11272" name="ComboBox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1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</xdr:colOff>
          <xdr:row>27</xdr:row>
          <xdr:rowOff>12700</xdr:rowOff>
        </xdr:from>
        <xdr:to>
          <xdr:col>21</xdr:col>
          <xdr:colOff>12700</xdr:colOff>
          <xdr:row>28</xdr:row>
          <xdr:rowOff>6350</xdr:rowOff>
        </xdr:to>
        <xdr:sp macro="" textlink="">
          <xdr:nvSpPr>
            <xdr:cNvPr id="11273" name="ComboBox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1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12700</xdr:colOff>
          <xdr:row>34</xdr:row>
          <xdr:rowOff>12700</xdr:rowOff>
        </xdr:from>
        <xdr:to>
          <xdr:col>24</xdr:col>
          <xdr:colOff>12700</xdr:colOff>
          <xdr:row>35</xdr:row>
          <xdr:rowOff>6350</xdr:rowOff>
        </xdr:to>
        <xdr:sp macro="" textlink="">
          <xdr:nvSpPr>
            <xdr:cNvPr id="11274" name="ComboBox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1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1746250</xdr:colOff>
          <xdr:row>48</xdr:row>
          <xdr:rowOff>0</xdr:rowOff>
        </xdr:from>
        <xdr:to>
          <xdr:col>23</xdr:col>
          <xdr:colOff>2000250</xdr:colOff>
          <xdr:row>49</xdr:row>
          <xdr:rowOff>25400</xdr:rowOff>
        </xdr:to>
        <xdr:sp macro="" textlink="">
          <xdr:nvSpPr>
            <xdr:cNvPr id="11275" name="ComboBox13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1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6350</xdr:colOff>
          <xdr:row>48</xdr:row>
          <xdr:rowOff>6350</xdr:rowOff>
        </xdr:from>
        <xdr:to>
          <xdr:col>18</xdr:col>
          <xdr:colOff>6350</xdr:colOff>
          <xdr:row>49</xdr:row>
          <xdr:rowOff>19050</xdr:rowOff>
        </xdr:to>
        <xdr:sp macro="" textlink="">
          <xdr:nvSpPr>
            <xdr:cNvPr id="11276" name="ComboBox11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1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1758950</xdr:colOff>
          <xdr:row>48</xdr:row>
          <xdr:rowOff>12700</xdr:rowOff>
        </xdr:from>
        <xdr:to>
          <xdr:col>20</xdr:col>
          <xdr:colOff>2038350</xdr:colOff>
          <xdr:row>49</xdr:row>
          <xdr:rowOff>31750</xdr:rowOff>
        </xdr:to>
        <xdr:sp macro="" textlink="">
          <xdr:nvSpPr>
            <xdr:cNvPr id="11277" name="ComboBox12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1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</xdr:col>
      <xdr:colOff>1352550</xdr:colOff>
      <xdr:row>16</xdr:row>
      <xdr:rowOff>158750</xdr:rowOff>
    </xdr:from>
    <xdr:to>
      <xdr:col>2</xdr:col>
      <xdr:colOff>984250</xdr:colOff>
      <xdr:row>30</xdr:row>
      <xdr:rowOff>120650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790F81D-9168-46ED-B71B-0B6CA38045B7}"/>
            </a:ext>
          </a:extLst>
        </xdr:cNvPr>
        <xdr:cNvCxnSpPr/>
      </xdr:nvCxnSpPr>
      <xdr:spPr>
        <a:xfrm flipV="1">
          <a:off x="1746250" y="3702050"/>
          <a:ext cx="1644650" cy="2692400"/>
        </a:xfrm>
        <a:prstGeom prst="straightConnector1">
          <a:avLst/>
        </a:prstGeom>
        <a:ln>
          <a:solidFill>
            <a:schemeClr val="tx2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659423</xdr:colOff>
      <xdr:row>42</xdr:row>
      <xdr:rowOff>117231</xdr:rowOff>
    </xdr:from>
    <xdr:to>
      <xdr:col>7</xdr:col>
      <xdr:colOff>669192</xdr:colOff>
      <xdr:row>52</xdr:row>
      <xdr:rowOff>83038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62B90E3-088F-48EB-B2C8-F01A139A3455}"/>
            </a:ext>
          </a:extLst>
        </xdr:cNvPr>
        <xdr:cNvCxnSpPr/>
      </xdr:nvCxnSpPr>
      <xdr:spPr>
        <a:xfrm flipV="1">
          <a:off x="4830885" y="8132885"/>
          <a:ext cx="9769" cy="1846384"/>
        </a:xfrm>
        <a:prstGeom prst="straightConnector1">
          <a:avLst/>
        </a:prstGeom>
        <a:ln>
          <a:solidFill>
            <a:schemeClr val="tx1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222250</xdr:colOff>
      <xdr:row>34</xdr:row>
      <xdr:rowOff>190500</xdr:rowOff>
    </xdr:from>
    <xdr:to>
      <xdr:col>5</xdr:col>
      <xdr:colOff>612320</xdr:colOff>
      <xdr:row>37</xdr:row>
      <xdr:rowOff>89846</xdr:rowOff>
    </xdr:to>
    <xdr:sp macro="" textlink="">
      <xdr:nvSpPr>
        <xdr:cNvPr id="12" name="Arrow: Down 11">
          <a:extLst>
            <a:ext uri="{FF2B5EF4-FFF2-40B4-BE49-F238E27FC236}">
              <a16:creationId xmlns:a16="http://schemas.microsoft.com/office/drawing/2014/main" id="{FD6C332B-30D0-4A4D-9BF7-8BB4535842A5}"/>
            </a:ext>
          </a:extLst>
        </xdr:cNvPr>
        <xdr:cNvSpPr/>
      </xdr:nvSpPr>
      <xdr:spPr>
        <a:xfrm>
          <a:off x="5162550" y="6985000"/>
          <a:ext cx="390070" cy="547046"/>
        </a:xfrm>
        <a:prstGeom prst="downArrow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1351642</xdr:colOff>
      <xdr:row>84</xdr:row>
      <xdr:rowOff>127000</xdr:rowOff>
    </xdr:from>
    <xdr:to>
      <xdr:col>13</xdr:col>
      <xdr:colOff>144048</xdr:colOff>
      <xdr:row>92</xdr:row>
      <xdr:rowOff>72570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CFE7920-6819-4501-BC0F-55BE16CD0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9492" y="15792450"/>
          <a:ext cx="3087727" cy="1289049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</xdr:row>
      <xdr:rowOff>117929</xdr:rowOff>
    </xdr:from>
    <xdr:to>
      <xdr:col>18</xdr:col>
      <xdr:colOff>296041</xdr:colOff>
      <xdr:row>30</xdr:row>
      <xdr:rowOff>190680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E947DA5-3AAE-DD33-9FEA-4FBDB3989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33714" y="2485572"/>
          <a:ext cx="6083613" cy="349267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\Training\Excel\Headly\NYIM\GardnerTripExcelBusAdv\Gardner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!2023\TTS\Training\Summer%20Boot%20Camp%202022%20-%20Target%20(TGT)\Accounting\Adv%20Excel%20for%20Finance%20-%20with%20Rich%20T's%20version%20of%20macabacu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melbenbraham\Library\Mobile%20Documents\com~apple~CloudDocs\Power%20Users%20v16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:\Users\mfeldman\Dropbox\Course%20Materials-%20WSP\Excel%20Crash%20Course%20-%202007\Excel%20templates\Excel%20Practice%20Sheet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2022\!%201%20Nobel%20Desktop\Financial%20Modeling%20Boot%20Camp\Adv%20Excel%20for%20Finance%20-%20Rich%20T%20Aug%2016%202023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!2023\TTS\Summer%20Boot%20TGT\4%20Financial%20Modeling\1%20Foundations\1%20Excel%20Best%20Practices\2D_FM_Examples_v22.0.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vmware-host\Shared%20Folders\Users\Pro%20Data-PC55\Dropbox\NYIM\Excel%202007-2010\HackintoshUsers\jt2\Downloads\Sales%20Seasonality%20by%20Month97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\Training\Excel\Advanced%20Excel%20for%20Biz\NYIM%20Advanced%20Excel%20for%20Biz%20Workbook.xls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!%20%20%20!%201%20Nobel%20Desktop\Financial%20Modeling%20Boot%20Camp\!%20Latest%20Class%20files%20sent%20to%20JT\Excel%20Level%20II%20-%20Intermediate%20(Nov%2028%202023)%20Rich.xlsm" TargetMode="External"/><Relationship Id="rId1" Type="http://schemas.openxmlformats.org/officeDocument/2006/relationships/externalLinkPath" Target="file:///F:\!%20%20%20!%201%20Nobel%20Desktop\Financial%20Modeling%20Boot%20Camp\!%20Latest%20Class%20files%20sent%20to%20JT\Excel%20Level%20II%20-%20Intermediate%20(Nov%2028%202023)%20Rich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vmware-host\Shared%20Folders\Users\Pro%20Data-PC55\Dropbox\NYIM\Excel%202007-2010\HackintoshUsers\jt2\Downloads\Service%20Invoice97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:\Users\NYIM47\Dropbox\1.%2520New%2520Excel%2520Curriculums\3.%2520Advanced%2520Excel%2520for%2520Business%2520v11.xlsx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wkare\OneDrive\Desktop\Working%20Doc\STI%20Model%20vs%207.xlsm.xlsx" TargetMode="External"/><Relationship Id="rId1" Type="http://schemas.openxmlformats.org/officeDocument/2006/relationships/externalLinkPath" Target="file:///C:\Users\wkare\OneDrive\Desktop\Working%20Doc\STI%20Model%20vs%207.xlsm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!%20%20%20!%201%20Nobel%20Desktop\Financial%20Modeling%20Boot%20Camp\Financial%20Modeling%202023-08-15\Advanced%20Excel%20for%20Financial%20Modeling%20%20day%201-%20Friday%20%20Jan%205%20%202024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imple Formulas"/>
      <sheetName val="SimpleFunctions"/>
      <sheetName val="ParseDateTime"/>
      <sheetName val="DateMath"/>
      <sheetName val="Finance"/>
      <sheetName val="IfandSumIf"/>
      <sheetName val="NestedIf"/>
      <sheetName val="VLookup"/>
      <sheetName val="NatLangNameRange"/>
      <sheetName val="DataFilter"/>
      <sheetName val="Sample"/>
      <sheetName val="Regress-Forecast"/>
      <sheetName val="PriceChart"/>
      <sheetName val="Macro1"/>
      <sheetName val="Macro2"/>
      <sheetName val="Macro3"/>
      <sheetName val="Scenario"/>
      <sheetName val="GoalSeek"/>
      <sheetName val="Subtotal"/>
      <sheetName val="Auditing"/>
      <sheetName val="DataSort"/>
      <sheetName val="TextToColumns"/>
      <sheetName val="PivotTables"/>
      <sheetName val="Qtr1"/>
      <sheetName val="Qtr2"/>
      <sheetName val="Qtr3"/>
      <sheetName val="Qtr4"/>
      <sheetName val="Summary"/>
      <sheetName val="Ratios"/>
      <sheetName val="Charts"/>
      <sheetName val="TableOfContents"/>
      <sheetName val="IncomeStatement"/>
      <sheetName val="BalanceShe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>
        <row r="1">
          <cell r="B1" t="str">
            <v>RESULTS</v>
          </cell>
        </row>
        <row r="2">
          <cell r="B2">
            <v>2005</v>
          </cell>
          <cell r="C2">
            <v>2006</v>
          </cell>
          <cell r="D2">
            <v>2007</v>
          </cell>
        </row>
        <row r="3">
          <cell r="A3" t="str">
            <v>Short term liquidity</v>
          </cell>
        </row>
        <row r="4">
          <cell r="A4" t="str">
            <v>Current ratio: Measures the ability to pay current liabilities out of current assets.</v>
          </cell>
        </row>
        <row r="5">
          <cell r="A5" t="str">
            <v>Current Ratio = Current assets / Current liabilities</v>
          </cell>
          <cell r="B5" t="str">
            <v>NA</v>
          </cell>
          <cell r="C5" t="str">
            <v>NA</v>
          </cell>
          <cell r="D5" t="str">
            <v>NA</v>
          </cell>
        </row>
        <row r="6">
          <cell r="A6" t="str">
            <v>Quick ratio (Acid Test): Measures the ability to pay current liabilities out of the most liquid of current assets.</v>
          </cell>
        </row>
        <row r="7">
          <cell r="A7" t="str">
            <v>Quick ratio = (Cash + Marketable securities + Accounts receivable) / Current liabilities</v>
          </cell>
          <cell r="B7" t="str">
            <v>NA</v>
          </cell>
          <cell r="C7" t="str">
            <v>NA</v>
          </cell>
          <cell r="D7" t="str">
            <v>NA</v>
          </cell>
        </row>
        <row r="8">
          <cell r="A8" t="str">
            <v>Accounts receivable turnover: Measures the ability to collect from customers.</v>
          </cell>
        </row>
        <row r="9">
          <cell r="A9" t="str">
            <v>Accounts receivable turnover = Annual net credit sales / Average net account receivables</v>
          </cell>
        </row>
        <row r="10">
          <cell r="A10" t="str">
            <v>Average collection period (Days Sales Outstanding): Measures the average number of day that it takes to collect accounts receivable.</v>
          </cell>
        </row>
        <row r="11">
          <cell r="A11" t="str">
            <v>Average collection period = 365 / Accounts receivable turnover</v>
          </cell>
        </row>
        <row r="12">
          <cell r="A12" t="str">
            <v>Inventory turnover: Measures the saleability of inventory.  Indicates the number of time inventory is sold or "turned" per year.</v>
          </cell>
        </row>
        <row r="13">
          <cell r="A13" t="str">
            <v>Inventory turnover = Cost of goods sold / Average Inventory</v>
          </cell>
        </row>
        <row r="14">
          <cell r="A14" t="str">
            <v>Days sales in inventory: Measures inventory levels based on days sales.</v>
          </cell>
        </row>
        <row r="15">
          <cell r="A15" t="str">
            <v>Days sales in inventory = 365 / Inventory turnover</v>
          </cell>
        </row>
        <row r="16">
          <cell r="A16" t="str">
            <v>Inventory to net working capital</v>
          </cell>
        </row>
        <row r="17">
          <cell r="A17" t="str">
            <v xml:space="preserve">  Inventory to net working capital = Inventory / Net working capital </v>
          </cell>
        </row>
        <row r="18">
          <cell r="A18" t="str">
            <v>Long term solvency</v>
          </cell>
        </row>
        <row r="19">
          <cell r="A19" t="str">
            <v>Debt ratio: Indicates the percentage of assets financed with debt or liabilities</v>
          </cell>
        </row>
        <row r="20">
          <cell r="A20" t="str">
            <v>Debt ratio = Total liabilities / Total assets</v>
          </cell>
        </row>
        <row r="21">
          <cell r="A21" t="str">
            <v>Times interest earned - income (interest coverage): Measures the ability to pay interest out of profits.</v>
          </cell>
        </row>
        <row r="22">
          <cell r="A22" t="str">
            <v>Times interest earned - income (interest coverage) = Net income before interest expense and taxes / Interest expense</v>
          </cell>
        </row>
        <row r="23">
          <cell r="A23" t="str">
            <v>Times interest earned - cash flow (interest coverage): Net income before interest expense and taxes</v>
          </cell>
        </row>
        <row r="24">
          <cell r="A24" t="str">
            <v>Times interest earned - cash flow (interest coverage) =   Cash flow from operations and interest / Interest expense</v>
          </cell>
        </row>
        <row r="25">
          <cell r="A25" t="str">
            <v>Total asstes to equity</v>
          </cell>
        </row>
        <row r="26">
          <cell r="A26" t="str">
            <v>Total assets to equity = Total assets / Total stockholders equity</v>
          </cell>
        </row>
        <row r="27">
          <cell r="A27" t="str">
            <v>Total liabilities to total assets</v>
          </cell>
        </row>
        <row r="28">
          <cell r="A28" t="str">
            <v>Total liabilities to total assets = Total liabilities / Total assets</v>
          </cell>
        </row>
        <row r="29">
          <cell r="A29" t="str">
            <v>Total liabilities to equity</v>
          </cell>
        </row>
        <row r="30">
          <cell r="A30" t="str">
            <v>Total liabilities to equity = Total liabilities / Total stockholders equity</v>
          </cell>
        </row>
        <row r="31">
          <cell r="A31" t="str">
            <v>Interest bearing debt to total assets</v>
          </cell>
        </row>
        <row r="32">
          <cell r="A32" t="str">
            <v>Interest bearing debt to total assets = Interest bearing debt / Total assets</v>
          </cell>
        </row>
        <row r="33">
          <cell r="A33" t="str">
            <v>Interest bearing debt to equity</v>
          </cell>
        </row>
        <row r="34">
          <cell r="A34" t="str">
            <v xml:space="preserve"> Interest bearing debt to equity = Interest bearing debt / Total equity</v>
          </cell>
        </row>
        <row r="35">
          <cell r="A35" t="str">
            <v>Long term debt to long term capital</v>
          </cell>
        </row>
        <row r="36">
          <cell r="A36" t="str">
            <v>Long term debt to long term capital = Long term debt / (Long term debt + Total equity)</v>
          </cell>
        </row>
        <row r="37">
          <cell r="A37" t="str">
            <v>Profitability Ratios</v>
          </cell>
        </row>
        <row r="38">
          <cell r="A38" t="str">
            <v>Return on assets: Measures the effectiveness of assets used to produce profits.</v>
          </cell>
        </row>
        <row r="39">
          <cell r="A39" t="str">
            <v>Return on assets = Net income / Average total assets</v>
          </cell>
        </row>
        <row r="40">
          <cell r="A40" t="str">
            <v>Return on equity: Measures the profitibility of owners investments.</v>
          </cell>
        </row>
        <row r="41">
          <cell r="A41" t="str">
            <v>Return on equity = Net income / Average stockholders equity</v>
          </cell>
        </row>
        <row r="42">
          <cell r="A42" t="str">
            <v>Gross margin</v>
          </cell>
        </row>
        <row r="43">
          <cell r="A43" t="str">
            <v>Gross margin % = Gross profit / Sales</v>
          </cell>
        </row>
        <row r="44">
          <cell r="A44" t="str">
            <v>Operating margin</v>
          </cell>
        </row>
        <row r="45">
          <cell r="A45" t="str">
            <v>Operating margin = Operating profit / Sales</v>
          </cell>
        </row>
        <row r="46">
          <cell r="A46" t="str">
            <v>Profit margin: Measures the % of each $1 of revenue that is left over as profit.</v>
          </cell>
        </row>
        <row r="47">
          <cell r="A47" t="str">
            <v>Profit margin = Net income / Sales</v>
          </cell>
        </row>
        <row r="48">
          <cell r="A48" t="str">
            <v>Total asset turnover: Measures the efficiency of assets used to produce sales.</v>
          </cell>
        </row>
        <row r="49">
          <cell r="A49" t="str">
            <v>Total asset turnover = Sales / Average total assets</v>
          </cell>
        </row>
        <row r="50">
          <cell r="A50" t="str">
            <v>Fixed assets turnover: Measures the efficiency of fixed assets used to produce sales.</v>
          </cell>
        </row>
        <row r="51">
          <cell r="A51" t="str">
            <v>Fixed asset turnover = Sales / Average fixed assets</v>
          </cell>
        </row>
        <row r="52">
          <cell r="A52" t="str">
            <v>Current asset turnover</v>
          </cell>
        </row>
        <row r="53">
          <cell r="A53" t="str">
            <v>Current asset turnover = Sales / Average current assets</v>
          </cell>
        </row>
      </sheetData>
      <sheetData sheetId="30" refreshError="1"/>
      <sheetData sheetId="31" refreshError="1"/>
      <sheetData sheetId="32">
        <row r="2">
          <cell r="A2" t="str">
            <v>PERIOD ENDING</v>
          </cell>
          <cell r="B2" t="str">
            <v>Mar 31, 200x</v>
          </cell>
          <cell r="C2" t="str">
            <v>Jun 30, 200x</v>
          </cell>
          <cell r="D2" t="str">
            <v>Sep 30, 200x</v>
          </cell>
          <cell r="E2" t="str">
            <v>Dec 31, 200x</v>
          </cell>
        </row>
        <row r="3">
          <cell r="A3" t="str">
            <v>Total Revenue</v>
          </cell>
        </row>
        <row r="4">
          <cell r="A4" t="str">
            <v>Cost of Revenue</v>
          </cell>
        </row>
        <row r="5">
          <cell r="A5" t="str">
            <v>Gross Profit</v>
          </cell>
        </row>
        <row r="6">
          <cell r="A6" t="str">
            <v>Operating Expenses</v>
          </cell>
        </row>
        <row r="7">
          <cell r="A7" t="str">
            <v>Research Development</v>
          </cell>
        </row>
        <row r="8">
          <cell r="A8" t="str">
            <v>Selling General and Administrative</v>
          </cell>
        </row>
        <row r="9">
          <cell r="A9" t="str">
            <v>Non Recurring</v>
          </cell>
        </row>
        <row r="10">
          <cell r="A10" t="str">
            <v>Others</v>
          </cell>
        </row>
        <row r="11">
          <cell r="A11" t="str">
            <v>Total Operating Expenses</v>
          </cell>
        </row>
        <row r="12">
          <cell r="A12" t="str">
            <v>Operating Income or Loss</v>
          </cell>
        </row>
        <row r="13">
          <cell r="A13" t="str">
            <v>Income from Continuing Operations</v>
          </cell>
        </row>
        <row r="14">
          <cell r="A14" t="str">
            <v>Total Other Income/Expenses Net</v>
          </cell>
        </row>
        <row r="15">
          <cell r="A15" t="str">
            <v>Earnings Before Interest And Taxes</v>
          </cell>
        </row>
        <row r="16">
          <cell r="A16" t="str">
            <v>Interest Expense</v>
          </cell>
        </row>
        <row r="17">
          <cell r="A17" t="str">
            <v>Income Before Tax</v>
          </cell>
        </row>
        <row r="18">
          <cell r="A18" t="str">
            <v>Income Tax Expense</v>
          </cell>
        </row>
        <row r="19">
          <cell r="A19" t="str">
            <v>Minority Interest</v>
          </cell>
        </row>
        <row r="20">
          <cell r="A20" t="str">
            <v>Net Income From Continuing Ops</v>
          </cell>
        </row>
        <row r="21">
          <cell r="A21" t="str">
            <v>Non-recurring Events</v>
          </cell>
        </row>
        <row r="22">
          <cell r="A22" t="str">
            <v>Discontinued Operations</v>
          </cell>
        </row>
        <row r="23">
          <cell r="A23" t="str">
            <v>Extraordinary Items</v>
          </cell>
        </row>
        <row r="24">
          <cell r="A24" t="str">
            <v>Effect Of Accounting Changes</v>
          </cell>
        </row>
        <row r="25">
          <cell r="A25" t="str">
            <v>Other Items</v>
          </cell>
        </row>
        <row r="26">
          <cell r="A26" t="str">
            <v>Net Income</v>
          </cell>
        </row>
        <row r="27">
          <cell r="A27" t="str">
            <v>Preferred Stock And Other Adjustments</v>
          </cell>
        </row>
        <row r="28">
          <cell r="A28" t="str">
            <v>Net Income Applicable To Common Shares</v>
          </cell>
        </row>
      </sheetData>
      <sheetData sheetId="33">
        <row r="2">
          <cell r="A2" t="str">
            <v>PERIOD ENDING</v>
          </cell>
          <cell r="B2" t="str">
            <v>Mar 31, 200x</v>
          </cell>
          <cell r="C2" t="str">
            <v>Jun 30, 200x</v>
          </cell>
          <cell r="D2" t="str">
            <v>Sep 30, 200x</v>
          </cell>
          <cell r="E2" t="str">
            <v>Dec 31, 200x</v>
          </cell>
        </row>
        <row r="3">
          <cell r="A3" t="str">
            <v>Assets</v>
          </cell>
        </row>
        <row r="4">
          <cell r="A4" t="str">
            <v>Current Assets</v>
          </cell>
        </row>
        <row r="5">
          <cell r="A5" t="str">
            <v>Cash And Cash Equivalents</v>
          </cell>
        </row>
        <row r="6">
          <cell r="A6" t="str">
            <v>Short Term Investments</v>
          </cell>
        </row>
        <row r="7">
          <cell r="A7" t="str">
            <v>Net Receivables</v>
          </cell>
        </row>
        <row r="8">
          <cell r="A8" t="str">
            <v>Inventory</v>
          </cell>
        </row>
        <row r="9">
          <cell r="A9" t="str">
            <v>Other Current Assets</v>
          </cell>
        </row>
        <row r="10">
          <cell r="A10" t="str">
            <v>Total Current Assets</v>
          </cell>
        </row>
        <row r="11">
          <cell r="A11" t="str">
            <v>Long Term Investments</v>
          </cell>
        </row>
        <row r="12">
          <cell r="A12" t="str">
            <v>Property Plant and Equipment</v>
          </cell>
        </row>
        <row r="13">
          <cell r="A13" t="str">
            <v>Goodwill</v>
          </cell>
        </row>
        <row r="14">
          <cell r="A14" t="str">
            <v>Intangible Assets</v>
          </cell>
        </row>
        <row r="15">
          <cell r="A15" t="str">
            <v>Accumulated Amortization</v>
          </cell>
        </row>
        <row r="16">
          <cell r="A16" t="str">
            <v>Other Assets</v>
          </cell>
        </row>
        <row r="17">
          <cell r="A17" t="str">
            <v>Deferred Long Term Asset Charges</v>
          </cell>
        </row>
        <row r="18">
          <cell r="A18" t="str">
            <v>Total Assets</v>
          </cell>
        </row>
        <row r="19">
          <cell r="A19" t="str">
            <v>Liabilities</v>
          </cell>
        </row>
        <row r="20">
          <cell r="A20" t="str">
            <v>Current Liabilities</v>
          </cell>
        </row>
        <row r="21">
          <cell r="A21" t="str">
            <v>Accounts Payable</v>
          </cell>
        </row>
        <row r="22">
          <cell r="A22" t="str">
            <v>Short/Current Long Term Debt</v>
          </cell>
        </row>
        <row r="23">
          <cell r="A23" t="str">
            <v>Other Current Liabilities</v>
          </cell>
        </row>
        <row r="24">
          <cell r="A24" t="str">
            <v>Total Current Liabilities</v>
          </cell>
        </row>
        <row r="25">
          <cell r="A25" t="str">
            <v>Long Term Debt</v>
          </cell>
        </row>
        <row r="26">
          <cell r="A26" t="str">
            <v>Other Liabilities</v>
          </cell>
        </row>
        <row r="27">
          <cell r="A27" t="str">
            <v>Deferred Long Term Liability Charges</v>
          </cell>
        </row>
        <row r="28">
          <cell r="A28" t="str">
            <v>Minority Interest</v>
          </cell>
        </row>
        <row r="29">
          <cell r="A29" t="str">
            <v>Negative Goodwill</v>
          </cell>
        </row>
        <row r="30">
          <cell r="A30" t="str">
            <v>Total Liabilities</v>
          </cell>
        </row>
        <row r="31">
          <cell r="A31" t="str">
            <v xml:space="preserve">Stockholders' Equity </v>
          </cell>
        </row>
        <row r="32">
          <cell r="A32" t="str">
            <v>Misc Stocks Options Warrants</v>
          </cell>
        </row>
        <row r="33">
          <cell r="A33" t="str">
            <v>Redeemable Preferred Stock</v>
          </cell>
        </row>
        <row r="34">
          <cell r="A34" t="str">
            <v>Preferred Stock</v>
          </cell>
        </row>
        <row r="35">
          <cell r="A35" t="str">
            <v>Common Stock</v>
          </cell>
        </row>
        <row r="36">
          <cell r="A36" t="str">
            <v>Retained Earnings</v>
          </cell>
        </row>
        <row r="37">
          <cell r="A37" t="str">
            <v>Treasury Stock</v>
          </cell>
        </row>
        <row r="38">
          <cell r="A38" t="str">
            <v>Capital Surplus</v>
          </cell>
        </row>
        <row r="39">
          <cell r="A39" t="str">
            <v>Other Stockholder Equity</v>
          </cell>
        </row>
        <row r="40">
          <cell r="A40" t="str">
            <v>Total Stockholder Equity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Welcome"/>
      <sheetName val="Navigation"/>
      <sheetName val="Formula writing"/>
      <sheetName val="Formula Auditing"/>
      <sheetName val="Adv Cell Lock"/>
      <sheetName val="Go To Special"/>
      <sheetName val="Table1"/>
      <sheetName val="Hot Keys"/>
      <sheetName val="Windows"/>
      <sheetName val="Project I"/>
      <sheetName val="Project I (answer)"/>
      <sheetName val="Goal Seek"/>
      <sheetName val="Data Tables"/>
      <sheetName val="Arrays"/>
      <sheetName val="Scenario Manager"/>
      <sheetName val="Present Value"/>
      <sheetName val="NPV"/>
      <sheetName val="IRR"/>
      <sheetName val="Date Functions"/>
      <sheetName val="Nested IFs"/>
      <sheetName val="IF with AND, OR"/>
      <sheetName val="10) Conditional SumProduct"/>
      <sheetName val="Project II"/>
      <sheetName val="Project II (Completed)"/>
      <sheetName val="MATCH Function"/>
      <sheetName val="INDEX-MATCH"/>
      <sheetName val="18) Macros"/>
      <sheetName val="18) Record Macros"/>
      <sheetName val="18) Apply Macro"/>
      <sheetName val="19) Relative Macros"/>
      <sheetName val="INDEX-Double MATCH"/>
      <sheetName val="Data table 2"/>
      <sheetName val="Data table 2 _ans"/>
      <sheetName val="Project III"/>
      <sheetName val="Project III (ans)"/>
      <sheetName val="Sheet1"/>
      <sheetName val="Save &amp; Email"/>
    </sheetNames>
    <sheetDataSet>
      <sheetData sheetId="0"/>
      <sheetData sheetId="1"/>
      <sheetData sheetId="2"/>
      <sheetData sheetId="3"/>
      <sheetData sheetId="4"/>
      <sheetData sheetId="5">
        <row r="87">
          <cell r="B87">
            <v>13290</v>
          </cell>
          <cell r="C87">
            <v>41643</v>
          </cell>
          <cell r="D87">
            <v>87</v>
          </cell>
          <cell r="E87" t="str">
            <v>Pate Chinois</v>
          </cell>
        </row>
        <row r="88">
          <cell r="B88">
            <v>13291</v>
          </cell>
          <cell r="C88">
            <v>41643.229074074072</v>
          </cell>
          <cell r="D88">
            <v>16</v>
          </cell>
          <cell r="E88" t="str">
            <v>Boston crab meat</v>
          </cell>
        </row>
        <row r="89">
          <cell r="B89">
            <v>13292</v>
          </cell>
          <cell r="C89">
            <v>41644.351168981484</v>
          </cell>
          <cell r="D89">
            <v>77</v>
          </cell>
          <cell r="E89" t="str">
            <v>Gorganzola Telino</v>
          </cell>
        </row>
        <row r="90">
          <cell r="B90">
            <v>13293</v>
          </cell>
          <cell r="C90">
            <v>41645.195324074077</v>
          </cell>
          <cell r="D90">
            <v>16</v>
          </cell>
          <cell r="E90" t="str">
            <v>Boston crab meat</v>
          </cell>
        </row>
        <row r="91">
          <cell r="B91">
            <v>13294</v>
          </cell>
          <cell r="C91">
            <v>41646.305960648147</v>
          </cell>
          <cell r="D91">
            <v>71</v>
          </cell>
          <cell r="E91" t="str">
            <v>Spegasild</v>
          </cell>
        </row>
        <row r="92">
          <cell r="B92">
            <v>13295</v>
          </cell>
          <cell r="C92">
            <v>41646.360405092593</v>
          </cell>
          <cell r="D92">
            <v>16</v>
          </cell>
          <cell r="E92" t="str">
            <v>Boston crab meat</v>
          </cell>
        </row>
        <row r="93">
          <cell r="B93">
            <v>13296</v>
          </cell>
          <cell r="C93">
            <v>41646.614479166667</v>
          </cell>
          <cell r="D93">
            <v>16</v>
          </cell>
          <cell r="E93" t="str">
            <v>Boston crab meat</v>
          </cell>
        </row>
        <row r="94">
          <cell r="B94">
            <v>13297</v>
          </cell>
          <cell r="C94">
            <v>41647.642372685186</v>
          </cell>
          <cell r="D94">
            <v>77</v>
          </cell>
          <cell r="E94" t="str">
            <v>Gorganzola Telino</v>
          </cell>
        </row>
        <row r="95">
          <cell r="B95">
            <v>13298</v>
          </cell>
          <cell r="C95">
            <v>41648.457418981481</v>
          </cell>
          <cell r="D95">
            <v>16</v>
          </cell>
          <cell r="E95" t="str">
            <v>Boston crab meat</v>
          </cell>
        </row>
        <row r="96">
          <cell r="B96">
            <v>13299</v>
          </cell>
          <cell r="C96">
            <v>41649.019085648149</v>
          </cell>
          <cell r="D96">
            <v>16</v>
          </cell>
          <cell r="E96" t="str">
            <v>Boston crab meat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ynamic Named Ranges (2)"/>
      <sheetName val="Dynamic Named Ranges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5"/>
      <sheetName val="Sheet3"/>
      <sheetName val="Data validation"/>
      <sheetName val="Income Statement"/>
      <sheetName val="Sheet1"/>
      <sheetName val="Sheet4"/>
      <sheetName val="Sheet2A"/>
      <sheetName val="Sheet2B"/>
      <sheetName val="Sheet2"/>
      <sheetName val="Sheet7"/>
      <sheetName val="Sheet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5">
          <cell r="C5">
            <v>800</v>
          </cell>
        </row>
        <row r="6">
          <cell r="C6">
            <v>300</v>
          </cell>
        </row>
      </sheetData>
      <sheetData sheetId="9"/>
      <sheetData sheetId="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Welcome"/>
      <sheetName val="ShortCutKeys"/>
      <sheetName val="ShortCutKeys (2)"/>
      <sheetName val="Navigation"/>
      <sheetName val="Formula writing"/>
      <sheetName val="Formula Auditing"/>
      <sheetName val="Adv Cell Lock"/>
      <sheetName val="Go To Special"/>
      <sheetName val="Table1"/>
      <sheetName val="Hot Keys"/>
      <sheetName val="Windows"/>
      <sheetName val="Project I"/>
      <sheetName val="Project I (answer)"/>
      <sheetName val="Goal Seek"/>
      <sheetName val="Data Tables"/>
      <sheetName val="Arrays"/>
      <sheetName val="Scenario Manager"/>
      <sheetName val="Present Value"/>
      <sheetName val="NPV"/>
      <sheetName val="IRR"/>
      <sheetName val="Date Functions"/>
      <sheetName val="Nested IFs"/>
      <sheetName val="IF with AND, OR"/>
      <sheetName val="10) Conditional SumProduct"/>
      <sheetName val="Project II"/>
      <sheetName val="Project II (Completed)"/>
      <sheetName val="MATCH Function"/>
      <sheetName val="INDEX-MATCH"/>
      <sheetName val="18) Macros"/>
      <sheetName val="18) Record Macros"/>
      <sheetName val="18) Apply Macro"/>
      <sheetName val="19) Relative Macros"/>
      <sheetName val="INDEX-Double MATCH"/>
      <sheetName val="Project III"/>
      <sheetName val="Project III (ans)"/>
      <sheetName val="Sheet1"/>
      <sheetName val="Save &amp; Emai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82">
          <cell r="B82">
            <v>13290</v>
          </cell>
        </row>
        <row r="119">
          <cell r="C119">
            <v>5</v>
          </cell>
          <cell r="D119">
            <v>10</v>
          </cell>
          <cell r="E119">
            <v>20</v>
          </cell>
          <cell r="F119">
            <v>100</v>
          </cell>
        </row>
        <row r="120">
          <cell r="B120">
            <v>2</v>
          </cell>
        </row>
        <row r="121">
          <cell r="B121">
            <v>3</v>
          </cell>
        </row>
        <row r="122">
          <cell r="B122">
            <v>4</v>
          </cell>
        </row>
        <row r="123">
          <cell r="B123">
            <v>4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TS"/>
      <sheetName val="WELCOME"/>
      <sheetName val="Mac Keyboard Complications"/>
      <sheetName val="Setup - Mac Excel"/>
      <sheetName val="Setup - Windows Excel"/>
      <sheetName val="Anchoring"/>
      <sheetName val="Navigating"/>
      <sheetName val="Excel Foundations"/>
      <sheetName val="Essentials"/>
      <sheetName val="Fundamental Number Formats"/>
      <sheetName val="Customizing Toolbars"/>
      <sheetName val="Anchoring Exercise"/>
      <sheetName val="IS"/>
      <sheetName val="WorkingCap"/>
      <sheetName val="Vertical Data Table"/>
      <sheetName val="Horizontal Data Table"/>
      <sheetName val="Two-Way Data Table"/>
      <sheetName val="Data Table Essentials"/>
      <sheetName val="System Setup - Windows Excel"/>
      <sheetName val="Flatlining with Steps"/>
      <sheetName val="Other_Data"/>
    </sheetNames>
    <sheetDataSet>
      <sheetData sheetId="0" refreshError="1"/>
      <sheetData sheetId="1">
        <row r="5">
          <cell r="T5">
            <v>10</v>
          </cell>
        </row>
        <row r="37">
          <cell r="W37">
            <v>3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les Seasonality by Month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"/>
      <sheetName val="Review"/>
      <sheetName val="Review 2"/>
      <sheetName val="Sales Tracking"/>
      <sheetName val="To Paste Sales Rep"/>
      <sheetName val="Account Info"/>
      <sheetName val="Vlookup for True"/>
      <sheetName val="Goal Seek-Protection-If"/>
      <sheetName val="Comparison Operators"/>
      <sheetName val="Datadump"/>
      <sheetName val="Imported Data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1">
          <cell r="A1" t="str">
            <v>Vlookup</v>
          </cell>
          <cell r="C1" t="str">
            <v>Marketing - Office Exp.</v>
          </cell>
        </row>
        <row r="5">
          <cell r="A5" t="str">
            <v>Account Name</v>
          </cell>
          <cell r="B5" t="str">
            <v>P&amp;L</v>
          </cell>
          <cell r="C5" t="str">
            <v>Consolidate Account Name &amp; P&amp;L</v>
          </cell>
          <cell r="D5">
            <v>37987</v>
          </cell>
          <cell r="E5">
            <v>38018</v>
          </cell>
          <cell r="F5">
            <v>38047</v>
          </cell>
          <cell r="G5">
            <v>38078</v>
          </cell>
          <cell r="H5">
            <v>38108</v>
          </cell>
          <cell r="I5">
            <v>38139</v>
          </cell>
          <cell r="J5">
            <v>38169</v>
          </cell>
          <cell r="K5">
            <v>38200</v>
          </cell>
          <cell r="L5">
            <v>38231</v>
          </cell>
          <cell r="M5">
            <v>38261</v>
          </cell>
          <cell r="N5">
            <v>38292</v>
          </cell>
          <cell r="O5">
            <v>38322</v>
          </cell>
          <cell r="P5">
            <v>38353</v>
          </cell>
          <cell r="Q5">
            <v>38384</v>
          </cell>
          <cell r="R5">
            <v>38412</v>
          </cell>
          <cell r="S5">
            <v>38443</v>
          </cell>
          <cell r="T5">
            <v>38473</v>
          </cell>
          <cell r="U5">
            <v>38504</v>
          </cell>
          <cell r="V5">
            <v>38534</v>
          </cell>
          <cell r="W5">
            <v>38565</v>
          </cell>
        </row>
        <row r="6">
          <cell r="A6" t="str">
            <v>Sales</v>
          </cell>
          <cell r="B6" t="str">
            <v>Revenue</v>
          </cell>
          <cell r="C6" t="str">
            <v>Revenue - Sales</v>
          </cell>
          <cell r="D6">
            <v>42617</v>
          </cell>
          <cell r="E6">
            <v>8221.5238095238092</v>
          </cell>
          <cell r="F6">
            <v>177460.14285714299</v>
          </cell>
          <cell r="G6">
            <v>-1003004</v>
          </cell>
          <cell r="H6">
            <v>-1004005</v>
          </cell>
          <cell r="I6">
            <v>-1005006</v>
          </cell>
          <cell r="J6">
            <v>-1006007</v>
          </cell>
          <cell r="K6">
            <v>-1007008</v>
          </cell>
          <cell r="L6">
            <v>-1008009</v>
          </cell>
          <cell r="M6">
            <v>-1009010</v>
          </cell>
          <cell r="N6">
            <v>-1010011</v>
          </cell>
          <cell r="O6">
            <v>-1011012</v>
          </cell>
          <cell r="P6">
            <v>-1012013</v>
          </cell>
          <cell r="Q6">
            <v>-1013014</v>
          </cell>
          <cell r="R6">
            <v>-1014015</v>
          </cell>
          <cell r="S6">
            <v>-1015016</v>
          </cell>
          <cell r="T6">
            <v>-1016017</v>
          </cell>
          <cell r="U6">
            <v>-1017018</v>
          </cell>
          <cell r="V6">
            <v>-1018019</v>
          </cell>
          <cell r="W6">
            <v>-1019020</v>
          </cell>
        </row>
        <row r="7">
          <cell r="A7" t="str">
            <v>Interest</v>
          </cell>
          <cell r="B7" t="str">
            <v>Revenue</v>
          </cell>
          <cell r="C7" t="str">
            <v>Revenue - Interest</v>
          </cell>
          <cell r="D7">
            <v>16103</v>
          </cell>
          <cell r="E7">
            <v>7634.3809523809496</v>
          </cell>
          <cell r="F7">
            <v>168685.14285714299</v>
          </cell>
          <cell r="G7">
            <v>-10404</v>
          </cell>
          <cell r="H7">
            <v>-10505</v>
          </cell>
          <cell r="I7">
            <v>-10606</v>
          </cell>
          <cell r="J7">
            <v>-10707</v>
          </cell>
          <cell r="K7">
            <v>-10808</v>
          </cell>
          <cell r="L7">
            <v>-10909</v>
          </cell>
          <cell r="M7">
            <v>-11010</v>
          </cell>
          <cell r="N7">
            <v>-11111</v>
          </cell>
          <cell r="O7">
            <v>-11212</v>
          </cell>
          <cell r="P7">
            <v>-11313</v>
          </cell>
          <cell r="Q7">
            <v>-11414</v>
          </cell>
          <cell r="R7">
            <v>-11515</v>
          </cell>
          <cell r="S7">
            <v>-11616</v>
          </cell>
          <cell r="T7">
            <v>-11717</v>
          </cell>
          <cell r="U7">
            <v>-11818</v>
          </cell>
          <cell r="V7">
            <v>-11919</v>
          </cell>
          <cell r="W7">
            <v>-12020</v>
          </cell>
        </row>
        <row r="8">
          <cell r="A8" t="str">
            <v>Other Income</v>
          </cell>
          <cell r="B8" t="str">
            <v>Revenue</v>
          </cell>
          <cell r="C8" t="str">
            <v>Revenue - Other Income</v>
          </cell>
          <cell r="D8">
            <v>42757</v>
          </cell>
          <cell r="E8">
            <v>7047.23809523809</v>
          </cell>
          <cell r="F8">
            <v>159910.14285714299</v>
          </cell>
          <cell r="G8">
            <v>-1004</v>
          </cell>
          <cell r="H8">
            <v>-1005</v>
          </cell>
          <cell r="I8">
            <v>-1006</v>
          </cell>
          <cell r="J8">
            <v>-1007</v>
          </cell>
          <cell r="K8">
            <v>-1008</v>
          </cell>
          <cell r="L8">
            <v>-1009</v>
          </cell>
          <cell r="M8">
            <v>-1010</v>
          </cell>
          <cell r="N8">
            <v>-1011</v>
          </cell>
          <cell r="O8">
            <v>-1012</v>
          </cell>
          <cell r="P8">
            <v>-1013</v>
          </cell>
          <cell r="Q8">
            <v>-1014</v>
          </cell>
          <cell r="R8">
            <v>-1015</v>
          </cell>
          <cell r="S8">
            <v>-1016</v>
          </cell>
          <cell r="T8">
            <v>-1017</v>
          </cell>
          <cell r="U8">
            <v>-1018</v>
          </cell>
          <cell r="V8">
            <v>-1019</v>
          </cell>
          <cell r="W8">
            <v>-1020</v>
          </cell>
        </row>
        <row r="9">
          <cell r="A9" t="str">
            <v>Car Exp.</v>
          </cell>
          <cell r="B9" t="str">
            <v>G&amp;A</v>
          </cell>
          <cell r="C9" t="str">
            <v>G&amp;A - Car Exp.</v>
          </cell>
          <cell r="D9">
            <v>48819</v>
          </cell>
          <cell r="E9">
            <v>6460.0952380952403</v>
          </cell>
          <cell r="F9">
            <v>151135.14285714299</v>
          </cell>
          <cell r="G9">
            <v>5004</v>
          </cell>
          <cell r="H9">
            <v>5005</v>
          </cell>
          <cell r="I9">
            <v>5006</v>
          </cell>
          <cell r="J9">
            <v>5007</v>
          </cell>
          <cell r="K9">
            <v>5008</v>
          </cell>
          <cell r="L9">
            <v>5009</v>
          </cell>
          <cell r="M9">
            <v>5010</v>
          </cell>
          <cell r="N9">
            <v>5011</v>
          </cell>
          <cell r="O9">
            <v>5012</v>
          </cell>
          <cell r="P9">
            <v>5013</v>
          </cell>
          <cell r="Q9">
            <v>5014</v>
          </cell>
          <cell r="R9">
            <v>5015</v>
          </cell>
          <cell r="S9">
            <v>5016</v>
          </cell>
          <cell r="T9">
            <v>5017</v>
          </cell>
          <cell r="U9">
            <v>5018</v>
          </cell>
          <cell r="V9">
            <v>5019</v>
          </cell>
          <cell r="W9">
            <v>5020</v>
          </cell>
        </row>
        <row r="10">
          <cell r="A10" t="str">
            <v>Office Supplies</v>
          </cell>
          <cell r="B10" t="str">
            <v>G&amp;A</v>
          </cell>
          <cell r="C10" t="str">
            <v>G&amp;A - Office Supplies</v>
          </cell>
          <cell r="D10">
            <v>20395</v>
          </cell>
          <cell r="E10">
            <v>5872.9523809523798</v>
          </cell>
          <cell r="F10">
            <v>142360.14285714299</v>
          </cell>
          <cell r="G10">
            <v>304</v>
          </cell>
          <cell r="H10">
            <v>305</v>
          </cell>
          <cell r="I10">
            <v>306</v>
          </cell>
          <cell r="J10">
            <v>307</v>
          </cell>
          <cell r="K10">
            <v>308</v>
          </cell>
          <cell r="L10">
            <v>309</v>
          </cell>
          <cell r="M10">
            <v>310</v>
          </cell>
          <cell r="N10">
            <v>311</v>
          </cell>
          <cell r="O10">
            <v>312</v>
          </cell>
          <cell r="P10">
            <v>313</v>
          </cell>
          <cell r="Q10">
            <v>314</v>
          </cell>
          <cell r="R10">
            <v>315</v>
          </cell>
          <cell r="S10">
            <v>316</v>
          </cell>
          <cell r="T10">
            <v>317</v>
          </cell>
          <cell r="U10">
            <v>318</v>
          </cell>
          <cell r="V10">
            <v>319</v>
          </cell>
          <cell r="W10">
            <v>320</v>
          </cell>
        </row>
        <row r="11">
          <cell r="A11" t="str">
            <v>Computers Exp.</v>
          </cell>
          <cell r="B11" t="str">
            <v>G&amp;A</v>
          </cell>
          <cell r="C11" t="str">
            <v>G&amp;A - Computers Exp.</v>
          </cell>
          <cell r="D11">
            <v>25397</v>
          </cell>
          <cell r="E11">
            <v>5285.8095238095202</v>
          </cell>
          <cell r="F11">
            <v>133585.14285714299</v>
          </cell>
          <cell r="G11">
            <v>204</v>
          </cell>
          <cell r="H11">
            <v>205</v>
          </cell>
          <cell r="I11">
            <v>206</v>
          </cell>
          <cell r="J11">
            <v>207</v>
          </cell>
          <cell r="K11">
            <v>208</v>
          </cell>
          <cell r="L11">
            <v>209</v>
          </cell>
          <cell r="M11">
            <v>210</v>
          </cell>
          <cell r="N11">
            <v>211</v>
          </cell>
          <cell r="O11">
            <v>212</v>
          </cell>
          <cell r="P11">
            <v>213</v>
          </cell>
          <cell r="Q11">
            <v>214</v>
          </cell>
          <cell r="R11">
            <v>215</v>
          </cell>
          <cell r="S11">
            <v>216</v>
          </cell>
          <cell r="T11">
            <v>217</v>
          </cell>
          <cell r="U11">
            <v>218</v>
          </cell>
          <cell r="V11">
            <v>219</v>
          </cell>
          <cell r="W11">
            <v>220</v>
          </cell>
        </row>
        <row r="12">
          <cell r="A12" t="str">
            <v>Insurance</v>
          </cell>
          <cell r="B12" t="str">
            <v>G&amp;A</v>
          </cell>
          <cell r="C12" t="str">
            <v>G&amp;A - Insurance</v>
          </cell>
          <cell r="D12">
            <v>8991</v>
          </cell>
          <cell r="E12">
            <v>4698.6666666666697</v>
          </cell>
          <cell r="F12">
            <v>124810.142857143</v>
          </cell>
          <cell r="G12">
            <v>1004</v>
          </cell>
          <cell r="H12">
            <v>1005</v>
          </cell>
          <cell r="I12">
            <v>1006</v>
          </cell>
          <cell r="J12">
            <v>1007</v>
          </cell>
          <cell r="K12">
            <v>1008</v>
          </cell>
          <cell r="L12">
            <v>1009</v>
          </cell>
          <cell r="M12">
            <v>1010</v>
          </cell>
          <cell r="N12">
            <v>1011</v>
          </cell>
          <cell r="O12">
            <v>1012</v>
          </cell>
          <cell r="P12">
            <v>1013</v>
          </cell>
          <cell r="Q12">
            <v>1014</v>
          </cell>
          <cell r="R12">
            <v>1015</v>
          </cell>
          <cell r="S12">
            <v>1016</v>
          </cell>
          <cell r="T12">
            <v>1017</v>
          </cell>
          <cell r="U12">
            <v>1018</v>
          </cell>
          <cell r="V12">
            <v>1019</v>
          </cell>
          <cell r="W12">
            <v>1020</v>
          </cell>
        </row>
        <row r="13">
          <cell r="A13" t="str">
            <v>Audit</v>
          </cell>
          <cell r="B13" t="str">
            <v>G&amp;A</v>
          </cell>
          <cell r="C13" t="str">
            <v>G&amp;A - Audit</v>
          </cell>
          <cell r="D13">
            <v>145151</v>
          </cell>
          <cell r="E13">
            <v>1102</v>
          </cell>
          <cell r="F13">
            <v>116035.142857143</v>
          </cell>
          <cell r="G13">
            <v>1104</v>
          </cell>
          <cell r="H13">
            <v>1105</v>
          </cell>
          <cell r="I13">
            <v>1106</v>
          </cell>
          <cell r="J13">
            <v>1107</v>
          </cell>
          <cell r="K13">
            <v>1108</v>
          </cell>
          <cell r="L13">
            <v>1109</v>
          </cell>
          <cell r="M13">
            <v>1110</v>
          </cell>
          <cell r="N13">
            <v>1111</v>
          </cell>
          <cell r="O13">
            <v>1112</v>
          </cell>
          <cell r="P13">
            <v>1113</v>
          </cell>
          <cell r="Q13">
            <v>1114</v>
          </cell>
          <cell r="R13">
            <v>1115</v>
          </cell>
          <cell r="S13">
            <v>1116</v>
          </cell>
          <cell r="T13">
            <v>1117</v>
          </cell>
          <cell r="U13">
            <v>1118</v>
          </cell>
          <cell r="V13">
            <v>1119</v>
          </cell>
          <cell r="W13">
            <v>1120</v>
          </cell>
        </row>
        <row r="14">
          <cell r="A14" t="str">
            <v>Rent</v>
          </cell>
          <cell r="B14" t="str">
            <v>G&amp;A</v>
          </cell>
          <cell r="C14" t="str">
            <v>G&amp;A - Rent</v>
          </cell>
          <cell r="D14">
            <v>48819</v>
          </cell>
          <cell r="E14">
            <v>5002</v>
          </cell>
          <cell r="F14">
            <v>107260.142857143</v>
          </cell>
          <cell r="G14">
            <v>5004</v>
          </cell>
          <cell r="H14">
            <v>5005</v>
          </cell>
          <cell r="I14">
            <v>5006</v>
          </cell>
          <cell r="J14">
            <v>5007</v>
          </cell>
          <cell r="K14">
            <v>5008</v>
          </cell>
          <cell r="L14">
            <v>5009</v>
          </cell>
          <cell r="M14">
            <v>5010</v>
          </cell>
          <cell r="N14">
            <v>5011</v>
          </cell>
          <cell r="O14">
            <v>5012</v>
          </cell>
          <cell r="P14">
            <v>5013</v>
          </cell>
          <cell r="Q14">
            <v>5014</v>
          </cell>
          <cell r="R14">
            <v>5015</v>
          </cell>
          <cell r="S14">
            <v>5016</v>
          </cell>
          <cell r="T14">
            <v>5017</v>
          </cell>
          <cell r="U14">
            <v>5018</v>
          </cell>
          <cell r="V14">
            <v>5019</v>
          </cell>
          <cell r="W14">
            <v>5020</v>
          </cell>
        </row>
        <row r="15">
          <cell r="A15" t="str">
            <v>Head Hunting</v>
          </cell>
          <cell r="B15" t="str">
            <v>G&amp;A</v>
          </cell>
          <cell r="C15" t="str">
            <v>G&amp;A - Head Hunting</v>
          </cell>
          <cell r="D15">
            <v>18291</v>
          </cell>
          <cell r="E15">
            <v>7502</v>
          </cell>
          <cell r="F15">
            <v>98485.142857142899</v>
          </cell>
          <cell r="G15">
            <v>7504</v>
          </cell>
          <cell r="H15">
            <v>7505</v>
          </cell>
          <cell r="I15">
            <v>7506</v>
          </cell>
          <cell r="J15">
            <v>7507</v>
          </cell>
          <cell r="K15">
            <v>7508</v>
          </cell>
          <cell r="L15">
            <v>7509</v>
          </cell>
          <cell r="M15">
            <v>7510</v>
          </cell>
          <cell r="N15">
            <v>7511</v>
          </cell>
          <cell r="O15">
            <v>7512</v>
          </cell>
          <cell r="P15">
            <v>7513</v>
          </cell>
          <cell r="Q15">
            <v>7514</v>
          </cell>
          <cell r="R15">
            <v>7515</v>
          </cell>
          <cell r="S15">
            <v>7516</v>
          </cell>
          <cell r="T15">
            <v>7517</v>
          </cell>
          <cell r="U15">
            <v>7518</v>
          </cell>
          <cell r="V15">
            <v>7519</v>
          </cell>
          <cell r="W15">
            <v>7520</v>
          </cell>
        </row>
        <row r="16">
          <cell r="A16" t="str">
            <v>Courses</v>
          </cell>
          <cell r="B16" t="str">
            <v>G&amp;A</v>
          </cell>
          <cell r="C16" t="str">
            <v>G&amp;A - Courses</v>
          </cell>
          <cell r="D16">
            <v>28673</v>
          </cell>
          <cell r="E16">
            <v>902</v>
          </cell>
          <cell r="F16">
            <v>89710.142857142899</v>
          </cell>
          <cell r="G16">
            <v>904</v>
          </cell>
          <cell r="H16">
            <v>905</v>
          </cell>
          <cell r="I16">
            <v>906</v>
          </cell>
          <cell r="J16">
            <v>907</v>
          </cell>
          <cell r="K16">
            <v>908</v>
          </cell>
          <cell r="L16">
            <v>909</v>
          </cell>
          <cell r="M16">
            <v>910</v>
          </cell>
          <cell r="N16">
            <v>911</v>
          </cell>
          <cell r="O16">
            <v>912</v>
          </cell>
          <cell r="P16">
            <v>913</v>
          </cell>
          <cell r="Q16">
            <v>914</v>
          </cell>
          <cell r="R16">
            <v>915</v>
          </cell>
          <cell r="S16">
            <v>916</v>
          </cell>
          <cell r="T16">
            <v>917</v>
          </cell>
          <cell r="U16">
            <v>918</v>
          </cell>
          <cell r="V16">
            <v>919</v>
          </cell>
          <cell r="W16">
            <v>920</v>
          </cell>
        </row>
        <row r="17">
          <cell r="A17" t="str">
            <v>Other</v>
          </cell>
          <cell r="B17" t="str">
            <v>G&amp;A</v>
          </cell>
          <cell r="C17" t="str">
            <v>G&amp;A - Other</v>
          </cell>
          <cell r="D17">
            <v>101</v>
          </cell>
          <cell r="E17">
            <v>102</v>
          </cell>
          <cell r="F17">
            <v>80935.142857142899</v>
          </cell>
          <cell r="G17">
            <v>104</v>
          </cell>
          <cell r="H17">
            <v>105</v>
          </cell>
          <cell r="I17">
            <v>106</v>
          </cell>
          <cell r="J17">
            <v>107</v>
          </cell>
          <cell r="K17">
            <v>108</v>
          </cell>
          <cell r="L17">
            <v>109</v>
          </cell>
          <cell r="M17">
            <v>110</v>
          </cell>
          <cell r="N17">
            <v>111</v>
          </cell>
          <cell r="O17">
            <v>112</v>
          </cell>
          <cell r="P17">
            <v>113</v>
          </cell>
          <cell r="Q17">
            <v>114</v>
          </cell>
          <cell r="R17">
            <v>115</v>
          </cell>
          <cell r="S17">
            <v>116</v>
          </cell>
          <cell r="T17">
            <v>117</v>
          </cell>
          <cell r="U17">
            <v>118</v>
          </cell>
          <cell r="V17">
            <v>119</v>
          </cell>
          <cell r="W17">
            <v>120</v>
          </cell>
        </row>
        <row r="18">
          <cell r="A18" t="str">
            <v>Utilities</v>
          </cell>
          <cell r="B18" t="str">
            <v>G&amp;A</v>
          </cell>
          <cell r="C18" t="str">
            <v>G&amp;A - Utilities</v>
          </cell>
          <cell r="D18">
            <v>1251</v>
          </cell>
          <cell r="E18">
            <v>1252</v>
          </cell>
          <cell r="F18">
            <v>72160.142857142899</v>
          </cell>
          <cell r="G18">
            <v>1254</v>
          </cell>
          <cell r="H18">
            <v>1255</v>
          </cell>
          <cell r="I18">
            <v>1256</v>
          </cell>
          <cell r="J18">
            <v>1257</v>
          </cell>
          <cell r="K18">
            <v>1258</v>
          </cell>
          <cell r="L18">
            <v>1259</v>
          </cell>
          <cell r="M18">
            <v>1260</v>
          </cell>
          <cell r="N18">
            <v>1261</v>
          </cell>
          <cell r="O18">
            <v>1262</v>
          </cell>
          <cell r="P18">
            <v>1263</v>
          </cell>
          <cell r="Q18">
            <v>1264</v>
          </cell>
          <cell r="R18">
            <v>1265</v>
          </cell>
          <cell r="S18">
            <v>1266</v>
          </cell>
          <cell r="T18">
            <v>1267</v>
          </cell>
          <cell r="U18">
            <v>1268</v>
          </cell>
          <cell r="V18">
            <v>1269</v>
          </cell>
          <cell r="W18">
            <v>1270</v>
          </cell>
        </row>
        <row r="19">
          <cell r="A19" t="str">
            <v>Maintenance</v>
          </cell>
          <cell r="B19" t="str">
            <v>G&amp;A</v>
          </cell>
          <cell r="C19" t="str">
            <v>G&amp;A - Maintenance</v>
          </cell>
          <cell r="D19">
            <v>1501</v>
          </cell>
          <cell r="E19">
            <v>1502</v>
          </cell>
          <cell r="F19">
            <v>1503</v>
          </cell>
          <cell r="G19">
            <v>1504</v>
          </cell>
          <cell r="H19">
            <v>1505</v>
          </cell>
          <cell r="I19">
            <v>1506</v>
          </cell>
          <cell r="J19">
            <v>1507</v>
          </cell>
          <cell r="K19">
            <v>1508</v>
          </cell>
          <cell r="L19">
            <v>1509</v>
          </cell>
          <cell r="M19">
            <v>1510</v>
          </cell>
          <cell r="N19">
            <v>1511</v>
          </cell>
          <cell r="O19">
            <v>1512</v>
          </cell>
          <cell r="P19">
            <v>1513</v>
          </cell>
          <cell r="Q19">
            <v>1514</v>
          </cell>
          <cell r="R19">
            <v>1515</v>
          </cell>
          <cell r="S19">
            <v>1516</v>
          </cell>
          <cell r="T19">
            <v>1517</v>
          </cell>
          <cell r="U19">
            <v>1518</v>
          </cell>
          <cell r="V19">
            <v>1519</v>
          </cell>
          <cell r="W19">
            <v>1520</v>
          </cell>
        </row>
        <row r="20">
          <cell r="A20" t="str">
            <v>Taxes</v>
          </cell>
          <cell r="B20" t="str">
            <v>G&amp;A</v>
          </cell>
          <cell r="C20" t="str">
            <v>G&amp;A - Taxes</v>
          </cell>
          <cell r="D20">
            <v>951</v>
          </cell>
          <cell r="E20">
            <v>952</v>
          </cell>
          <cell r="F20">
            <v>953</v>
          </cell>
          <cell r="G20">
            <v>954</v>
          </cell>
          <cell r="H20">
            <v>955</v>
          </cell>
          <cell r="I20">
            <v>956</v>
          </cell>
          <cell r="J20">
            <v>957</v>
          </cell>
          <cell r="K20">
            <v>958</v>
          </cell>
          <cell r="L20">
            <v>959</v>
          </cell>
          <cell r="M20">
            <v>960</v>
          </cell>
          <cell r="N20">
            <v>961</v>
          </cell>
          <cell r="O20">
            <v>962</v>
          </cell>
          <cell r="P20">
            <v>963</v>
          </cell>
          <cell r="Q20">
            <v>964</v>
          </cell>
          <cell r="R20">
            <v>965</v>
          </cell>
          <cell r="S20">
            <v>966</v>
          </cell>
          <cell r="T20">
            <v>967</v>
          </cell>
          <cell r="U20">
            <v>968</v>
          </cell>
          <cell r="V20">
            <v>969</v>
          </cell>
          <cell r="W20">
            <v>970</v>
          </cell>
        </row>
        <row r="21">
          <cell r="A21" t="str">
            <v>Salaries</v>
          </cell>
          <cell r="B21" t="str">
            <v>G&amp;A</v>
          </cell>
          <cell r="C21" t="str">
            <v>G&amp;A - Salaries</v>
          </cell>
          <cell r="D21">
            <v>250001</v>
          </cell>
          <cell r="E21">
            <v>250002</v>
          </cell>
          <cell r="F21">
            <v>250003</v>
          </cell>
          <cell r="G21">
            <v>250004</v>
          </cell>
          <cell r="H21">
            <v>250005</v>
          </cell>
          <cell r="I21">
            <v>250006</v>
          </cell>
          <cell r="J21">
            <v>250007</v>
          </cell>
          <cell r="K21">
            <v>250008</v>
          </cell>
          <cell r="L21">
            <v>250009</v>
          </cell>
          <cell r="M21">
            <v>250010</v>
          </cell>
          <cell r="N21">
            <v>250011</v>
          </cell>
          <cell r="O21">
            <v>250012</v>
          </cell>
          <cell r="P21">
            <v>250013</v>
          </cell>
          <cell r="Q21">
            <v>250014</v>
          </cell>
          <cell r="R21">
            <v>250015</v>
          </cell>
          <cell r="S21">
            <v>250016</v>
          </cell>
          <cell r="T21">
            <v>250017</v>
          </cell>
          <cell r="U21">
            <v>250018</v>
          </cell>
          <cell r="V21">
            <v>250019</v>
          </cell>
          <cell r="W21">
            <v>250020</v>
          </cell>
        </row>
        <row r="22">
          <cell r="A22" t="str">
            <v>Legal</v>
          </cell>
          <cell r="B22" t="str">
            <v>G&amp;A</v>
          </cell>
          <cell r="C22" t="str">
            <v>G&amp;A - Legal</v>
          </cell>
          <cell r="D22">
            <v>2501</v>
          </cell>
          <cell r="E22">
            <v>2502</v>
          </cell>
          <cell r="F22">
            <v>2503</v>
          </cell>
          <cell r="G22">
            <v>2504</v>
          </cell>
          <cell r="H22">
            <v>2505</v>
          </cell>
          <cell r="I22">
            <v>2506</v>
          </cell>
          <cell r="J22">
            <v>2507</v>
          </cell>
          <cell r="K22">
            <v>2508</v>
          </cell>
          <cell r="L22">
            <v>2509</v>
          </cell>
          <cell r="M22">
            <v>2510</v>
          </cell>
          <cell r="N22">
            <v>2511</v>
          </cell>
          <cell r="O22">
            <v>2512</v>
          </cell>
          <cell r="P22">
            <v>2513</v>
          </cell>
          <cell r="Q22">
            <v>2514</v>
          </cell>
          <cell r="R22">
            <v>2515</v>
          </cell>
          <cell r="S22">
            <v>2516</v>
          </cell>
          <cell r="T22">
            <v>2517</v>
          </cell>
          <cell r="U22">
            <v>2518</v>
          </cell>
          <cell r="V22">
            <v>2519</v>
          </cell>
          <cell r="W22">
            <v>2520</v>
          </cell>
        </row>
        <row r="23">
          <cell r="A23" t="str">
            <v>Office Exp.</v>
          </cell>
          <cell r="B23" t="str">
            <v>G&amp;A</v>
          </cell>
          <cell r="C23" t="str">
            <v>G&amp;A - Office Exp.</v>
          </cell>
          <cell r="D23">
            <v>1201</v>
          </cell>
          <cell r="E23">
            <v>1202</v>
          </cell>
          <cell r="F23">
            <v>1203</v>
          </cell>
          <cell r="G23">
            <v>1204</v>
          </cell>
          <cell r="H23">
            <v>1205</v>
          </cell>
          <cell r="I23">
            <v>1206</v>
          </cell>
          <cell r="J23">
            <v>1207</v>
          </cell>
          <cell r="K23">
            <v>1208</v>
          </cell>
          <cell r="L23">
            <v>1209</v>
          </cell>
          <cell r="M23">
            <v>1210</v>
          </cell>
          <cell r="N23">
            <v>1211</v>
          </cell>
          <cell r="O23">
            <v>1212</v>
          </cell>
          <cell r="P23">
            <v>1213</v>
          </cell>
          <cell r="Q23">
            <v>1214</v>
          </cell>
          <cell r="R23">
            <v>1215</v>
          </cell>
          <cell r="S23">
            <v>1216</v>
          </cell>
          <cell r="T23">
            <v>1217</v>
          </cell>
          <cell r="U23">
            <v>1218</v>
          </cell>
          <cell r="V23">
            <v>1219</v>
          </cell>
          <cell r="W23">
            <v>1220</v>
          </cell>
        </row>
        <row r="24">
          <cell r="A24" t="str">
            <v>Cleaning</v>
          </cell>
          <cell r="B24" t="str">
            <v>G&amp;A</v>
          </cell>
          <cell r="C24" t="str">
            <v>G&amp;A - Cleaning</v>
          </cell>
          <cell r="D24">
            <v>251</v>
          </cell>
          <cell r="E24">
            <v>252</v>
          </cell>
          <cell r="F24">
            <v>253</v>
          </cell>
          <cell r="G24">
            <v>254</v>
          </cell>
          <cell r="H24">
            <v>255</v>
          </cell>
          <cell r="I24">
            <v>256</v>
          </cell>
          <cell r="J24">
            <v>257</v>
          </cell>
          <cell r="K24">
            <v>258</v>
          </cell>
          <cell r="L24">
            <v>259</v>
          </cell>
          <cell r="M24">
            <v>260</v>
          </cell>
          <cell r="N24">
            <v>261</v>
          </cell>
          <cell r="O24">
            <v>262</v>
          </cell>
          <cell r="P24">
            <v>263</v>
          </cell>
          <cell r="Q24">
            <v>264</v>
          </cell>
          <cell r="R24">
            <v>265</v>
          </cell>
          <cell r="S24">
            <v>266</v>
          </cell>
          <cell r="T24">
            <v>267</v>
          </cell>
          <cell r="U24">
            <v>268</v>
          </cell>
          <cell r="V24">
            <v>269</v>
          </cell>
          <cell r="W24">
            <v>270</v>
          </cell>
        </row>
        <row r="25">
          <cell r="A25" t="str">
            <v>Telephone</v>
          </cell>
          <cell r="B25" t="str">
            <v>G&amp;A</v>
          </cell>
          <cell r="C25" t="str">
            <v>G&amp;A - Telephone</v>
          </cell>
          <cell r="D25">
            <v>3001</v>
          </cell>
          <cell r="E25">
            <v>3002</v>
          </cell>
          <cell r="F25">
            <v>3003</v>
          </cell>
          <cell r="G25">
            <v>3004</v>
          </cell>
          <cell r="H25">
            <v>3005</v>
          </cell>
          <cell r="I25">
            <v>3006</v>
          </cell>
          <cell r="J25">
            <v>3007</v>
          </cell>
          <cell r="K25">
            <v>3008</v>
          </cell>
          <cell r="L25">
            <v>3009</v>
          </cell>
          <cell r="M25">
            <v>3010</v>
          </cell>
          <cell r="N25">
            <v>3011</v>
          </cell>
          <cell r="O25">
            <v>3012</v>
          </cell>
          <cell r="P25">
            <v>3013</v>
          </cell>
          <cell r="Q25">
            <v>3014</v>
          </cell>
          <cell r="R25">
            <v>3015</v>
          </cell>
          <cell r="S25">
            <v>3016</v>
          </cell>
          <cell r="T25">
            <v>3017</v>
          </cell>
          <cell r="U25">
            <v>3018</v>
          </cell>
          <cell r="V25">
            <v>3019</v>
          </cell>
          <cell r="W25">
            <v>3020</v>
          </cell>
        </row>
        <row r="26">
          <cell r="A26" t="str">
            <v>Interest</v>
          </cell>
          <cell r="B26" t="str">
            <v>Interest</v>
          </cell>
          <cell r="C26" t="str">
            <v>Interest - Interest</v>
          </cell>
          <cell r="D26">
            <v>5001</v>
          </cell>
          <cell r="E26">
            <v>5002</v>
          </cell>
          <cell r="F26">
            <v>5003</v>
          </cell>
          <cell r="G26">
            <v>5004</v>
          </cell>
          <cell r="H26">
            <v>5005</v>
          </cell>
          <cell r="I26">
            <v>5006</v>
          </cell>
          <cell r="J26">
            <v>5007</v>
          </cell>
          <cell r="K26">
            <v>5008</v>
          </cell>
          <cell r="L26">
            <v>5009</v>
          </cell>
          <cell r="M26">
            <v>5010</v>
          </cell>
          <cell r="N26">
            <v>5011</v>
          </cell>
          <cell r="O26">
            <v>5012</v>
          </cell>
          <cell r="P26">
            <v>5013</v>
          </cell>
          <cell r="Q26">
            <v>5014</v>
          </cell>
          <cell r="R26">
            <v>5015</v>
          </cell>
          <cell r="S26">
            <v>5016</v>
          </cell>
          <cell r="T26">
            <v>5017</v>
          </cell>
          <cell r="U26">
            <v>5018</v>
          </cell>
          <cell r="V26">
            <v>5019</v>
          </cell>
          <cell r="W26">
            <v>5020</v>
          </cell>
        </row>
        <row r="27">
          <cell r="A27" t="str">
            <v>Bank Charges</v>
          </cell>
          <cell r="B27" t="str">
            <v>Interest</v>
          </cell>
          <cell r="C27" t="str">
            <v>Interest - Bank Charges</v>
          </cell>
          <cell r="D27">
            <v>301</v>
          </cell>
          <cell r="E27">
            <v>302</v>
          </cell>
          <cell r="F27">
            <v>303</v>
          </cell>
          <cell r="G27">
            <v>304</v>
          </cell>
          <cell r="H27">
            <v>305</v>
          </cell>
          <cell r="I27">
            <v>306</v>
          </cell>
          <cell r="J27">
            <v>307</v>
          </cell>
          <cell r="K27">
            <v>308</v>
          </cell>
          <cell r="L27">
            <v>309</v>
          </cell>
          <cell r="M27">
            <v>310</v>
          </cell>
          <cell r="N27">
            <v>311</v>
          </cell>
          <cell r="O27">
            <v>312</v>
          </cell>
          <cell r="P27">
            <v>313</v>
          </cell>
          <cell r="Q27">
            <v>314</v>
          </cell>
          <cell r="R27">
            <v>315</v>
          </cell>
          <cell r="S27">
            <v>316</v>
          </cell>
          <cell r="T27">
            <v>317</v>
          </cell>
          <cell r="U27">
            <v>318</v>
          </cell>
          <cell r="V27">
            <v>319</v>
          </cell>
          <cell r="W27">
            <v>320</v>
          </cell>
        </row>
        <row r="28">
          <cell r="A28" t="str">
            <v>Car Exp.</v>
          </cell>
          <cell r="B28" t="str">
            <v>Marketing</v>
          </cell>
          <cell r="C28" t="str">
            <v>Marketing - Car Exp.</v>
          </cell>
          <cell r="D28">
            <v>201</v>
          </cell>
          <cell r="E28">
            <v>202</v>
          </cell>
          <cell r="F28">
            <v>203</v>
          </cell>
          <cell r="G28">
            <v>204</v>
          </cell>
          <cell r="H28">
            <v>205</v>
          </cell>
          <cell r="I28">
            <v>206</v>
          </cell>
          <cell r="J28">
            <v>207</v>
          </cell>
          <cell r="K28">
            <v>208</v>
          </cell>
          <cell r="L28">
            <v>209</v>
          </cell>
          <cell r="M28">
            <v>210</v>
          </cell>
          <cell r="N28">
            <v>211</v>
          </cell>
          <cell r="O28">
            <v>212</v>
          </cell>
          <cell r="P28">
            <v>213</v>
          </cell>
          <cell r="Q28">
            <v>214</v>
          </cell>
          <cell r="R28">
            <v>215</v>
          </cell>
          <cell r="S28">
            <v>216</v>
          </cell>
          <cell r="T28">
            <v>217</v>
          </cell>
          <cell r="U28">
            <v>218</v>
          </cell>
          <cell r="V28">
            <v>219</v>
          </cell>
          <cell r="W28">
            <v>220</v>
          </cell>
        </row>
        <row r="29">
          <cell r="A29" t="str">
            <v>Entertainment</v>
          </cell>
          <cell r="B29" t="str">
            <v>Marketing</v>
          </cell>
          <cell r="C29" t="str">
            <v>Marketing - Entertainment</v>
          </cell>
          <cell r="D29">
            <v>1001</v>
          </cell>
          <cell r="E29">
            <v>1002</v>
          </cell>
          <cell r="F29">
            <v>1003</v>
          </cell>
          <cell r="G29">
            <v>1004</v>
          </cell>
          <cell r="H29">
            <v>1005</v>
          </cell>
          <cell r="I29">
            <v>1006</v>
          </cell>
          <cell r="J29">
            <v>1007</v>
          </cell>
          <cell r="K29">
            <v>1008</v>
          </cell>
          <cell r="L29">
            <v>1009</v>
          </cell>
          <cell r="M29">
            <v>1010</v>
          </cell>
          <cell r="N29">
            <v>1011</v>
          </cell>
          <cell r="O29">
            <v>1012</v>
          </cell>
          <cell r="P29">
            <v>1013</v>
          </cell>
          <cell r="Q29">
            <v>1014</v>
          </cell>
          <cell r="R29">
            <v>1015</v>
          </cell>
          <cell r="S29">
            <v>1016</v>
          </cell>
          <cell r="T29">
            <v>1017</v>
          </cell>
          <cell r="U29">
            <v>1018</v>
          </cell>
          <cell r="V29">
            <v>1019</v>
          </cell>
          <cell r="W29">
            <v>1020</v>
          </cell>
        </row>
        <row r="30">
          <cell r="A30" t="str">
            <v>Exhibitions / Conferences</v>
          </cell>
          <cell r="B30" t="str">
            <v>Marketing</v>
          </cell>
          <cell r="C30" t="str">
            <v>Marketing - Exhibitions / Conferences</v>
          </cell>
          <cell r="D30">
            <v>1101</v>
          </cell>
          <cell r="E30">
            <v>1102</v>
          </cell>
          <cell r="F30">
            <v>1103</v>
          </cell>
          <cell r="G30">
            <v>1104</v>
          </cell>
          <cell r="H30">
            <v>1105</v>
          </cell>
          <cell r="I30">
            <v>1106</v>
          </cell>
          <cell r="J30">
            <v>1107</v>
          </cell>
          <cell r="K30">
            <v>1108</v>
          </cell>
          <cell r="L30">
            <v>1109</v>
          </cell>
          <cell r="M30">
            <v>1110</v>
          </cell>
          <cell r="N30">
            <v>1111</v>
          </cell>
          <cell r="O30">
            <v>1112</v>
          </cell>
          <cell r="P30">
            <v>1113</v>
          </cell>
          <cell r="Q30">
            <v>1114</v>
          </cell>
          <cell r="R30">
            <v>1115</v>
          </cell>
          <cell r="S30">
            <v>1116</v>
          </cell>
          <cell r="T30">
            <v>1117</v>
          </cell>
          <cell r="U30">
            <v>1118</v>
          </cell>
          <cell r="V30">
            <v>1119</v>
          </cell>
          <cell r="W30">
            <v>1120</v>
          </cell>
        </row>
        <row r="31">
          <cell r="A31" t="str">
            <v>Office Exp.</v>
          </cell>
          <cell r="B31" t="str">
            <v>Marketing</v>
          </cell>
          <cell r="C31" t="str">
            <v>Marketing - Office Exp.</v>
          </cell>
          <cell r="D31">
            <v>5001</v>
          </cell>
          <cell r="E31">
            <v>5002</v>
          </cell>
          <cell r="F31">
            <v>5003</v>
          </cell>
          <cell r="G31">
            <v>5004</v>
          </cell>
          <cell r="H31">
            <v>5005</v>
          </cell>
          <cell r="I31">
            <v>5006</v>
          </cell>
          <cell r="J31">
            <v>5007</v>
          </cell>
          <cell r="K31">
            <v>5008</v>
          </cell>
          <cell r="L31">
            <v>5009</v>
          </cell>
          <cell r="M31">
            <v>5010</v>
          </cell>
          <cell r="N31">
            <v>5011</v>
          </cell>
          <cell r="O31">
            <v>5012</v>
          </cell>
          <cell r="P31">
            <v>5013</v>
          </cell>
          <cell r="Q31">
            <v>5014</v>
          </cell>
          <cell r="R31">
            <v>5015</v>
          </cell>
          <cell r="S31">
            <v>5016</v>
          </cell>
          <cell r="T31">
            <v>5017</v>
          </cell>
          <cell r="U31">
            <v>5018</v>
          </cell>
          <cell r="V31">
            <v>5019</v>
          </cell>
          <cell r="W31">
            <v>5020</v>
          </cell>
        </row>
        <row r="32">
          <cell r="A32" t="str">
            <v>Salaries</v>
          </cell>
          <cell r="B32" t="str">
            <v>Marketing</v>
          </cell>
          <cell r="C32" t="str">
            <v>Marketing - Salaries</v>
          </cell>
          <cell r="D32">
            <v>150001</v>
          </cell>
          <cell r="E32">
            <v>150002</v>
          </cell>
          <cell r="F32">
            <v>150003</v>
          </cell>
          <cell r="G32">
            <v>150004</v>
          </cell>
          <cell r="H32">
            <v>150005</v>
          </cell>
          <cell r="I32">
            <v>150006</v>
          </cell>
          <cell r="J32">
            <v>150007</v>
          </cell>
          <cell r="K32">
            <v>150008</v>
          </cell>
          <cell r="L32">
            <v>150009</v>
          </cell>
          <cell r="M32">
            <v>150010</v>
          </cell>
          <cell r="N32">
            <v>150011</v>
          </cell>
          <cell r="O32">
            <v>150012</v>
          </cell>
          <cell r="P32">
            <v>150013</v>
          </cell>
          <cell r="Q32">
            <v>150014</v>
          </cell>
          <cell r="R32">
            <v>150015</v>
          </cell>
          <cell r="S32">
            <v>150016</v>
          </cell>
          <cell r="T32">
            <v>150017</v>
          </cell>
          <cell r="U32">
            <v>150018</v>
          </cell>
          <cell r="V32">
            <v>150019</v>
          </cell>
          <cell r="W32">
            <v>150020</v>
          </cell>
        </row>
        <row r="33">
          <cell r="A33" t="str">
            <v>Promotion</v>
          </cell>
          <cell r="B33" t="str">
            <v>Marketing</v>
          </cell>
          <cell r="C33" t="str">
            <v>Marketing - Promotion</v>
          </cell>
          <cell r="D33">
            <v>901</v>
          </cell>
          <cell r="E33">
            <v>902</v>
          </cell>
          <cell r="F33">
            <v>903</v>
          </cell>
          <cell r="G33">
            <v>904</v>
          </cell>
          <cell r="H33">
            <v>905</v>
          </cell>
          <cell r="I33">
            <v>906</v>
          </cell>
          <cell r="J33">
            <v>907</v>
          </cell>
          <cell r="K33">
            <v>908</v>
          </cell>
          <cell r="L33">
            <v>909</v>
          </cell>
          <cell r="M33">
            <v>910</v>
          </cell>
          <cell r="N33">
            <v>911</v>
          </cell>
          <cell r="O33">
            <v>912</v>
          </cell>
          <cell r="P33">
            <v>913</v>
          </cell>
          <cell r="Q33">
            <v>914</v>
          </cell>
          <cell r="R33">
            <v>915</v>
          </cell>
          <cell r="S33">
            <v>916</v>
          </cell>
          <cell r="T33">
            <v>917</v>
          </cell>
          <cell r="U33">
            <v>918</v>
          </cell>
          <cell r="V33">
            <v>919</v>
          </cell>
          <cell r="W33">
            <v>920</v>
          </cell>
        </row>
        <row r="34">
          <cell r="A34" t="str">
            <v>Travel</v>
          </cell>
          <cell r="B34" t="str">
            <v>Marketing</v>
          </cell>
          <cell r="C34" t="str">
            <v>Marketing - Travel</v>
          </cell>
          <cell r="D34">
            <v>101</v>
          </cell>
          <cell r="E34">
            <v>102</v>
          </cell>
          <cell r="F34">
            <v>103</v>
          </cell>
          <cell r="G34">
            <v>104</v>
          </cell>
          <cell r="H34">
            <v>105</v>
          </cell>
          <cell r="I34">
            <v>106</v>
          </cell>
          <cell r="J34">
            <v>107</v>
          </cell>
          <cell r="K34">
            <v>108</v>
          </cell>
          <cell r="L34">
            <v>109</v>
          </cell>
          <cell r="M34">
            <v>110</v>
          </cell>
          <cell r="N34">
            <v>111</v>
          </cell>
          <cell r="O34">
            <v>112</v>
          </cell>
          <cell r="P34">
            <v>113</v>
          </cell>
          <cell r="Q34">
            <v>114</v>
          </cell>
          <cell r="R34">
            <v>115</v>
          </cell>
          <cell r="S34">
            <v>116</v>
          </cell>
          <cell r="T34">
            <v>117</v>
          </cell>
          <cell r="U34">
            <v>118</v>
          </cell>
          <cell r="V34">
            <v>119</v>
          </cell>
          <cell r="W34">
            <v>120</v>
          </cell>
        </row>
        <row r="35">
          <cell r="A35" t="str">
            <v>Creative</v>
          </cell>
          <cell r="B35" t="str">
            <v>Marketing</v>
          </cell>
          <cell r="C35" t="str">
            <v>Marketing - Creative</v>
          </cell>
          <cell r="D35">
            <v>1251</v>
          </cell>
          <cell r="E35">
            <v>1252</v>
          </cell>
          <cell r="F35">
            <v>1253</v>
          </cell>
          <cell r="G35">
            <v>1254</v>
          </cell>
          <cell r="H35">
            <v>1255</v>
          </cell>
          <cell r="I35">
            <v>1256</v>
          </cell>
          <cell r="J35">
            <v>1257</v>
          </cell>
          <cell r="K35">
            <v>1258</v>
          </cell>
          <cell r="L35">
            <v>1259</v>
          </cell>
          <cell r="M35">
            <v>1260</v>
          </cell>
          <cell r="N35">
            <v>1261</v>
          </cell>
          <cell r="O35">
            <v>1262</v>
          </cell>
          <cell r="P35">
            <v>1263</v>
          </cell>
          <cell r="Q35">
            <v>1264</v>
          </cell>
          <cell r="R35">
            <v>1265</v>
          </cell>
          <cell r="S35">
            <v>1266</v>
          </cell>
          <cell r="T35">
            <v>1267</v>
          </cell>
          <cell r="U35">
            <v>1268</v>
          </cell>
          <cell r="V35">
            <v>1269</v>
          </cell>
          <cell r="W35">
            <v>1270</v>
          </cell>
        </row>
        <row r="36">
          <cell r="A36" t="str">
            <v>Advertising</v>
          </cell>
          <cell r="B36" t="str">
            <v>Marketing</v>
          </cell>
          <cell r="C36" t="str">
            <v>Marketing - Advertising</v>
          </cell>
          <cell r="D36">
            <v>1501</v>
          </cell>
          <cell r="E36">
            <v>1502</v>
          </cell>
          <cell r="F36">
            <v>1503</v>
          </cell>
          <cell r="G36">
            <v>1504</v>
          </cell>
          <cell r="H36">
            <v>1505</v>
          </cell>
          <cell r="I36">
            <v>1506</v>
          </cell>
          <cell r="J36">
            <v>1507</v>
          </cell>
          <cell r="K36">
            <v>1508</v>
          </cell>
          <cell r="L36">
            <v>1509</v>
          </cell>
          <cell r="M36">
            <v>1510</v>
          </cell>
          <cell r="N36">
            <v>1511</v>
          </cell>
          <cell r="O36">
            <v>1512</v>
          </cell>
          <cell r="P36">
            <v>1513</v>
          </cell>
          <cell r="Q36">
            <v>1514</v>
          </cell>
          <cell r="R36">
            <v>1515</v>
          </cell>
          <cell r="S36">
            <v>1516</v>
          </cell>
          <cell r="T36">
            <v>1517</v>
          </cell>
          <cell r="U36">
            <v>1518</v>
          </cell>
          <cell r="V36">
            <v>1519</v>
          </cell>
          <cell r="W36">
            <v>1520</v>
          </cell>
        </row>
        <row r="37">
          <cell r="A37" t="str">
            <v>Public Relations</v>
          </cell>
          <cell r="B37" t="str">
            <v>Marketing</v>
          </cell>
          <cell r="C37" t="str">
            <v>Marketing - Public Relations</v>
          </cell>
          <cell r="D37">
            <v>951</v>
          </cell>
          <cell r="E37">
            <v>952</v>
          </cell>
          <cell r="F37">
            <v>953</v>
          </cell>
          <cell r="G37">
            <v>954</v>
          </cell>
          <cell r="H37">
            <v>955</v>
          </cell>
          <cell r="I37">
            <v>956</v>
          </cell>
          <cell r="J37">
            <v>957</v>
          </cell>
          <cell r="K37">
            <v>958</v>
          </cell>
          <cell r="L37">
            <v>959</v>
          </cell>
          <cell r="M37">
            <v>960</v>
          </cell>
          <cell r="N37">
            <v>961</v>
          </cell>
          <cell r="O37">
            <v>962</v>
          </cell>
          <cell r="P37">
            <v>963</v>
          </cell>
          <cell r="Q37">
            <v>964</v>
          </cell>
          <cell r="R37">
            <v>965</v>
          </cell>
          <cell r="S37">
            <v>966</v>
          </cell>
          <cell r="T37">
            <v>967</v>
          </cell>
          <cell r="U37">
            <v>968</v>
          </cell>
          <cell r="V37">
            <v>969</v>
          </cell>
          <cell r="W37">
            <v>970</v>
          </cell>
        </row>
        <row r="38">
          <cell r="A38" t="str">
            <v>Other</v>
          </cell>
          <cell r="B38" t="str">
            <v>Marketing</v>
          </cell>
          <cell r="C38" t="str">
            <v>Marketing - Other</v>
          </cell>
          <cell r="D38">
            <v>101</v>
          </cell>
          <cell r="E38">
            <v>102</v>
          </cell>
          <cell r="F38">
            <v>103</v>
          </cell>
          <cell r="G38">
            <v>104</v>
          </cell>
          <cell r="H38">
            <v>105</v>
          </cell>
          <cell r="I38">
            <v>106</v>
          </cell>
          <cell r="J38">
            <v>107</v>
          </cell>
          <cell r="K38">
            <v>108</v>
          </cell>
          <cell r="L38">
            <v>109</v>
          </cell>
          <cell r="M38">
            <v>110</v>
          </cell>
          <cell r="N38">
            <v>111</v>
          </cell>
          <cell r="O38">
            <v>112</v>
          </cell>
          <cell r="P38">
            <v>113</v>
          </cell>
          <cell r="Q38">
            <v>114</v>
          </cell>
          <cell r="R38">
            <v>115</v>
          </cell>
          <cell r="S38">
            <v>116</v>
          </cell>
          <cell r="T38">
            <v>117</v>
          </cell>
          <cell r="U38">
            <v>118</v>
          </cell>
          <cell r="V38">
            <v>119</v>
          </cell>
          <cell r="W38">
            <v>120</v>
          </cell>
        </row>
        <row r="39">
          <cell r="A39" t="str">
            <v>Commissions</v>
          </cell>
          <cell r="B39" t="str">
            <v>Marketing</v>
          </cell>
          <cell r="C39" t="str">
            <v>Marketing - Commissions</v>
          </cell>
          <cell r="D39">
            <v>2501</v>
          </cell>
          <cell r="E39">
            <v>2502</v>
          </cell>
          <cell r="F39">
            <v>2503</v>
          </cell>
          <cell r="G39">
            <v>2504</v>
          </cell>
          <cell r="H39">
            <v>2505</v>
          </cell>
          <cell r="I39">
            <v>2506</v>
          </cell>
          <cell r="J39">
            <v>2507</v>
          </cell>
          <cell r="K39">
            <v>2508</v>
          </cell>
          <cell r="L39">
            <v>2509</v>
          </cell>
          <cell r="M39">
            <v>2510</v>
          </cell>
          <cell r="N39">
            <v>2511</v>
          </cell>
          <cell r="O39">
            <v>2512</v>
          </cell>
          <cell r="P39">
            <v>2513</v>
          </cell>
          <cell r="Q39">
            <v>2514</v>
          </cell>
          <cell r="R39">
            <v>2515</v>
          </cell>
          <cell r="S39">
            <v>2516</v>
          </cell>
          <cell r="T39">
            <v>2517</v>
          </cell>
          <cell r="U39">
            <v>2518</v>
          </cell>
          <cell r="V39">
            <v>2519</v>
          </cell>
          <cell r="W39">
            <v>2520</v>
          </cell>
        </row>
        <row r="40">
          <cell r="A40" t="str">
            <v>Car Exp.</v>
          </cell>
          <cell r="B40" t="str">
            <v>Operating Exp.</v>
          </cell>
          <cell r="C40" t="str">
            <v>Operating Exp. - Car Exp.</v>
          </cell>
          <cell r="D40">
            <v>1201</v>
          </cell>
          <cell r="E40">
            <v>1202</v>
          </cell>
          <cell r="F40">
            <v>1203</v>
          </cell>
          <cell r="G40">
            <v>1204</v>
          </cell>
          <cell r="H40">
            <v>1205</v>
          </cell>
          <cell r="I40">
            <v>1206</v>
          </cell>
          <cell r="J40">
            <v>1207</v>
          </cell>
          <cell r="K40">
            <v>1208</v>
          </cell>
          <cell r="L40">
            <v>1209</v>
          </cell>
          <cell r="M40">
            <v>1210</v>
          </cell>
          <cell r="N40">
            <v>1211</v>
          </cell>
          <cell r="O40">
            <v>1212</v>
          </cell>
          <cell r="P40">
            <v>1213</v>
          </cell>
          <cell r="Q40">
            <v>1214</v>
          </cell>
          <cell r="R40">
            <v>1215</v>
          </cell>
          <cell r="S40">
            <v>1216</v>
          </cell>
          <cell r="T40">
            <v>1217</v>
          </cell>
          <cell r="U40">
            <v>1218</v>
          </cell>
          <cell r="V40">
            <v>1219</v>
          </cell>
          <cell r="W40">
            <v>1220</v>
          </cell>
        </row>
        <row r="41">
          <cell r="A41" t="str">
            <v>Insurance</v>
          </cell>
          <cell r="B41" t="str">
            <v>Operating Exp.</v>
          </cell>
          <cell r="C41" t="str">
            <v>Operating Exp. - Insurance</v>
          </cell>
          <cell r="D41">
            <v>101</v>
          </cell>
          <cell r="E41">
            <v>102</v>
          </cell>
          <cell r="F41">
            <v>103</v>
          </cell>
          <cell r="G41">
            <v>104</v>
          </cell>
          <cell r="H41">
            <v>105</v>
          </cell>
          <cell r="I41">
            <v>106</v>
          </cell>
          <cell r="J41">
            <v>107</v>
          </cell>
          <cell r="K41">
            <v>108</v>
          </cell>
          <cell r="L41">
            <v>109</v>
          </cell>
          <cell r="M41">
            <v>110</v>
          </cell>
          <cell r="N41">
            <v>111</v>
          </cell>
          <cell r="O41">
            <v>112</v>
          </cell>
          <cell r="P41">
            <v>113</v>
          </cell>
          <cell r="Q41">
            <v>114</v>
          </cell>
          <cell r="R41">
            <v>115</v>
          </cell>
          <cell r="S41">
            <v>116</v>
          </cell>
          <cell r="T41">
            <v>117</v>
          </cell>
          <cell r="U41">
            <v>118</v>
          </cell>
          <cell r="V41">
            <v>119</v>
          </cell>
          <cell r="W41">
            <v>120</v>
          </cell>
        </row>
        <row r="42">
          <cell r="A42" t="str">
            <v>Head Hunting</v>
          </cell>
          <cell r="B42" t="str">
            <v>Operating Exp.</v>
          </cell>
          <cell r="C42" t="str">
            <v>Operating Exp. - Head Hunting</v>
          </cell>
          <cell r="D42">
            <v>3001</v>
          </cell>
          <cell r="E42">
            <v>3002</v>
          </cell>
          <cell r="F42">
            <v>3003</v>
          </cell>
          <cell r="G42">
            <v>3004</v>
          </cell>
          <cell r="H42">
            <v>3005</v>
          </cell>
          <cell r="I42">
            <v>3006</v>
          </cell>
          <cell r="J42">
            <v>3007</v>
          </cell>
          <cell r="K42">
            <v>3008</v>
          </cell>
          <cell r="L42">
            <v>3009</v>
          </cell>
          <cell r="M42">
            <v>3010</v>
          </cell>
          <cell r="N42">
            <v>3011</v>
          </cell>
          <cell r="O42">
            <v>3012</v>
          </cell>
          <cell r="P42">
            <v>3013</v>
          </cell>
          <cell r="Q42">
            <v>3014</v>
          </cell>
          <cell r="R42">
            <v>3015</v>
          </cell>
          <cell r="S42">
            <v>3016</v>
          </cell>
          <cell r="T42">
            <v>3017</v>
          </cell>
          <cell r="U42">
            <v>3018</v>
          </cell>
          <cell r="V42">
            <v>3019</v>
          </cell>
          <cell r="W42">
            <v>3020</v>
          </cell>
        </row>
        <row r="43">
          <cell r="A43" t="str">
            <v>Courses</v>
          </cell>
          <cell r="B43" t="str">
            <v>Operating Exp.</v>
          </cell>
          <cell r="C43" t="str">
            <v>Operating Exp. - Courses</v>
          </cell>
          <cell r="D43">
            <v>5001</v>
          </cell>
          <cell r="E43">
            <v>5002</v>
          </cell>
          <cell r="F43">
            <v>5003</v>
          </cell>
          <cell r="G43">
            <v>5004</v>
          </cell>
          <cell r="H43">
            <v>5005</v>
          </cell>
          <cell r="I43">
            <v>5006</v>
          </cell>
          <cell r="J43">
            <v>5007</v>
          </cell>
          <cell r="K43">
            <v>5008</v>
          </cell>
          <cell r="L43">
            <v>5009</v>
          </cell>
          <cell r="M43">
            <v>5010</v>
          </cell>
          <cell r="N43">
            <v>5011</v>
          </cell>
          <cell r="O43">
            <v>5012</v>
          </cell>
          <cell r="P43">
            <v>5013</v>
          </cell>
          <cell r="Q43">
            <v>5014</v>
          </cell>
          <cell r="R43">
            <v>5015</v>
          </cell>
          <cell r="S43">
            <v>5016</v>
          </cell>
          <cell r="T43">
            <v>5017</v>
          </cell>
          <cell r="U43">
            <v>5018</v>
          </cell>
          <cell r="V43">
            <v>5019</v>
          </cell>
          <cell r="W43">
            <v>5020</v>
          </cell>
        </row>
        <row r="44">
          <cell r="A44" t="str">
            <v>Utilities</v>
          </cell>
          <cell r="B44" t="str">
            <v>Operating Exp.</v>
          </cell>
          <cell r="C44" t="str">
            <v>Operating Exp. - Utilities</v>
          </cell>
          <cell r="D44">
            <v>201</v>
          </cell>
          <cell r="E44">
            <v>202</v>
          </cell>
          <cell r="F44">
            <v>203</v>
          </cell>
          <cell r="G44">
            <v>204</v>
          </cell>
          <cell r="H44">
            <v>205</v>
          </cell>
          <cell r="I44">
            <v>206</v>
          </cell>
          <cell r="J44">
            <v>207</v>
          </cell>
          <cell r="K44">
            <v>208</v>
          </cell>
          <cell r="L44">
            <v>209</v>
          </cell>
          <cell r="M44">
            <v>210</v>
          </cell>
          <cell r="N44">
            <v>211</v>
          </cell>
          <cell r="O44">
            <v>212</v>
          </cell>
          <cell r="P44">
            <v>213</v>
          </cell>
          <cell r="Q44">
            <v>214</v>
          </cell>
          <cell r="R44">
            <v>215</v>
          </cell>
          <cell r="S44">
            <v>216</v>
          </cell>
          <cell r="T44">
            <v>217</v>
          </cell>
          <cell r="U44">
            <v>218</v>
          </cell>
          <cell r="V44">
            <v>219</v>
          </cell>
          <cell r="W44">
            <v>220</v>
          </cell>
        </row>
        <row r="45">
          <cell r="A45" t="str">
            <v>Salaries</v>
          </cell>
          <cell r="B45" t="str">
            <v>Operating Exp.</v>
          </cell>
          <cell r="C45" t="str">
            <v>Operating Exp. - Salaries</v>
          </cell>
          <cell r="D45">
            <v>101001</v>
          </cell>
          <cell r="E45">
            <v>101002</v>
          </cell>
          <cell r="F45">
            <v>101003</v>
          </cell>
          <cell r="G45">
            <v>101004</v>
          </cell>
          <cell r="H45">
            <v>101005</v>
          </cell>
          <cell r="I45">
            <v>101006</v>
          </cell>
          <cell r="J45">
            <v>101007</v>
          </cell>
          <cell r="K45">
            <v>101008</v>
          </cell>
          <cell r="L45">
            <v>101009</v>
          </cell>
          <cell r="M45">
            <v>101010</v>
          </cell>
          <cell r="N45">
            <v>101011</v>
          </cell>
          <cell r="O45">
            <v>101012</v>
          </cell>
          <cell r="P45">
            <v>101013</v>
          </cell>
          <cell r="Q45">
            <v>101014</v>
          </cell>
          <cell r="R45">
            <v>101015</v>
          </cell>
          <cell r="S45">
            <v>101016</v>
          </cell>
          <cell r="T45">
            <v>101017</v>
          </cell>
          <cell r="U45">
            <v>101018</v>
          </cell>
          <cell r="V45">
            <v>101019</v>
          </cell>
          <cell r="W45">
            <v>101020</v>
          </cell>
        </row>
        <row r="46">
          <cell r="A46" t="str">
            <v>Office Exp.</v>
          </cell>
          <cell r="B46" t="str">
            <v>Operating Exp.</v>
          </cell>
          <cell r="C46" t="str">
            <v>Operating Exp. - Office Exp.</v>
          </cell>
          <cell r="D46">
            <v>1101</v>
          </cell>
          <cell r="E46">
            <v>1102</v>
          </cell>
          <cell r="F46">
            <v>1103</v>
          </cell>
          <cell r="G46">
            <v>1104</v>
          </cell>
          <cell r="H46">
            <v>1105</v>
          </cell>
          <cell r="I46">
            <v>1106</v>
          </cell>
          <cell r="J46">
            <v>1107</v>
          </cell>
          <cell r="K46">
            <v>1108</v>
          </cell>
          <cell r="L46">
            <v>1109</v>
          </cell>
          <cell r="M46">
            <v>1110</v>
          </cell>
          <cell r="N46">
            <v>1111</v>
          </cell>
          <cell r="O46">
            <v>1112</v>
          </cell>
          <cell r="P46">
            <v>1113</v>
          </cell>
          <cell r="Q46">
            <v>1114</v>
          </cell>
          <cell r="R46">
            <v>1115</v>
          </cell>
          <cell r="S46">
            <v>1116</v>
          </cell>
          <cell r="T46">
            <v>1117</v>
          </cell>
          <cell r="U46">
            <v>1118</v>
          </cell>
          <cell r="V46">
            <v>1119</v>
          </cell>
          <cell r="W46">
            <v>1120</v>
          </cell>
        </row>
        <row r="47">
          <cell r="A47" t="str">
            <v>Cleaning</v>
          </cell>
          <cell r="B47" t="str">
            <v>Operating Exp.</v>
          </cell>
          <cell r="C47" t="str">
            <v>Operating Exp. - Cleaning</v>
          </cell>
          <cell r="D47">
            <v>5001</v>
          </cell>
          <cell r="E47">
            <v>5002</v>
          </cell>
          <cell r="F47">
            <v>5003</v>
          </cell>
          <cell r="G47">
            <v>5004</v>
          </cell>
          <cell r="H47">
            <v>5005</v>
          </cell>
          <cell r="I47">
            <v>5006</v>
          </cell>
          <cell r="J47">
            <v>5007</v>
          </cell>
          <cell r="K47">
            <v>5008</v>
          </cell>
          <cell r="L47">
            <v>5009</v>
          </cell>
          <cell r="M47">
            <v>5010</v>
          </cell>
          <cell r="N47">
            <v>5011</v>
          </cell>
          <cell r="O47">
            <v>5012</v>
          </cell>
          <cell r="P47">
            <v>5013</v>
          </cell>
          <cell r="Q47">
            <v>5014</v>
          </cell>
          <cell r="R47">
            <v>5015</v>
          </cell>
          <cell r="S47">
            <v>5016</v>
          </cell>
          <cell r="T47">
            <v>5017</v>
          </cell>
          <cell r="U47">
            <v>5018</v>
          </cell>
          <cell r="V47">
            <v>5019</v>
          </cell>
          <cell r="W47">
            <v>5020</v>
          </cell>
        </row>
        <row r="48">
          <cell r="A48" t="str">
            <v>Office Supplies</v>
          </cell>
          <cell r="B48" t="str">
            <v>Operating Exp.</v>
          </cell>
          <cell r="C48" t="str">
            <v>Operating Exp. - Office Supplies</v>
          </cell>
          <cell r="D48">
            <v>7501</v>
          </cell>
          <cell r="E48">
            <v>7502</v>
          </cell>
          <cell r="F48">
            <v>7503</v>
          </cell>
          <cell r="G48">
            <v>7504</v>
          </cell>
          <cell r="H48">
            <v>7505</v>
          </cell>
          <cell r="I48">
            <v>7506</v>
          </cell>
          <cell r="J48">
            <v>7507</v>
          </cell>
          <cell r="K48">
            <v>7508</v>
          </cell>
          <cell r="L48">
            <v>7509</v>
          </cell>
          <cell r="M48">
            <v>7510</v>
          </cell>
          <cell r="N48">
            <v>7511</v>
          </cell>
          <cell r="O48">
            <v>7512</v>
          </cell>
          <cell r="P48">
            <v>7513</v>
          </cell>
          <cell r="Q48">
            <v>7514</v>
          </cell>
          <cell r="R48">
            <v>7515</v>
          </cell>
          <cell r="S48">
            <v>7516</v>
          </cell>
          <cell r="T48">
            <v>7517</v>
          </cell>
          <cell r="U48">
            <v>7518</v>
          </cell>
          <cell r="V48">
            <v>7519</v>
          </cell>
          <cell r="W48">
            <v>7520</v>
          </cell>
        </row>
        <row r="49">
          <cell r="A49" t="str">
            <v>Telephone</v>
          </cell>
          <cell r="B49" t="str">
            <v>Operating Exp.</v>
          </cell>
          <cell r="C49" t="str">
            <v>Operating Exp. - Telephone</v>
          </cell>
          <cell r="D49">
            <v>901</v>
          </cell>
          <cell r="E49">
            <v>902</v>
          </cell>
          <cell r="F49">
            <v>903</v>
          </cell>
          <cell r="G49">
            <v>904</v>
          </cell>
          <cell r="H49">
            <v>905</v>
          </cell>
          <cell r="I49">
            <v>906</v>
          </cell>
          <cell r="J49">
            <v>907</v>
          </cell>
          <cell r="K49">
            <v>908</v>
          </cell>
          <cell r="L49">
            <v>909</v>
          </cell>
          <cell r="M49">
            <v>910</v>
          </cell>
          <cell r="N49">
            <v>911</v>
          </cell>
          <cell r="O49">
            <v>912</v>
          </cell>
          <cell r="P49">
            <v>913</v>
          </cell>
          <cell r="Q49">
            <v>914</v>
          </cell>
          <cell r="R49">
            <v>915</v>
          </cell>
          <cell r="S49">
            <v>916</v>
          </cell>
          <cell r="T49">
            <v>917</v>
          </cell>
          <cell r="U49">
            <v>918</v>
          </cell>
          <cell r="V49">
            <v>919</v>
          </cell>
          <cell r="W49">
            <v>920</v>
          </cell>
        </row>
      </sheetData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elcome"/>
      <sheetName val="Index"/>
      <sheetName val="Navigation"/>
      <sheetName val="Cell Navigation"/>
      <sheetName val="Formulas"/>
      <sheetName val="Splitting Text"/>
      <sheetName val="Joining Text"/>
      <sheetName val="Paste Special"/>
      <sheetName val="Paste Special Values"/>
      <sheetName val="Named Ranges"/>
      <sheetName val="V X LOOKUP"/>
      <sheetName val="V X LOOKUP Bonus"/>
      <sheetName val="Sort &amp; Filter"/>
      <sheetName val="Pivot Tables"/>
      <sheetName val="Slicers &amp; Timelines"/>
      <sheetName val="Pivot Table Grouping"/>
      <sheetName val="Multiple Pivot Tables"/>
      <sheetName val="IF Statements"/>
      <sheetName val="AND, OR"/>
      <sheetName val="Subtotal"/>
      <sheetName val="SUMifs &amp; COUNTIFS"/>
      <sheetName val="Data Validation"/>
      <sheetName val="Remove Duplicates"/>
      <sheetName val="Ranking"/>
      <sheetName val="Review"/>
      <sheetName val="End of Class"/>
      <sheetName val="Goal Seek"/>
      <sheetName val="Data Tables"/>
      <sheetName val="Bonus - Combo Charts"/>
      <sheetName val="Project I"/>
      <sheetName val="Project I (answer)"/>
      <sheetName val="Project II"/>
      <sheetName val="Project II (answer)"/>
      <sheetName val="Project III"/>
      <sheetName val="Project III (Answer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11">
          <cell r="E11">
            <v>209660</v>
          </cell>
        </row>
        <row r="12">
          <cell r="E12">
            <v>289081</v>
          </cell>
        </row>
        <row r="13">
          <cell r="E13">
            <v>317914</v>
          </cell>
        </row>
        <row r="14">
          <cell r="E14">
            <v>306614</v>
          </cell>
        </row>
        <row r="15">
          <cell r="E15">
            <v>302150</v>
          </cell>
        </row>
        <row r="16">
          <cell r="E16">
            <v>289272</v>
          </cell>
        </row>
        <row r="17">
          <cell r="E17">
            <v>310232</v>
          </cell>
        </row>
        <row r="18">
          <cell r="E18">
            <v>279799</v>
          </cell>
        </row>
        <row r="19">
          <cell r="E19">
            <v>74802</v>
          </cell>
        </row>
        <row r="20">
          <cell r="E20">
            <v>181398</v>
          </cell>
        </row>
        <row r="21">
          <cell r="E21">
            <v>247651</v>
          </cell>
        </row>
        <row r="22">
          <cell r="E22">
            <v>148260</v>
          </cell>
        </row>
        <row r="23">
          <cell r="E23">
            <v>247911</v>
          </cell>
        </row>
        <row r="24">
          <cell r="E24">
            <v>291680</v>
          </cell>
        </row>
        <row r="25">
          <cell r="E25">
            <v>298665</v>
          </cell>
        </row>
        <row r="26">
          <cell r="E26">
            <v>69155</v>
          </cell>
        </row>
        <row r="27">
          <cell r="E27">
            <v>52567</v>
          </cell>
        </row>
        <row r="28">
          <cell r="E28">
            <v>404225</v>
          </cell>
        </row>
        <row r="29">
          <cell r="E29">
            <v>94227</v>
          </cell>
        </row>
        <row r="30">
          <cell r="E30">
            <v>214185</v>
          </cell>
        </row>
        <row r="31">
          <cell r="E31">
            <v>114047</v>
          </cell>
        </row>
        <row r="32">
          <cell r="E32">
            <v>90000</v>
          </cell>
        </row>
        <row r="33">
          <cell r="E33">
            <v>160000</v>
          </cell>
        </row>
        <row r="34">
          <cell r="E34">
            <v>98000</v>
          </cell>
        </row>
        <row r="35">
          <cell r="E35">
            <v>65000</v>
          </cell>
        </row>
        <row r="36">
          <cell r="E36">
            <v>80000</v>
          </cell>
        </row>
        <row r="37">
          <cell r="E37">
            <v>78000</v>
          </cell>
        </row>
        <row r="38">
          <cell r="E38">
            <v>94000</v>
          </cell>
        </row>
        <row r="39">
          <cell r="E39">
            <v>76000</v>
          </cell>
        </row>
        <row r="40">
          <cell r="E40">
            <v>124000</v>
          </cell>
        </row>
        <row r="41">
          <cell r="E41">
            <v>93000</v>
          </cell>
        </row>
        <row r="42">
          <cell r="E42">
            <v>105000</v>
          </cell>
        </row>
        <row r="43">
          <cell r="E43">
            <v>130000</v>
          </cell>
        </row>
        <row r="44">
          <cell r="E44">
            <v>144000</v>
          </cell>
        </row>
        <row r="45">
          <cell r="E45">
            <v>84000</v>
          </cell>
        </row>
        <row r="46">
          <cell r="E46">
            <v>92000</v>
          </cell>
        </row>
        <row r="47">
          <cell r="E47">
            <v>68000</v>
          </cell>
        </row>
        <row r="48">
          <cell r="E48">
            <v>136000</v>
          </cell>
        </row>
        <row r="49">
          <cell r="E49">
            <v>100000</v>
          </cell>
        </row>
        <row r="50">
          <cell r="E50">
            <v>72000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vice Invoice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lcome"/>
      <sheetName val="Overview"/>
      <sheetName val="Adv Cell Lock"/>
      <sheetName val="Cell Auditing"/>
      <sheetName val="Cust Nmbr Formats"/>
      <sheetName val="Cust Time &amp; Date"/>
      <sheetName val="TEXT Function"/>
      <sheetName val="Date Functions"/>
      <sheetName val="OFFSET Function"/>
      <sheetName val="Nested IFs"/>
      <sheetName val="IF with AND, OR"/>
      <sheetName val="Goal Seek"/>
      <sheetName val="Scenario Manager"/>
      <sheetName val="Data Table"/>
      <sheetName val="Data"/>
      <sheetName val="Consolidation"/>
      <sheetName val="Conditional SumProduct"/>
      <sheetName val="GETPIVOTDATA"/>
      <sheetName val="Pivot Data"/>
      <sheetName val="MATCH Function"/>
      <sheetName val="VLOOKUP-MATCH"/>
      <sheetName val="VLookUp Database"/>
      <sheetName val="INDEX-MATCH"/>
      <sheetName val="INDEX-Dbl MATCH"/>
      <sheetName val="Macy's Stores"/>
      <sheetName val="Record Macros"/>
      <sheetName val="Macro Database"/>
      <sheetName val="Relative Reference Macros"/>
      <sheetName val="En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27">
          <cell r="A27" t="str">
            <v>Department</v>
          </cell>
          <cell r="B27" t="str">
            <v>Salary</v>
          </cell>
          <cell r="C27" t="str">
            <v>Employees</v>
          </cell>
        </row>
        <row r="28">
          <cell r="A28" t="str">
            <v>Administration</v>
          </cell>
          <cell r="B28">
            <v>55000</v>
          </cell>
          <cell r="C28">
            <v>50</v>
          </cell>
        </row>
        <row r="29">
          <cell r="A29" t="str">
            <v>Marketing</v>
          </cell>
          <cell r="B29">
            <v>65000</v>
          </cell>
          <cell r="C29">
            <v>100</v>
          </cell>
        </row>
        <row r="30">
          <cell r="A30" t="str">
            <v>Engineering</v>
          </cell>
          <cell r="B30">
            <v>75000</v>
          </cell>
          <cell r="C30">
            <v>4000</v>
          </cell>
        </row>
        <row r="31">
          <cell r="A31" t="str">
            <v>Senior Mgmt.</v>
          </cell>
          <cell r="B31">
            <v>120000</v>
          </cell>
          <cell r="C31">
            <v>15</v>
          </cell>
        </row>
        <row r="32">
          <cell r="A32" t="str">
            <v>Top Mgmt.</v>
          </cell>
          <cell r="B32">
            <v>1200000</v>
          </cell>
          <cell r="C32">
            <v>5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) Corporate EBITDA or MOAS"/>
      <sheetName val="STI % Legend"/>
      <sheetName val="2) Individual to Dep Goals"/>
      <sheetName val="3) Subjective Goal Matrix "/>
      <sheetName val="Staff Calculation"/>
      <sheetName val="Manager Calculation"/>
      <sheetName val="Inputs - DO NOT DELETE &gt;&gt;"/>
      <sheetName val="Appendix"/>
    </sheetNames>
    <sheetDataSet>
      <sheetData sheetId="0"/>
      <sheetData sheetId="1">
        <row r="6">
          <cell r="B6" t="str">
            <v xml:space="preserve">C Suite </v>
          </cell>
        </row>
        <row r="7">
          <cell r="B7" t="str">
            <v xml:space="preserve">SVP </v>
          </cell>
        </row>
        <row r="8">
          <cell r="B8" t="str">
            <v xml:space="preserve">VP </v>
          </cell>
        </row>
        <row r="9">
          <cell r="B9" t="str">
            <v>Sr. Director/ AVP</v>
          </cell>
        </row>
        <row r="10">
          <cell r="B10" t="str">
            <v xml:space="preserve">Director </v>
          </cell>
        </row>
        <row r="11">
          <cell r="B11" t="str">
            <v>Sr. Manager/ Asst Director</v>
          </cell>
        </row>
        <row r="12">
          <cell r="B12" t="str">
            <v>Manager</v>
          </cell>
        </row>
        <row r="13">
          <cell r="B13" t="str">
            <v>Asst Manager</v>
          </cell>
        </row>
        <row r="14">
          <cell r="B14" t="str">
            <v xml:space="preserve">Sr. Individual Contributor </v>
          </cell>
        </row>
        <row r="15">
          <cell r="B15" t="str">
            <v xml:space="preserve">Experienced Individual Contributor </v>
          </cell>
        </row>
        <row r="16">
          <cell r="B16" t="str">
            <v xml:space="preserve">Entry Individual Contributor 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lcome"/>
      <sheetName val="Index"/>
      <sheetName val="ShortCutKeys"/>
      <sheetName val="Cell Navigation"/>
      <sheetName val="Hot Keys &amp; Shortcuts "/>
      <sheetName val="Windows"/>
      <sheetName val="Formula writing"/>
      <sheetName val="Formula Auditing "/>
      <sheetName val="Adv Cell Lock"/>
      <sheetName val="Go To Special"/>
      <sheetName val="Table1"/>
      <sheetName val="Project I"/>
      <sheetName val="Project I (answer)"/>
      <sheetName val="Goal Seek"/>
      <sheetName val="Data Tables"/>
      <sheetName val="Arrays"/>
      <sheetName val="Scenario Summary"/>
      <sheetName val="Scenario Manager"/>
      <sheetName val="Present Value"/>
      <sheetName val="NPV"/>
      <sheetName val="IRR"/>
      <sheetName val="Date Functions"/>
      <sheetName val="Nested IFs"/>
      <sheetName val="IF with AND, OR"/>
      <sheetName val="10) Conditional SumProduct"/>
      <sheetName val="Project II"/>
      <sheetName val="Project II (Completed)"/>
      <sheetName val="XLOOKUP"/>
      <sheetName val="MATCH Function"/>
      <sheetName val="INDEX-MATCH"/>
      <sheetName val="18) Macros"/>
      <sheetName val="18) Record Macros"/>
      <sheetName val="18) Apply Macro"/>
      <sheetName val="19) Relative Macros"/>
      <sheetName val="Project III"/>
      <sheetName val="Project III (ans)"/>
      <sheetName val="Save &amp; Email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88">
          <cell r="C88">
            <v>13290</v>
          </cell>
          <cell r="D88">
            <v>41643</v>
          </cell>
          <cell r="E88">
            <v>87</v>
          </cell>
          <cell r="F88" t="str">
            <v>Pate Chinois</v>
          </cell>
        </row>
        <row r="89">
          <cell r="C89">
            <v>13291</v>
          </cell>
          <cell r="D89">
            <v>41643.229074074072</v>
          </cell>
          <cell r="E89">
            <v>16</v>
          </cell>
          <cell r="F89" t="str">
            <v>Boston crab meat</v>
          </cell>
        </row>
        <row r="90">
          <cell r="C90">
            <v>13292</v>
          </cell>
          <cell r="D90">
            <v>41644.351168981484</v>
          </cell>
          <cell r="E90">
            <v>77</v>
          </cell>
          <cell r="F90" t="str">
            <v>Gorganzola Telino</v>
          </cell>
        </row>
        <row r="91">
          <cell r="C91">
            <v>13293</v>
          </cell>
          <cell r="D91">
            <v>41645.195324074077</v>
          </cell>
          <cell r="E91">
            <v>16</v>
          </cell>
          <cell r="F91" t="str">
            <v>Boston crab meat</v>
          </cell>
        </row>
        <row r="92">
          <cell r="C92">
            <v>13294</v>
          </cell>
          <cell r="D92">
            <v>41646.305960648147</v>
          </cell>
          <cell r="E92">
            <v>71</v>
          </cell>
          <cell r="F92" t="str">
            <v>Spegasild</v>
          </cell>
        </row>
        <row r="93">
          <cell r="C93">
            <v>13295</v>
          </cell>
          <cell r="D93">
            <v>41646.360405092593</v>
          </cell>
          <cell r="E93">
            <v>16</v>
          </cell>
          <cell r="F93" t="str">
            <v>Boston crab meat</v>
          </cell>
        </row>
        <row r="94">
          <cell r="C94">
            <v>13296</v>
          </cell>
          <cell r="D94">
            <v>41646.614479166667</v>
          </cell>
          <cell r="E94">
            <v>16</v>
          </cell>
          <cell r="F94" t="str">
            <v>Boston crab meat</v>
          </cell>
        </row>
        <row r="95">
          <cell r="C95">
            <v>13297</v>
          </cell>
          <cell r="D95">
            <v>41647.642372685186</v>
          </cell>
          <cell r="E95">
            <v>77</v>
          </cell>
          <cell r="F95" t="str">
            <v>Gorganzola Telino</v>
          </cell>
        </row>
        <row r="96">
          <cell r="C96">
            <v>13298</v>
          </cell>
          <cell r="D96">
            <v>41648.457418981481</v>
          </cell>
          <cell r="E96">
            <v>16</v>
          </cell>
          <cell r="F96" t="str">
            <v>Boston crab meat</v>
          </cell>
        </row>
        <row r="97">
          <cell r="C97">
            <v>13299</v>
          </cell>
          <cell r="D97">
            <v>41649.019085648149</v>
          </cell>
          <cell r="E97">
            <v>16</v>
          </cell>
          <cell r="F97" t="str">
            <v>Boston crab meat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6.emf"/><Relationship Id="rId18" Type="http://schemas.openxmlformats.org/officeDocument/2006/relationships/control" Target="../activeX/activeX21.xml"/><Relationship Id="rId26" Type="http://schemas.openxmlformats.org/officeDocument/2006/relationships/control" Target="../activeX/activeX25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9.emf"/><Relationship Id="rId7" Type="http://schemas.openxmlformats.org/officeDocument/2006/relationships/image" Target="../media/image3.emf"/><Relationship Id="rId12" Type="http://schemas.openxmlformats.org/officeDocument/2006/relationships/control" Target="../activeX/activeX18.xml"/><Relationship Id="rId17" Type="http://schemas.openxmlformats.org/officeDocument/2006/relationships/image" Target="../media/image17.emf"/><Relationship Id="rId25" Type="http://schemas.openxmlformats.org/officeDocument/2006/relationships/image" Target="../media/image2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0.xml"/><Relationship Id="rId20" Type="http://schemas.openxmlformats.org/officeDocument/2006/relationships/control" Target="../activeX/activeX22.xml"/><Relationship Id="rId29" Type="http://schemas.openxmlformats.org/officeDocument/2006/relationships/image" Target="../media/image23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1" Type="http://schemas.openxmlformats.org/officeDocument/2006/relationships/image" Target="../media/image15.emf"/><Relationship Id="rId24" Type="http://schemas.openxmlformats.org/officeDocument/2006/relationships/control" Target="../activeX/activeX24.xml"/><Relationship Id="rId5" Type="http://schemas.openxmlformats.org/officeDocument/2006/relationships/image" Target="../media/image2.emf"/><Relationship Id="rId15" Type="http://schemas.openxmlformats.org/officeDocument/2006/relationships/image" Target="../media/image16.emf"/><Relationship Id="rId23" Type="http://schemas.openxmlformats.org/officeDocument/2006/relationships/image" Target="../media/image20.emf"/><Relationship Id="rId28" Type="http://schemas.openxmlformats.org/officeDocument/2006/relationships/control" Target="../activeX/activeX26.xml"/><Relationship Id="rId10" Type="http://schemas.openxmlformats.org/officeDocument/2006/relationships/control" Target="../activeX/activeX17.xml"/><Relationship Id="rId19" Type="http://schemas.openxmlformats.org/officeDocument/2006/relationships/image" Target="../media/image18.emf"/><Relationship Id="rId4" Type="http://schemas.openxmlformats.org/officeDocument/2006/relationships/control" Target="../activeX/activeX14.xml"/><Relationship Id="rId9" Type="http://schemas.openxmlformats.org/officeDocument/2006/relationships/image" Target="../media/image14.emf"/><Relationship Id="rId14" Type="http://schemas.openxmlformats.org/officeDocument/2006/relationships/control" Target="../activeX/activeX19.xml"/><Relationship Id="rId22" Type="http://schemas.openxmlformats.org/officeDocument/2006/relationships/control" Target="../activeX/activeX23.xml"/><Relationship Id="rId27" Type="http://schemas.openxmlformats.org/officeDocument/2006/relationships/image" Target="../media/image22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21DA5-05E7-4901-B187-E440561AB863}">
  <sheetPr codeName="Sheet1">
    <tabColor rgb="FFE1F7FF"/>
  </sheetPr>
  <dimension ref="A1:AG73"/>
  <sheetViews>
    <sheetView showGridLines="0" topLeftCell="A9" zoomScale="70" zoomScaleNormal="70" workbookViewId="0">
      <selection activeCell="AC30" sqref="AC30"/>
    </sheetView>
  </sheetViews>
  <sheetFormatPr defaultColWidth="9.08984375" defaultRowHeight="14.5" outlineLevelRow="1" outlineLevelCol="1" x14ac:dyDescent="0.35"/>
  <cols>
    <col min="1" max="1" width="5.6328125" style="1" customWidth="1"/>
    <col min="2" max="2" width="31.81640625" style="45" customWidth="1"/>
    <col min="3" max="3" width="14.26953125" style="45" customWidth="1"/>
    <col min="4" max="4" width="11" style="45" customWidth="1"/>
    <col min="5" max="5" width="11.1796875" style="45" bestFit="1" customWidth="1"/>
    <col min="6" max="6" width="11" style="45" customWidth="1"/>
    <col min="7" max="7" width="11.6328125" style="45" customWidth="1"/>
    <col min="8" max="8" width="11.26953125" style="45" customWidth="1"/>
    <col min="9" max="9" width="24.54296875" style="45" customWidth="1"/>
    <col min="10" max="10" width="5.453125" style="45" customWidth="1"/>
    <col min="11" max="11" width="7.81640625" style="45" bestFit="1" customWidth="1"/>
    <col min="12" max="12" width="5.36328125" style="41" customWidth="1"/>
    <col min="13" max="13" width="5.1796875" style="143" customWidth="1"/>
    <col min="14" max="14" width="5.6328125" style="143" customWidth="1" collapsed="1"/>
    <col min="15" max="15" width="18.26953125" style="3" hidden="1" customWidth="1" outlineLevel="1"/>
    <col min="16" max="16" width="19.1796875" style="65" hidden="1" customWidth="1" outlineLevel="1"/>
    <col min="17" max="17" width="25.1796875" style="45" hidden="1" customWidth="1" outlineLevel="1"/>
    <col min="18" max="18" width="31.81640625" style="45" hidden="1" customWidth="1" outlineLevel="1"/>
    <col min="19" max="19" width="18.08984375" style="45" hidden="1" customWidth="1" outlineLevel="1"/>
    <col min="20" max="20" width="25.1796875" style="45" hidden="1" customWidth="1" outlineLevel="1"/>
    <col min="21" max="21" width="29.1796875" style="45" hidden="1" customWidth="1" outlineLevel="1"/>
    <col min="22" max="22" width="14" style="45" hidden="1" customWidth="1" outlineLevel="1"/>
    <col min="23" max="23" width="25" style="45" hidden="1" customWidth="1" outlineLevel="1"/>
    <col min="24" max="24" width="28.6328125" style="45" hidden="1" customWidth="1" outlineLevel="1"/>
    <col min="25" max="25" width="5.6328125" style="65" customWidth="1" collapsed="1"/>
    <col min="26" max="26" width="30.6328125" style="156" hidden="1" customWidth="1" outlineLevel="1"/>
    <col min="27" max="27" width="13.1796875" style="156" hidden="1" customWidth="1" outlineLevel="1"/>
    <col min="28" max="28" width="12.90625" style="156" hidden="1" customWidth="1" outlineLevel="1"/>
    <col min="29" max="29" width="14.90625" style="45" customWidth="1" collapsed="1"/>
    <col min="30" max="16384" width="9.08984375" style="45"/>
  </cols>
  <sheetData>
    <row r="1" spans="1:33" s="3" customFormat="1" ht="21" customHeight="1" x14ac:dyDescent="0.35">
      <c r="A1" s="206" t="s">
        <v>188</v>
      </c>
      <c r="B1" s="207"/>
      <c r="C1" s="207"/>
      <c r="D1" s="207"/>
      <c r="E1" s="207"/>
      <c r="F1" s="207"/>
      <c r="G1" s="207"/>
      <c r="H1" s="207"/>
      <c r="I1" s="207"/>
      <c r="J1" s="207"/>
      <c r="K1" s="208"/>
      <c r="L1" s="208"/>
      <c r="O1" s="289" t="s">
        <v>110</v>
      </c>
      <c r="P1" s="289"/>
      <c r="Q1" s="289"/>
      <c r="R1" s="289"/>
      <c r="S1" s="289"/>
      <c r="T1" s="289"/>
      <c r="U1" s="289"/>
      <c r="V1" s="289"/>
      <c r="W1" s="289"/>
      <c r="X1" s="289"/>
      <c r="Y1" s="166"/>
      <c r="Z1" s="157"/>
      <c r="AA1" s="158"/>
      <c r="AB1" s="158"/>
      <c r="AC1" s="354" t="s">
        <v>166</v>
      </c>
      <c r="AD1" s="128"/>
      <c r="AE1" s="128"/>
      <c r="AF1" s="128"/>
      <c r="AG1" s="128"/>
    </row>
    <row r="2" spans="1:33" s="44" customFormat="1" ht="16.5" customHeight="1" x14ac:dyDescent="0.35">
      <c r="A2" s="362" t="s">
        <v>137</v>
      </c>
      <c r="B2" s="362"/>
      <c r="C2" s="362"/>
      <c r="D2" s="362"/>
      <c r="E2" s="362"/>
      <c r="F2" s="362"/>
      <c r="G2" s="362"/>
      <c r="H2" s="362"/>
      <c r="I2" s="362"/>
      <c r="J2" s="362"/>
      <c r="K2" s="362"/>
      <c r="L2" s="362"/>
      <c r="M2" s="362"/>
      <c r="N2" s="362"/>
      <c r="O2" s="314" t="s">
        <v>136</v>
      </c>
      <c r="P2" s="314"/>
      <c r="Q2" s="314"/>
      <c r="R2" s="314"/>
      <c r="S2" s="314"/>
      <c r="T2" s="314"/>
      <c r="U2" s="314"/>
      <c r="V2" s="314"/>
      <c r="W2" s="314"/>
      <c r="X2" s="314"/>
      <c r="Y2" s="167"/>
      <c r="Z2" s="157"/>
      <c r="AA2" s="159"/>
      <c r="AB2" s="159"/>
      <c r="AC2" s="354"/>
    </row>
    <row r="3" spans="1:33" s="3" customFormat="1" ht="40.5" customHeight="1" thickBot="1" x14ac:dyDescent="0.35">
      <c r="A3" s="362"/>
      <c r="B3" s="362"/>
      <c r="C3" s="362"/>
      <c r="D3" s="362"/>
      <c r="E3" s="362"/>
      <c r="F3" s="362"/>
      <c r="G3" s="362"/>
      <c r="H3" s="362"/>
      <c r="I3" s="362"/>
      <c r="J3" s="362"/>
      <c r="K3" s="362"/>
      <c r="L3" s="362"/>
      <c r="M3" s="362"/>
      <c r="N3" s="362"/>
      <c r="O3" s="314"/>
      <c r="P3" s="314"/>
      <c r="Q3" s="314"/>
      <c r="R3" s="314"/>
      <c r="S3" s="314"/>
      <c r="T3" s="314"/>
      <c r="U3" s="314"/>
      <c r="V3" s="314"/>
      <c r="W3" s="314"/>
      <c r="X3" s="314"/>
      <c r="Z3" s="180" t="s">
        <v>116</v>
      </c>
      <c r="AA3" s="191" t="s">
        <v>108</v>
      </c>
      <c r="AB3" s="181">
        <f>IFERROR($T$9,"")</f>
        <v>0.5</v>
      </c>
      <c r="AC3" s="354"/>
    </row>
    <row r="4" spans="1:33" ht="15.5" thickTop="1" thickBot="1" x14ac:dyDescent="0.35">
      <c r="A4" s="46"/>
      <c r="B4" s="111"/>
      <c r="I4" s="180" t="s">
        <v>111</v>
      </c>
      <c r="J4" s="180">
        <v>2025</v>
      </c>
      <c r="K4" s="180">
        <v>2026</v>
      </c>
      <c r="L4" s="180">
        <v>2027</v>
      </c>
      <c r="M4" s="180">
        <v>2028</v>
      </c>
      <c r="N4" s="182">
        <v>2029</v>
      </c>
      <c r="V4" s="63"/>
      <c r="W4" s="63"/>
      <c r="X4" s="63"/>
      <c r="Z4" s="164" t="s">
        <v>117</v>
      </c>
      <c r="AA4" s="150">
        <v>0.5</v>
      </c>
      <c r="AB4" s="163">
        <f>IFERROR($AA4*$AB$3,"")</f>
        <v>0.25</v>
      </c>
    </row>
    <row r="5" spans="1:33" ht="15" customHeight="1" thickTop="1" x14ac:dyDescent="0.35">
      <c r="A5" s="46"/>
      <c r="I5" s="168" t="s">
        <v>112</v>
      </c>
      <c r="J5" s="179">
        <v>0.06</v>
      </c>
      <c r="K5" s="179">
        <f>IFERROR(J5,"")</f>
        <v>0.06</v>
      </c>
      <c r="L5" s="179">
        <f t="shared" ref="L5:N5" si="0">IFERROR(K5,"")</f>
        <v>0.06</v>
      </c>
      <c r="M5" s="179">
        <f t="shared" si="0"/>
        <v>0.06</v>
      </c>
      <c r="N5" s="179">
        <f t="shared" si="0"/>
        <v>0.06</v>
      </c>
      <c r="Q5" s="330" t="s">
        <v>195</v>
      </c>
      <c r="R5" s="331"/>
      <c r="S5" s="331"/>
      <c r="T5" s="331"/>
      <c r="U5" s="331"/>
      <c r="V5" s="331"/>
      <c r="W5" s="331"/>
      <c r="X5" s="332"/>
      <c r="Z5" s="164" t="s">
        <v>118</v>
      </c>
      <c r="AA5" s="150">
        <v>1</v>
      </c>
      <c r="AB5" s="163">
        <f t="shared" ref="AB5:AB9" si="1">IFERROR($AA5*$AB$3,"")</f>
        <v>0.5</v>
      </c>
    </row>
    <row r="6" spans="1:33" ht="14.5" customHeight="1" thickBot="1" x14ac:dyDescent="0.4">
      <c r="A6" s="46"/>
      <c r="B6" s="297" t="s">
        <v>135</v>
      </c>
      <c r="C6" s="297"/>
      <c r="D6" s="297"/>
      <c r="I6" s="168" t="s">
        <v>86</v>
      </c>
      <c r="J6" s="133">
        <v>0.16047026655059971</v>
      </c>
      <c r="K6" s="134">
        <v>0.10475297619473106</v>
      </c>
      <c r="L6" s="134">
        <v>9.6653207296289179E-2</v>
      </c>
      <c r="M6" s="162">
        <v>8.9716126219999692E-2</v>
      </c>
      <c r="N6" s="162">
        <v>8.370814949538341E-2</v>
      </c>
      <c r="Q6" s="333"/>
      <c r="R6" s="334"/>
      <c r="S6" s="334"/>
      <c r="T6" s="334"/>
      <c r="U6" s="334"/>
      <c r="V6" s="334"/>
      <c r="W6" s="334"/>
      <c r="X6" s="335"/>
      <c r="Z6" s="164" t="s">
        <v>119</v>
      </c>
      <c r="AA6" s="165">
        <v>2</v>
      </c>
      <c r="AB6" s="163">
        <f t="shared" si="1"/>
        <v>1</v>
      </c>
    </row>
    <row r="7" spans="1:33" x14ac:dyDescent="0.35">
      <c r="A7" s="46"/>
      <c r="B7" s="66" t="s">
        <v>55</v>
      </c>
      <c r="C7" s="295">
        <v>0.11</v>
      </c>
      <c r="D7" s="296"/>
      <c r="E7" s="63"/>
      <c r="I7" s="168" t="s">
        <v>77</v>
      </c>
      <c r="J7" s="133">
        <v>0.12837621324047976</v>
      </c>
      <c r="K7" s="134">
        <v>8.380238095578485E-2</v>
      </c>
      <c r="L7" s="134">
        <v>7.7322565837031343E-2</v>
      </c>
      <c r="M7" s="162">
        <v>7.1772900975999754E-2</v>
      </c>
      <c r="N7" s="162">
        <v>6.6966519596306728E-2</v>
      </c>
      <c r="Z7" s="164" t="s">
        <v>120</v>
      </c>
      <c r="AA7" s="165">
        <v>0</v>
      </c>
      <c r="AB7" s="163">
        <f t="shared" si="1"/>
        <v>0</v>
      </c>
    </row>
    <row r="8" spans="1:33" ht="15" customHeight="1" x14ac:dyDescent="0.35">
      <c r="A8" s="56"/>
      <c r="B8" s="108" t="s">
        <v>65</v>
      </c>
      <c r="C8" s="295">
        <v>0.04</v>
      </c>
      <c r="D8" s="296"/>
      <c r="E8" s="63"/>
      <c r="I8" s="168" t="s">
        <v>78</v>
      </c>
      <c r="J8" s="133">
        <v>9.6972158805956887E-2</v>
      </c>
      <c r="K8" s="134">
        <v>6.2851785716838637E-2</v>
      </c>
      <c r="L8" s="134">
        <v>5.7991924377773507E-2</v>
      </c>
      <c r="M8" s="162">
        <v>5.3829675731999815E-2</v>
      </c>
      <c r="N8" s="162">
        <v>5.0224889697230046E-2</v>
      </c>
      <c r="Q8" s="66" t="s">
        <v>64</v>
      </c>
      <c r="R8" s="177">
        <v>46142</v>
      </c>
      <c r="S8" s="66" t="s">
        <v>96</v>
      </c>
      <c r="T8" s="176">
        <v>350000</v>
      </c>
      <c r="V8" s="59"/>
      <c r="Z8" s="164" t="s">
        <v>126</v>
      </c>
      <c r="AA8" s="178">
        <v>0.73</v>
      </c>
      <c r="AB8" s="163">
        <f t="shared" si="1"/>
        <v>0.36499999999999999</v>
      </c>
    </row>
    <row r="9" spans="1:33" ht="20" customHeight="1" x14ac:dyDescent="0.35">
      <c r="A9" s="46"/>
      <c r="B9" s="108" t="s">
        <v>85</v>
      </c>
      <c r="C9" s="298" t="s">
        <v>78</v>
      </c>
      <c r="D9" s="299"/>
      <c r="E9" s="112"/>
      <c r="I9" s="168" t="s">
        <v>87</v>
      </c>
      <c r="J9" s="133">
        <v>7.2729119104467665E-2</v>
      </c>
      <c r="K9" s="134">
        <v>4.7138839287628978E-2</v>
      </c>
      <c r="L9" s="134">
        <v>4.349394328333013E-2</v>
      </c>
      <c r="M9" s="162">
        <v>4.0372256798999862E-2</v>
      </c>
      <c r="N9" s="162">
        <v>3.7668667272922535E-2</v>
      </c>
      <c r="Q9" s="66" t="s">
        <v>66</v>
      </c>
      <c r="R9" s="147">
        <v>46387</v>
      </c>
      <c r="S9" s="66" t="s">
        <v>103</v>
      </c>
      <c r="T9" s="209">
        <v>0.5</v>
      </c>
      <c r="V9" s="59"/>
      <c r="Z9" s="164" t="s">
        <v>127</v>
      </c>
      <c r="AA9" s="178">
        <v>1.27</v>
      </c>
      <c r="AB9" s="163">
        <f t="shared" si="1"/>
        <v>0.63500000000000001</v>
      </c>
    </row>
    <row r="10" spans="1:33" ht="14.5" customHeight="1" x14ac:dyDescent="0.35">
      <c r="A10" s="56"/>
      <c r="I10" s="254" t="s">
        <v>168</v>
      </c>
      <c r="J10" s="254"/>
      <c r="K10" s="254"/>
      <c r="L10" s="254"/>
      <c r="M10" s="255"/>
      <c r="N10" s="256"/>
      <c r="Q10" s="66" t="s">
        <v>84</v>
      </c>
      <c r="R10" s="313">
        <f>IFERROR(($R$9-$R$8+1)/365,"")</f>
        <v>0.67397260273972603</v>
      </c>
      <c r="S10" s="258" t="s">
        <v>104</v>
      </c>
      <c r="T10" s="211">
        <v>200000</v>
      </c>
      <c r="V10" s="59"/>
      <c r="AA10" s="173"/>
    </row>
    <row r="11" spans="1:33" ht="13" customHeight="1" thickBot="1" x14ac:dyDescent="0.35">
      <c r="A11" s="56"/>
      <c r="I11" s="59"/>
      <c r="J11" s="59"/>
      <c r="M11" s="3"/>
      <c r="N11" s="3"/>
      <c r="O11" s="202"/>
      <c r="Z11" s="180" t="s">
        <v>125</v>
      </c>
      <c r="AA11" s="191" t="s">
        <v>108</v>
      </c>
      <c r="AB11" s="172">
        <f>IFERROR($T$10,"")</f>
        <v>200000</v>
      </c>
    </row>
    <row r="12" spans="1:33" ht="15.5" hidden="1" customHeight="1" outlineLevel="1" thickTop="1" thickBot="1" x14ac:dyDescent="0.4">
      <c r="A12" s="56"/>
      <c r="B12" s="243"/>
      <c r="C12" s="243" t="s">
        <v>139</v>
      </c>
      <c r="D12" s="200">
        <f>_xlfn.XLOOKUP($C$9,$I$5:$I$9,$J$5:$J$9,"")</f>
        <v>9.6972158805956887E-2</v>
      </c>
      <c r="E12" s="200">
        <f>_xlfn.XLOOKUP($C$9,$I$5:$I$9,$K$5:$K$9,"")</f>
        <v>6.2851785716838637E-2</v>
      </c>
      <c r="F12" s="200">
        <f>_xlfn.XLOOKUP($C$9,$I$5:$I$9,$L$5:$L$9,"")</f>
        <v>5.7991924377773507E-2</v>
      </c>
      <c r="G12" s="200">
        <f>_xlfn.XLOOKUP($C$9,$I$5:$I$9,$M$5:$M$9,"")</f>
        <v>5.3829675731999815E-2</v>
      </c>
      <c r="H12" s="200">
        <f>_xlfn.XLOOKUP($C$9,$I$5:$I$9,$N$5:$N$9,"")</f>
        <v>5.0224889697230046E-2</v>
      </c>
      <c r="I12" s="59"/>
      <c r="J12" s="59"/>
      <c r="L12" s="42"/>
      <c r="M12" s="3"/>
      <c r="N12" s="3"/>
      <c r="Q12" s="327" t="s">
        <v>99</v>
      </c>
      <c r="R12" s="327"/>
      <c r="S12" s="143"/>
      <c r="T12" s="328" t="s">
        <v>100</v>
      </c>
      <c r="U12" s="328"/>
      <c r="V12" s="160"/>
      <c r="W12" s="329" t="s">
        <v>109</v>
      </c>
      <c r="X12" s="329"/>
      <c r="Z12" s="164" t="s">
        <v>123</v>
      </c>
      <c r="AA12" s="150">
        <v>1</v>
      </c>
      <c r="AB12" s="118">
        <f t="shared" ref="AB12:AB16" si="2">IFERROR(AA12*$T$10,"")</f>
        <v>200000</v>
      </c>
    </row>
    <row r="13" spans="1:33" ht="15.5" collapsed="1" thickTop="1" thickBot="1" x14ac:dyDescent="0.4">
      <c r="A13" s="56"/>
      <c r="B13" s="213" t="s">
        <v>93</v>
      </c>
      <c r="C13" s="214">
        <v>2024</v>
      </c>
      <c r="D13" s="215">
        <v>2025</v>
      </c>
      <c r="E13" s="215">
        <v>2026</v>
      </c>
      <c r="F13" s="215">
        <v>2027</v>
      </c>
      <c r="G13" s="215">
        <v>2028</v>
      </c>
      <c r="H13" s="216">
        <v>2029</v>
      </c>
      <c r="I13" s="59"/>
      <c r="J13" s="59"/>
      <c r="K13" s="113"/>
      <c r="L13" s="42"/>
      <c r="M13" s="3"/>
      <c r="N13" s="3"/>
      <c r="Q13" s="327"/>
      <c r="R13" s="327"/>
      <c r="S13" s="143"/>
      <c r="T13" s="328"/>
      <c r="U13" s="328"/>
      <c r="V13" s="160"/>
      <c r="W13" s="329"/>
      <c r="X13" s="329"/>
      <c r="Z13" s="164" t="s">
        <v>124</v>
      </c>
      <c r="AA13" s="165">
        <v>1.5</v>
      </c>
      <c r="AB13" s="118">
        <f t="shared" si="2"/>
        <v>300000</v>
      </c>
    </row>
    <row r="14" spans="1:33" ht="16" customHeight="1" thickBot="1" x14ac:dyDescent="0.4">
      <c r="A14" s="116"/>
      <c r="B14" s="63" t="s">
        <v>56</v>
      </c>
      <c r="C14" s="175">
        <v>61988811.160000004</v>
      </c>
      <c r="D14" s="115">
        <f>IFERROR(C14*(1+$D$12),"")</f>
        <v>68000000</v>
      </c>
      <c r="E14" s="115">
        <f>IFERROR(D14*(1+$E$12),"")</f>
        <v>72273921.428745031</v>
      </c>
      <c r="F14" s="115">
        <f>IFERROR(E14*(1+$F$12),"")</f>
        <v>76465225.214725956</v>
      </c>
      <c r="G14" s="115">
        <f>IFERROR(F14*(1+$G$12),"")</f>
        <v>80581323.492808998</v>
      </c>
      <c r="H14" s="115">
        <f>IFERROR(G14*(1+$H$12),"")</f>
        <v>84628511.576892152</v>
      </c>
      <c r="I14" s="193"/>
      <c r="J14" s="194"/>
      <c r="K14" s="63"/>
      <c r="L14" s="43"/>
      <c r="M14" s="4"/>
      <c r="N14" s="4"/>
      <c r="Q14" s="319" t="s">
        <v>88</v>
      </c>
      <c r="R14" s="320"/>
      <c r="S14" s="152"/>
      <c r="T14" s="321" t="s">
        <v>88</v>
      </c>
      <c r="U14" s="322"/>
      <c r="V14" s="161"/>
      <c r="W14" s="323" t="s">
        <v>88</v>
      </c>
      <c r="X14" s="324"/>
      <c r="Z14" s="164" t="s">
        <v>120</v>
      </c>
      <c r="AA14" s="165">
        <v>0</v>
      </c>
      <c r="AB14" s="118">
        <f t="shared" si="2"/>
        <v>0</v>
      </c>
    </row>
    <row r="15" spans="1:33" ht="15" thickBot="1" x14ac:dyDescent="0.4">
      <c r="A15" s="116"/>
      <c r="B15" s="65" t="s">
        <v>57</v>
      </c>
      <c r="C15" s="175">
        <v>37392078.449600004</v>
      </c>
      <c r="D15" s="115">
        <f>IFERROR((C15/C14)*D14,"")</f>
        <v>41018069.019099414</v>
      </c>
      <c r="E15" s="115">
        <f t="shared" ref="E15:H15" si="3">IFERROR((D15/D14)*E14,"")</f>
        <v>43596127.903606348</v>
      </c>
      <c r="F15" s="115">
        <f t="shared" si="3"/>
        <v>46124351.256156027</v>
      </c>
      <c r="G15" s="115">
        <f t="shared" si="3"/>
        <v>48607210.127623767</v>
      </c>
      <c r="H15" s="115">
        <f t="shared" si="3"/>
        <v>51048501.894773766</v>
      </c>
      <c r="I15" s="194"/>
      <c r="J15" s="194"/>
      <c r="K15" s="63"/>
      <c r="L15" s="43"/>
      <c r="M15" s="2"/>
      <c r="N15" s="2"/>
      <c r="O15" s="4"/>
      <c r="Q15" s="219" t="s">
        <v>80</v>
      </c>
      <c r="R15" s="225">
        <f>IFERROR($T$8,"")</f>
        <v>350000</v>
      </c>
      <c r="S15" s="63"/>
      <c r="T15" s="219" t="s">
        <v>80</v>
      </c>
      <c r="U15" s="225">
        <f>IFERROR($T$8,"")</f>
        <v>350000</v>
      </c>
      <c r="V15" s="63"/>
      <c r="W15" s="219" t="s">
        <v>80</v>
      </c>
      <c r="X15" s="225">
        <f>IFERROR($T$8,"")</f>
        <v>350000</v>
      </c>
      <c r="Z15" s="164" t="s">
        <v>128</v>
      </c>
      <c r="AA15" s="179">
        <v>0.63</v>
      </c>
      <c r="AB15" s="118">
        <f t="shared" si="2"/>
        <v>126000</v>
      </c>
    </row>
    <row r="16" spans="1:33" ht="15" thickBot="1" x14ac:dyDescent="0.4">
      <c r="A16" s="116"/>
      <c r="B16" s="187" t="s">
        <v>6</v>
      </c>
      <c r="C16" s="188">
        <f>IFERROR(C14-C15,"")</f>
        <v>24596732.7104</v>
      </c>
      <c r="D16" s="189">
        <f>IFERROR(D14-D15,"")</f>
        <v>26981930.980900586</v>
      </c>
      <c r="E16" s="189">
        <f t="shared" ref="E16:H16" si="4">IFERROR(E14-E15,"")</f>
        <v>28677793.525138684</v>
      </c>
      <c r="F16" s="189">
        <f t="shared" si="4"/>
        <v>30340873.958569929</v>
      </c>
      <c r="G16" s="189">
        <f t="shared" si="4"/>
        <v>31974113.365185231</v>
      </c>
      <c r="H16" s="190">
        <f t="shared" si="4"/>
        <v>33580009.682118386</v>
      </c>
      <c r="I16" s="194"/>
      <c r="J16" s="194"/>
      <c r="K16" s="63"/>
      <c r="L16" s="42"/>
      <c r="M16" s="3"/>
      <c r="N16" s="3"/>
      <c r="O16" s="2"/>
      <c r="Q16" s="217"/>
      <c r="R16" s="218" t="s">
        <v>117</v>
      </c>
      <c r="S16" s="63" t="s">
        <v>67</v>
      </c>
      <c r="T16" s="217"/>
      <c r="U16" s="218" t="s">
        <v>118</v>
      </c>
      <c r="V16" s="63"/>
      <c r="W16" s="217"/>
      <c r="X16" s="218" t="s">
        <v>119</v>
      </c>
      <c r="Z16" s="164" t="s">
        <v>129</v>
      </c>
      <c r="AA16" s="179">
        <v>1.23</v>
      </c>
      <c r="AB16" s="118">
        <f t="shared" si="2"/>
        <v>246000</v>
      </c>
    </row>
    <row r="17" spans="1:28" x14ac:dyDescent="0.35">
      <c r="A17" s="117"/>
      <c r="B17" s="63"/>
      <c r="C17" s="130"/>
      <c r="D17" s="115"/>
      <c r="E17" s="115"/>
      <c r="F17" s="115"/>
      <c r="G17" s="115"/>
      <c r="H17" s="115"/>
      <c r="I17" s="194"/>
      <c r="J17" s="194"/>
      <c r="K17" s="63"/>
      <c r="L17" s="42"/>
      <c r="M17" s="3"/>
      <c r="N17" s="3"/>
      <c r="Q17" s="219" t="s">
        <v>105</v>
      </c>
      <c r="R17" s="220">
        <f>_xlfn.XLOOKUP(R$16,$Z$3:$Z$9,$AB$3:$AB$9,"")</f>
        <v>0.25</v>
      </c>
      <c r="S17" s="63"/>
      <c r="T17" s="219" t="s">
        <v>105</v>
      </c>
      <c r="U17" s="220">
        <f>_xlfn.XLOOKUP(U$16,$Z$3:$Z$9,$AB$3:$AB$9,"")</f>
        <v>0.5</v>
      </c>
      <c r="V17" s="63"/>
      <c r="W17" s="219" t="s">
        <v>105</v>
      </c>
      <c r="X17" s="220">
        <f>_xlfn.XLOOKUP(X$16,$Z$3:$Z$9,$AB$3:$AB$9,"")</f>
        <v>1</v>
      </c>
      <c r="AA17" s="173"/>
    </row>
    <row r="18" spans="1:28" ht="15" thickBot="1" x14ac:dyDescent="0.4">
      <c r="A18" s="117"/>
      <c r="B18" s="63" t="s">
        <v>58</v>
      </c>
      <c r="C18" s="174">
        <v>12389729.5623</v>
      </c>
      <c r="D18" s="119">
        <f>IFERROR((C18/C14)*D14,"")</f>
        <v>13591188.384978214</v>
      </c>
      <c r="E18" s="119">
        <f t="shared" ref="E18:H18" si="5">IFERROR((D18/D14)*E14,"")</f>
        <v>14445418.844988054</v>
      </c>
      <c r="F18" s="119">
        <f t="shared" si="5"/>
        <v>15283136.482251864</v>
      </c>
      <c r="G18" s="119">
        <f t="shared" si="5"/>
        <v>16105822.763259379</v>
      </c>
      <c r="H18" s="119">
        <f t="shared" si="5"/>
        <v>16914735.935027219</v>
      </c>
      <c r="I18" s="194"/>
      <c r="J18" s="194"/>
      <c r="K18" s="63"/>
      <c r="L18" s="3"/>
      <c r="M18" s="3"/>
      <c r="N18" s="3"/>
      <c r="Q18" s="219" t="s">
        <v>106</v>
      </c>
      <c r="R18" s="221">
        <f>IFERROR(R17*R15,"")</f>
        <v>87500</v>
      </c>
      <c r="S18" s="63" t="s">
        <v>67</v>
      </c>
      <c r="T18" s="219" t="s">
        <v>106</v>
      </c>
      <c r="U18" s="221">
        <f>IFERROR(U17*U15,"")</f>
        <v>175000</v>
      </c>
      <c r="V18" s="63"/>
      <c r="W18" s="219" t="s">
        <v>106</v>
      </c>
      <c r="X18" s="221">
        <f>IFERROR(X17*X15,"")</f>
        <v>350000</v>
      </c>
      <c r="Z18" s="120"/>
      <c r="AA18" s="144"/>
      <c r="AB18" s="120"/>
    </row>
    <row r="19" spans="1:28" ht="15" customHeight="1" thickTop="1" thickBot="1" x14ac:dyDescent="0.4">
      <c r="A19" s="116"/>
      <c r="B19" s="63"/>
      <c r="C19" s="131"/>
      <c r="D19" s="65"/>
      <c r="E19" s="65"/>
      <c r="F19" s="65"/>
      <c r="G19" s="65"/>
      <c r="H19" s="65"/>
      <c r="I19" s="63"/>
      <c r="J19" s="63"/>
      <c r="K19" s="63"/>
      <c r="L19" s="3"/>
      <c r="M19" s="3"/>
      <c r="N19" s="3"/>
      <c r="Q19" s="222" t="s">
        <v>76</v>
      </c>
      <c r="R19" s="223">
        <f>IFERROR(R18+R15,"")</f>
        <v>437500</v>
      </c>
      <c r="S19" s="63"/>
      <c r="T19" s="222" t="s">
        <v>76</v>
      </c>
      <c r="U19" s="223">
        <f>IFERROR(U18+U15,"")</f>
        <v>525000</v>
      </c>
      <c r="V19" s="63"/>
      <c r="W19" s="222" t="s">
        <v>76</v>
      </c>
      <c r="X19" s="223">
        <f>IFERROR(X18+X15,"")</f>
        <v>700000</v>
      </c>
      <c r="Z19" s="120"/>
      <c r="AA19" s="144"/>
      <c r="AB19" s="120"/>
    </row>
    <row r="20" spans="1:28" ht="17.5" customHeight="1" thickBot="1" x14ac:dyDescent="0.4">
      <c r="A20" s="117"/>
      <c r="B20" s="187" t="s">
        <v>8</v>
      </c>
      <c r="C20" s="188">
        <f>IFERROR(C16-C18,"")</f>
        <v>12207003.1481</v>
      </c>
      <c r="D20" s="189">
        <f>IFERROR(D16-D18,"")</f>
        <v>13390742.595922371</v>
      </c>
      <c r="E20" s="189">
        <f t="shared" ref="E20:H20" si="6">IFERROR(E16-E18,"")</f>
        <v>14232374.68015063</v>
      </c>
      <c r="F20" s="189">
        <f t="shared" si="6"/>
        <v>15057737.476318065</v>
      </c>
      <c r="G20" s="189">
        <f t="shared" si="6"/>
        <v>15868290.601925852</v>
      </c>
      <c r="H20" s="190">
        <f t="shared" si="6"/>
        <v>16665273.747091167</v>
      </c>
      <c r="I20" s="63"/>
      <c r="J20" s="63"/>
      <c r="K20" s="63"/>
      <c r="L20" s="3"/>
      <c r="M20" s="3"/>
      <c r="N20" s="3"/>
      <c r="Q20" s="217"/>
      <c r="R20" s="218" t="s">
        <v>122</v>
      </c>
      <c r="S20" s="63" t="s">
        <v>67</v>
      </c>
      <c r="T20" s="217"/>
      <c r="U20" s="218" t="s">
        <v>123</v>
      </c>
      <c r="V20" s="63"/>
      <c r="W20" s="217"/>
      <c r="X20" s="218" t="s">
        <v>124</v>
      </c>
      <c r="Z20" s="120"/>
      <c r="AA20" s="144"/>
      <c r="AB20" s="120"/>
    </row>
    <row r="21" spans="1:28" ht="14.5" customHeight="1" thickBot="1" x14ac:dyDescent="0.4">
      <c r="A21" s="116"/>
      <c r="B21" s="65" t="s">
        <v>59</v>
      </c>
      <c r="C21" s="186">
        <v>2450000</v>
      </c>
      <c r="D21" s="115">
        <f>IFERROR(D14*3.5%,"")</f>
        <v>2380000</v>
      </c>
      <c r="E21" s="115">
        <f t="shared" ref="E21:H21" si="7">IFERROR(E14*3.5%,"")</f>
        <v>2529587.2500060764</v>
      </c>
      <c r="F21" s="115">
        <f t="shared" si="7"/>
        <v>2676282.8825154086</v>
      </c>
      <c r="G21" s="115">
        <f t="shared" si="7"/>
        <v>2820346.322248315</v>
      </c>
      <c r="H21" s="115">
        <f t="shared" si="7"/>
        <v>2961997.9051912255</v>
      </c>
      <c r="I21" s="63"/>
      <c r="J21" s="63"/>
      <c r="K21" s="63"/>
      <c r="L21" s="3"/>
      <c r="M21" s="3"/>
      <c r="N21" s="3"/>
      <c r="Q21" s="219" t="s">
        <v>81</v>
      </c>
      <c r="R21" s="221" t="str">
        <f>_xlfn.XLOOKUP(R$20,$Z$11:$Z$16,$AB$11:$AB$16,"")</f>
        <v/>
      </c>
      <c r="S21" s="63"/>
      <c r="T21" s="219" t="s">
        <v>81</v>
      </c>
      <c r="U21" s="221">
        <f>_xlfn.XLOOKUP(U$20,$Z$11:$Z$16,$AB$11:$AB$16,"")</f>
        <v>200000</v>
      </c>
      <c r="V21" s="63"/>
      <c r="W21" s="219" t="s">
        <v>81</v>
      </c>
      <c r="X21" s="221">
        <f>_xlfn.XLOOKUP(X$20,$Z$11:$Z$16,$AB$11:$AB$16,"")</f>
        <v>300000</v>
      </c>
      <c r="Z21" s="120"/>
      <c r="AA21" s="120"/>
      <c r="AB21" s="120"/>
    </row>
    <row r="22" spans="1:28" ht="14.5" customHeight="1" thickTop="1" x14ac:dyDescent="0.35">
      <c r="A22" s="116"/>
      <c r="B22" s="120" t="s">
        <v>82</v>
      </c>
      <c r="C22" s="174">
        <f>IFERROR(1.5%*(C20-C21),"")</f>
        <v>146355.04722149999</v>
      </c>
      <c r="D22" s="118">
        <f>IFERROR(1.5%*(D20-D21),"")</f>
        <v>165161.13893883556</v>
      </c>
      <c r="E22" s="118">
        <f t="shared" ref="E22:H22" si="8">IFERROR(1.5%*(E20-E21),"")</f>
        <v>175541.8114521683</v>
      </c>
      <c r="F22" s="118">
        <f t="shared" si="8"/>
        <v>185721.81890703985</v>
      </c>
      <c r="G22" s="118">
        <f t="shared" si="8"/>
        <v>195719.16419516303</v>
      </c>
      <c r="H22" s="118">
        <f t="shared" si="8"/>
        <v>205549.1376284991</v>
      </c>
      <c r="I22" s="63"/>
      <c r="J22" s="63"/>
      <c r="K22" s="63"/>
      <c r="L22" s="3"/>
      <c r="M22" s="3"/>
      <c r="N22" s="3"/>
      <c r="Q22" s="224" t="s">
        <v>75</v>
      </c>
      <c r="R22" s="235" t="str">
        <f>IFERROR(R21+R19,"")</f>
        <v/>
      </c>
      <c r="S22" s="63"/>
      <c r="T22" s="224" t="s">
        <v>75</v>
      </c>
      <c r="U22" s="235">
        <f>IFERROR(U21+U19,"")</f>
        <v>725000</v>
      </c>
      <c r="V22" s="64"/>
      <c r="W22" s="224" t="s">
        <v>75</v>
      </c>
      <c r="X22" s="235">
        <f>IFERROR(X21+X19,"")</f>
        <v>1000000</v>
      </c>
      <c r="Z22" s="120"/>
      <c r="AA22" s="120"/>
      <c r="AB22" s="120"/>
    </row>
    <row r="23" spans="1:28" ht="15" customHeight="1" thickBot="1" x14ac:dyDescent="0.4">
      <c r="A23" s="116"/>
      <c r="B23" s="65" t="s">
        <v>60</v>
      </c>
      <c r="C23" s="175" t="s">
        <v>134</v>
      </c>
      <c r="D23" s="118">
        <f>IFERROR(D$14* 0.00364,"")</f>
        <v>247520</v>
      </c>
      <c r="E23" s="118">
        <f t="shared" ref="E23:H23" si="9">IFERROR(E$14* 0.00364,"")</f>
        <v>263077.07400063192</v>
      </c>
      <c r="F23" s="118">
        <f t="shared" si="9"/>
        <v>278333.41978160245</v>
      </c>
      <c r="G23" s="118">
        <f t="shared" si="9"/>
        <v>293316.01751382474</v>
      </c>
      <c r="H23" s="118">
        <f t="shared" si="9"/>
        <v>308047.78213988745</v>
      </c>
      <c r="I23" s="63"/>
      <c r="J23" s="63"/>
      <c r="K23" s="63"/>
      <c r="L23" s="3"/>
      <c r="M23" s="3"/>
      <c r="N23" s="3"/>
      <c r="Q23" s="63"/>
      <c r="R23" s="63"/>
      <c r="S23" s="63"/>
      <c r="T23" s="63"/>
      <c r="U23" s="63"/>
      <c r="V23" s="63"/>
      <c r="W23" s="63"/>
      <c r="X23" s="63"/>
      <c r="Z23" s="120"/>
      <c r="AA23" s="120"/>
      <c r="AB23" s="120"/>
    </row>
    <row r="24" spans="1:28" ht="15" thickBot="1" x14ac:dyDescent="0.4">
      <c r="A24" s="116"/>
      <c r="B24" s="345" t="s">
        <v>182</v>
      </c>
      <c r="C24" s="346"/>
      <c r="D24" s="347">
        <f>IFERROR(D20-D21-D22-D23,"")</f>
        <v>10598061.456983536</v>
      </c>
      <c r="E24" s="347">
        <f>IFERROR(E20-E21-E22-E23,"")</f>
        <v>11264168.544691753</v>
      </c>
      <c r="F24" s="347">
        <f t="shared" ref="F24:H24" si="10">IFERROR(F20-F21-F22-F23,"")</f>
        <v>11917399.355114015</v>
      </c>
      <c r="G24" s="347">
        <f t="shared" si="10"/>
        <v>12558909.097968549</v>
      </c>
      <c r="H24" s="348">
        <f t="shared" si="10"/>
        <v>13189678.922131553</v>
      </c>
      <c r="I24" s="63"/>
      <c r="J24" s="63"/>
      <c r="K24" s="63"/>
      <c r="L24" s="3"/>
      <c r="M24" s="3"/>
      <c r="N24" s="3"/>
      <c r="Q24" s="319" t="s">
        <v>79</v>
      </c>
      <c r="R24" s="320"/>
      <c r="S24" s="121"/>
      <c r="T24" s="325" t="s">
        <v>79</v>
      </c>
      <c r="U24" s="326"/>
      <c r="V24" s="63"/>
      <c r="W24" s="323" t="s">
        <v>79</v>
      </c>
      <c r="X24" s="324"/>
      <c r="Z24" s="120"/>
      <c r="AA24" s="120"/>
      <c r="AB24" s="120"/>
    </row>
    <row r="25" spans="1:28" ht="15" customHeight="1" thickBot="1" x14ac:dyDescent="0.4">
      <c r="A25" s="116"/>
      <c r="B25" s="306" t="s">
        <v>184</v>
      </c>
      <c r="C25" s="306"/>
      <c r="D25" s="306">
        <f t="shared" ref="D25:G25" si="11">IFERROR((D$24*(1+$C$8))/($C$7-$C$8),"")</f>
        <v>157456913.07518396</v>
      </c>
      <c r="E25" s="353">
        <f t="shared" si="11"/>
        <v>167353361.23542032</v>
      </c>
      <c r="F25" s="306">
        <f t="shared" si="11"/>
        <v>177058504.70455107</v>
      </c>
      <c r="G25" s="306">
        <f t="shared" si="11"/>
        <v>186589506.59838986</v>
      </c>
      <c r="H25" s="270">
        <f>IFERROR((H$24*(1+$C$8))/($C$7-$C$8),"")</f>
        <v>195960943.98595449</v>
      </c>
      <c r="I25" s="342" t="s">
        <v>192</v>
      </c>
      <c r="J25" s="308"/>
      <c r="K25" s="308"/>
      <c r="L25" s="308"/>
      <c r="M25" s="308"/>
      <c r="N25" s="308"/>
      <c r="O25" s="308"/>
      <c r="P25" s="170"/>
      <c r="Q25" s="219" t="s">
        <v>80</v>
      </c>
      <c r="R25" s="230">
        <f>IFERROR(R15*R10,"")</f>
        <v>235890.4109589041</v>
      </c>
      <c r="S25" s="63"/>
      <c r="T25" s="219" t="s">
        <v>80</v>
      </c>
      <c r="U25" s="230">
        <f>IFERROR(U15*R10,"")</f>
        <v>235890.4109589041</v>
      </c>
      <c r="V25" s="63"/>
      <c r="W25" s="219" t="s">
        <v>80</v>
      </c>
      <c r="X25" s="230">
        <f>IFERROR($X$15*$R$10,"")</f>
        <v>235890.4109589041</v>
      </c>
      <c r="Y25" s="170"/>
      <c r="Z25" s="120"/>
      <c r="AA25" s="120"/>
      <c r="AB25" s="120"/>
    </row>
    <row r="26" spans="1:28" ht="15" thickBot="1" x14ac:dyDescent="0.4">
      <c r="A26" s="116"/>
      <c r="B26" s="349" t="s">
        <v>185</v>
      </c>
      <c r="C26" s="349"/>
      <c r="D26" s="279">
        <f>IFERROR(D$25/(1+$C$7)^1,"")</f>
        <v>141853074.84250805</v>
      </c>
      <c r="E26" s="279">
        <f>IFERROR(E$25/(1+$C$7)^2,"")</f>
        <v>135827742.2574631</v>
      </c>
      <c r="F26" s="307">
        <f>IFERROR(F$25/(1+$C$7)^3,"")</f>
        <v>129463652.62600149</v>
      </c>
      <c r="G26" s="307">
        <f>IFERROR(G$25/(1+$C$7)^4,"")</f>
        <v>122912287.44679227</v>
      </c>
      <c r="H26" s="279">
        <f>IFERROR(H$25/(1+$C$7)^5,"")</f>
        <v>116293282.45607351</v>
      </c>
      <c r="I26" s="343" t="s">
        <v>193</v>
      </c>
      <c r="J26" s="309"/>
      <c r="K26" s="309"/>
      <c r="L26" s="309"/>
      <c r="M26" s="309"/>
      <c r="N26" s="309"/>
      <c r="O26" s="309"/>
      <c r="Q26" s="219" t="s">
        <v>105</v>
      </c>
      <c r="R26" s="226">
        <f>IFERROR(R17*R10,"")</f>
        <v>0.16849315068493151</v>
      </c>
      <c r="S26" s="63"/>
      <c r="T26" s="219" t="s">
        <v>105</v>
      </c>
      <c r="U26" s="226">
        <f>IFERROR(U17*R10,"")</f>
        <v>0.33698630136986302</v>
      </c>
      <c r="V26" s="63"/>
      <c r="W26" s="219" t="s">
        <v>105</v>
      </c>
      <c r="X26" s="226">
        <f>IFERROR($X$17*$R$10,"")</f>
        <v>0.67397260273972603</v>
      </c>
    </row>
    <row r="27" spans="1:28" ht="14" customHeight="1" thickBot="1" x14ac:dyDescent="0.4">
      <c r="A27" s="116"/>
      <c r="B27" s="345" t="s">
        <v>61</v>
      </c>
      <c r="C27" s="351"/>
      <c r="D27" s="347">
        <f>IFERROR(D24/(1+$C$7)^(D13-C13),"")</f>
        <v>9547803.1143995821</v>
      </c>
      <c r="E27" s="347">
        <f>IFERROR(E24/(1+$C$7)^(E13-C13),"")</f>
        <v>9142251.8827138636</v>
      </c>
      <c r="F27" s="347">
        <f>IFERROR(F24/(1+$C$7)^(F13-C13),"")</f>
        <v>8713899.6959808692</v>
      </c>
      <c r="G27" s="347">
        <f>IFERROR(G24/(1+$C$7)^(G13-C13),"")</f>
        <v>8272942.4243033268</v>
      </c>
      <c r="H27" s="348">
        <f>IFERROR(H24/(1+$C$7)^(H13-C13),"")</f>
        <v>7827432.4730049483</v>
      </c>
      <c r="I27" s="63"/>
      <c r="J27" s="63"/>
      <c r="K27" s="63"/>
      <c r="L27" s="3"/>
      <c r="M27" s="2"/>
      <c r="N27" s="2"/>
      <c r="Q27" s="219" t="s">
        <v>106</v>
      </c>
      <c r="R27" s="227">
        <f>IFERROR(R26*R15,"")</f>
        <v>58972.602739726026</v>
      </c>
      <c r="S27" s="63"/>
      <c r="T27" s="219" t="s">
        <v>106</v>
      </c>
      <c r="U27" s="227">
        <f>IFERROR(U26*U15,"")</f>
        <v>117945.20547945205</v>
      </c>
      <c r="V27" s="63"/>
      <c r="W27" s="219" t="s">
        <v>106</v>
      </c>
      <c r="X27" s="227">
        <f>IFERROR(X26*X15,"")</f>
        <v>235890.4109589041</v>
      </c>
    </row>
    <row r="28" spans="1:28" ht="15.5" customHeight="1" thickBot="1" x14ac:dyDescent="0.4">
      <c r="A28" s="116"/>
      <c r="B28" s="350" t="s">
        <v>183</v>
      </c>
      <c r="C28" s="350"/>
      <c r="D28" s="245">
        <f>IFERROR(SUM(C27:D27),"")</f>
        <v>9547803.1143995821</v>
      </c>
      <c r="E28" s="245">
        <f>IFERROR(SUM(D27:E27),"")</f>
        <v>18690054.997113444</v>
      </c>
      <c r="F28" s="245">
        <f>IFERROR(SUM(D27:F27),"")</f>
        <v>27403954.693094313</v>
      </c>
      <c r="G28" s="245">
        <f>IFERROR(SUM(D27:G27),"")</f>
        <v>35676897.117397636</v>
      </c>
      <c r="H28" s="245">
        <f>IFERROR(SUM(D27:H27),"")</f>
        <v>43504329.590402588</v>
      </c>
      <c r="I28" s="203"/>
      <c r="J28" s="204"/>
      <c r="K28" s="204"/>
      <c r="L28" s="201"/>
      <c r="M28" s="205"/>
      <c r="N28" s="205"/>
      <c r="O28" s="205"/>
      <c r="Q28" s="219" t="s">
        <v>101</v>
      </c>
      <c r="R28" s="221" t="str">
        <f>IFERROR($R10*$R$21,"")</f>
        <v/>
      </c>
      <c r="S28" s="63"/>
      <c r="T28" s="219" t="s">
        <v>101</v>
      </c>
      <c r="U28" s="221">
        <f>IFERROR($R10*$U$21,"")</f>
        <v>134794.5205479452</v>
      </c>
      <c r="V28" s="63"/>
      <c r="W28" s="219" t="s">
        <v>101</v>
      </c>
      <c r="X28" s="221">
        <f>IFERROR($R10*$X$21,"")</f>
        <v>202191.78082191781</v>
      </c>
    </row>
    <row r="29" spans="1:28" s="48" customFormat="1" ht="16" customHeight="1" thickTop="1" thickBot="1" x14ac:dyDescent="0.4">
      <c r="A29" s="116"/>
      <c r="B29" s="280" t="s">
        <v>189</v>
      </c>
      <c r="C29" s="280"/>
      <c r="D29" s="278">
        <f>IFERROR(SUM(D27:H27) + H26, "")</f>
        <v>159797612.0464761</v>
      </c>
      <c r="E29" s="352">
        <f>IFERROR(SUM(E27:H27) + H26, "")</f>
        <v>150249808.93207651</v>
      </c>
      <c r="F29" s="278">
        <f>IFERROR(SUM(F27:H27) + H26, "")</f>
        <v>141107557.04936266</v>
      </c>
      <c r="G29" s="278">
        <f>IFERROR(SUM(G27:H27) + H26, "")</f>
        <v>132393657.35338178</v>
      </c>
      <c r="H29" s="278">
        <f>IFERROR(SUM(H27) + H26, "")</f>
        <v>124120714.92907846</v>
      </c>
      <c r="I29" s="288"/>
      <c r="J29" s="288"/>
      <c r="K29" s="288"/>
      <c r="L29" s="288"/>
      <c r="M29" s="288"/>
      <c r="N29" s="288"/>
      <c r="O29" s="288"/>
      <c r="P29" s="168"/>
      <c r="Q29" s="222" t="s">
        <v>75</v>
      </c>
      <c r="R29" s="236" t="str">
        <f>IFERROR(R28+R27+R25,"")</f>
        <v/>
      </c>
      <c r="S29" s="63"/>
      <c r="T29" s="224" t="s">
        <v>75</v>
      </c>
      <c r="U29" s="235">
        <f>IFERROR(U28+U27+U25,"")</f>
        <v>488630.1369863014</v>
      </c>
      <c r="V29" s="63"/>
      <c r="W29" s="224" t="s">
        <v>75</v>
      </c>
      <c r="X29" s="235">
        <f>IFERROR(X28+X27+X25,"")</f>
        <v>673972.60273972596</v>
      </c>
      <c r="Y29" s="168"/>
      <c r="Z29" s="149"/>
      <c r="AA29" s="149"/>
      <c r="AB29" s="149"/>
    </row>
    <row r="30" spans="1:28" ht="18" customHeight="1" x14ac:dyDescent="0.35">
      <c r="A30" s="14"/>
      <c r="B30" s="195"/>
      <c r="C30" s="195"/>
      <c r="D30" s="195"/>
      <c r="E30" s="195"/>
      <c r="F30" s="195"/>
      <c r="G30" s="195"/>
      <c r="H30" s="195"/>
      <c r="I30" s="288"/>
      <c r="J30" s="288"/>
      <c r="K30" s="288"/>
      <c r="L30" s="288"/>
      <c r="M30" s="288"/>
      <c r="N30" s="288"/>
      <c r="O30" s="288"/>
      <c r="Q30" s="228"/>
      <c r="R30" s="229"/>
      <c r="T30" s="124"/>
      <c r="U30" s="125"/>
      <c r="W30" s="124"/>
      <c r="X30" s="125"/>
    </row>
    <row r="31" spans="1:28" ht="14.5" customHeight="1" thickBot="1" x14ac:dyDescent="0.4">
      <c r="A31" s="14"/>
      <c r="B31" s="195"/>
      <c r="C31" s="195"/>
      <c r="D31" s="195"/>
      <c r="E31" s="195"/>
      <c r="F31" s="195"/>
      <c r="G31" s="195"/>
      <c r="H31" s="195"/>
      <c r="I31" s="195"/>
      <c r="J31" s="63"/>
      <c r="K31" s="63"/>
      <c r="L31" s="42"/>
      <c r="M31" s="2"/>
      <c r="N31" s="2"/>
      <c r="O31" s="2"/>
    </row>
    <row r="32" spans="1:28" ht="18.5" customHeight="1" thickBot="1" x14ac:dyDescent="0.4">
      <c r="A32" s="14"/>
      <c r="B32" s="292" t="s">
        <v>174</v>
      </c>
      <c r="C32" s="293"/>
      <c r="D32" s="294"/>
      <c r="E32" s="195"/>
      <c r="F32" s="195"/>
      <c r="G32" s="195"/>
      <c r="H32" s="195"/>
      <c r="I32" s="195"/>
      <c r="J32" s="63"/>
      <c r="K32" s="63"/>
      <c r="L32" s="63"/>
      <c r="M32" s="63"/>
      <c r="N32" s="63"/>
      <c r="O32" s="2"/>
    </row>
    <row r="33" spans="1:28" ht="15" customHeight="1" x14ac:dyDescent="0.35">
      <c r="A33" s="14"/>
      <c r="B33" s="135" t="s">
        <v>74</v>
      </c>
      <c r="C33" s="304">
        <f>E29</f>
        <v>150249808.93207651</v>
      </c>
      <c r="D33" s="305"/>
      <c r="E33" s="63"/>
      <c r="I33" s="63"/>
      <c r="J33" s="63"/>
      <c r="K33" s="63"/>
      <c r="L33" s="63"/>
      <c r="M33" s="63"/>
      <c r="N33" s="63"/>
      <c r="O33" s="2"/>
      <c r="Q33" s="336" t="s">
        <v>130</v>
      </c>
      <c r="R33" s="336"/>
      <c r="T33" s="337" t="s">
        <v>102</v>
      </c>
      <c r="U33" s="337"/>
      <c r="W33" s="271" t="s">
        <v>131</v>
      </c>
      <c r="X33" s="271"/>
    </row>
    <row r="34" spans="1:28" ht="15.5" customHeight="1" thickBot="1" x14ac:dyDescent="0.4">
      <c r="B34" s="136" t="s">
        <v>62</v>
      </c>
      <c r="C34" s="302">
        <f>E25</f>
        <v>167353361.23542032</v>
      </c>
      <c r="D34" s="303"/>
      <c r="L34" s="45"/>
      <c r="M34" s="45"/>
      <c r="N34" s="45"/>
      <c r="O34" s="2"/>
      <c r="Q34" s="336"/>
      <c r="R34" s="336"/>
      <c r="T34" s="337"/>
      <c r="U34" s="337"/>
      <c r="W34" s="271"/>
      <c r="X34" s="271"/>
    </row>
    <row r="35" spans="1:28" ht="15.5" customHeight="1" thickBot="1" x14ac:dyDescent="0.4">
      <c r="B35" s="142" t="s">
        <v>167</v>
      </c>
      <c r="C35" s="300">
        <f>IFERROR(C34-C33,"")</f>
        <v>17103552.303343803</v>
      </c>
      <c r="D35" s="301"/>
      <c r="G35" s="355" t="s">
        <v>173</v>
      </c>
      <c r="H35" s="355"/>
      <c r="I35" s="355"/>
      <c r="L35" s="45"/>
      <c r="M35" s="45"/>
      <c r="N35" s="45"/>
      <c r="O35" s="2"/>
      <c r="Q35" s="315" t="s">
        <v>88</v>
      </c>
      <c r="R35" s="316"/>
      <c r="T35" s="317" t="s">
        <v>88</v>
      </c>
      <c r="U35" s="318"/>
      <c r="W35" s="290" t="s">
        <v>88</v>
      </c>
      <c r="X35" s="291"/>
    </row>
    <row r="36" spans="1:28" ht="14" customHeight="1" x14ac:dyDescent="0.35">
      <c r="L36" s="45"/>
      <c r="M36" s="45"/>
      <c r="N36" s="45"/>
      <c r="O36" s="2"/>
      <c r="Q36" s="219" t="s">
        <v>80</v>
      </c>
      <c r="R36" s="225">
        <f>IFERROR($T$8,"")</f>
        <v>350000</v>
      </c>
      <c r="T36" s="219" t="s">
        <v>80</v>
      </c>
      <c r="U36" s="225">
        <f>IFERROR($T$8,"")</f>
        <v>350000</v>
      </c>
      <c r="W36" s="219" t="s">
        <v>80</v>
      </c>
      <c r="X36" s="225">
        <f>IFERROR($T$8,"")</f>
        <v>350000</v>
      </c>
    </row>
    <row r="37" spans="1:28" ht="14" customHeight="1" thickBot="1" x14ac:dyDescent="0.4">
      <c r="L37" s="45"/>
      <c r="M37" s="45"/>
      <c r="N37" s="45"/>
      <c r="O37" s="2"/>
      <c r="Q37" s="217"/>
      <c r="R37" s="218" t="s">
        <v>126</v>
      </c>
      <c r="S37" s="63"/>
      <c r="T37" s="217"/>
      <c r="U37" s="218" t="s">
        <v>127</v>
      </c>
      <c r="V37" s="63"/>
      <c r="W37" s="217"/>
      <c r="X37" s="218" t="s">
        <v>126</v>
      </c>
    </row>
    <row r="38" spans="1:28" ht="16.5" customHeight="1" thickBot="1" x14ac:dyDescent="0.4">
      <c r="B38" s="310" t="s">
        <v>196</v>
      </c>
      <c r="C38" s="311"/>
      <c r="D38" s="311"/>
      <c r="E38" s="312"/>
      <c r="G38" s="372" t="s">
        <v>187</v>
      </c>
      <c r="H38" s="373"/>
      <c r="I38" s="374"/>
      <c r="L38" s="45"/>
      <c r="M38" s="45"/>
      <c r="N38" s="45"/>
      <c r="O38" s="2"/>
      <c r="Q38" s="219" t="s">
        <v>105</v>
      </c>
      <c r="R38" s="220">
        <f>_xlfn.XLOOKUP(R$37,$Z$3:$Z$9,$AB$3:$AB$9,"")</f>
        <v>0.36499999999999999</v>
      </c>
      <c r="T38" s="219" t="s">
        <v>105</v>
      </c>
      <c r="U38" s="220">
        <f>_xlfn.XLOOKUP(U$37,$Z$3:$Z$9,$AB$3:$AB$9,"")</f>
        <v>0.63500000000000001</v>
      </c>
      <c r="W38" s="219" t="s">
        <v>105</v>
      </c>
      <c r="X38" s="220">
        <f>_xlfn.XLOOKUP(X$37,$Z$3:$Z$9,$AB$3:$AB$9,"")</f>
        <v>0.36499999999999999</v>
      </c>
    </row>
    <row r="39" spans="1:28" ht="26.5" customHeight="1" thickBot="1" x14ac:dyDescent="0.4">
      <c r="B39" s="231" t="s">
        <v>107</v>
      </c>
      <c r="C39" s="232" t="s">
        <v>71</v>
      </c>
      <c r="D39" s="232" t="s">
        <v>83</v>
      </c>
      <c r="E39" s="233" t="s">
        <v>68</v>
      </c>
      <c r="F39" s="244"/>
      <c r="G39" s="231" t="s">
        <v>180</v>
      </c>
      <c r="H39" s="234" t="s">
        <v>90</v>
      </c>
      <c r="I39" s="234" t="s">
        <v>138</v>
      </c>
      <c r="L39" s="45"/>
      <c r="M39" s="45"/>
      <c r="N39" s="45"/>
      <c r="O39" s="2"/>
      <c r="Q39" s="219" t="s">
        <v>106</v>
      </c>
      <c r="R39" s="221">
        <f>IFERROR(R38*R36,"")</f>
        <v>127750</v>
      </c>
      <c r="T39" s="219" t="s">
        <v>106</v>
      </c>
      <c r="U39" s="221">
        <f>IFERROR(U38*U36,"")</f>
        <v>222250</v>
      </c>
      <c r="W39" s="219" t="s">
        <v>106</v>
      </c>
      <c r="X39" s="221">
        <f>IFERROR(X38*X36,"")</f>
        <v>127750</v>
      </c>
    </row>
    <row r="40" spans="1:28" ht="16" customHeight="1" thickBot="1" x14ac:dyDescent="0.4">
      <c r="B40" s="198">
        <f>IFERROR(B41*C40,"")</f>
        <v>15.393197073009423</v>
      </c>
      <c r="C40" s="196">
        <v>0.9</v>
      </c>
      <c r="D40" s="196">
        <v>0.5</v>
      </c>
      <c r="E40" s="137" t="s">
        <v>69</v>
      </c>
      <c r="G40" s="363">
        <v>32</v>
      </c>
      <c r="H40" s="366">
        <f>IFERROR(G40/B41,"")</f>
        <v>1.8709563623074892</v>
      </c>
      <c r="I40" s="369">
        <f>IFERROR(
  IF(ISNUMBER(H40),
    IF(H40 &lt; C40, 0,
      IF(H40 &lt; C41, D40 + (H40 - C40)*(D41 - D40)/(C41 - C40),
        IF(H40 &lt; C42, D41 + (H40 - C41)*(D42 - D41)/(C42 - C41),
          D42))),
    0) * T10,
"")</f>
        <v>300000</v>
      </c>
      <c r="L40" s="45"/>
      <c r="M40" s="45"/>
      <c r="N40" s="45"/>
      <c r="O40" s="2"/>
      <c r="Q40" s="222" t="s">
        <v>76</v>
      </c>
      <c r="R40" s="223">
        <f>IFERROR(R39+R36,"")</f>
        <v>477750</v>
      </c>
      <c r="T40" s="222" t="s">
        <v>76</v>
      </c>
      <c r="U40" s="223">
        <f>IFERROR(U39+U36,"")</f>
        <v>572250</v>
      </c>
      <c r="W40" s="222" t="s">
        <v>76</v>
      </c>
      <c r="X40" s="223">
        <f>IFERROR(X39+X36,"")</f>
        <v>477750</v>
      </c>
    </row>
    <row r="41" spans="1:28" ht="15" thickBot="1" x14ac:dyDescent="0.4">
      <c r="B41" s="237">
        <f>IFERROR(($C$35)/1000000,"")</f>
        <v>17.103552303343804</v>
      </c>
      <c r="C41" s="141">
        <v>1</v>
      </c>
      <c r="D41" s="129">
        <v>1</v>
      </c>
      <c r="E41" s="210" t="s">
        <v>70</v>
      </c>
      <c r="G41" s="364"/>
      <c r="H41" s="367"/>
      <c r="I41" s="370"/>
      <c r="L41" s="140"/>
      <c r="M41" s="45"/>
      <c r="N41" s="45"/>
      <c r="O41" s="2"/>
      <c r="Q41" s="217"/>
      <c r="R41" s="218" t="s">
        <v>128</v>
      </c>
      <c r="S41" s="63" t="s">
        <v>67</v>
      </c>
      <c r="T41" s="217"/>
      <c r="U41" s="218" t="s">
        <v>129</v>
      </c>
      <c r="V41" s="63"/>
      <c r="W41" s="217"/>
      <c r="X41" s="218" t="s">
        <v>123</v>
      </c>
    </row>
    <row r="42" spans="1:28" ht="15" customHeight="1" thickBot="1" x14ac:dyDescent="0.4">
      <c r="B42" s="199">
        <f>IFERROR($B$41*$C$42,"")</f>
        <v>18.813907533678186</v>
      </c>
      <c r="C42" s="197">
        <v>1.1000000000000001</v>
      </c>
      <c r="D42" s="197">
        <v>1.5</v>
      </c>
      <c r="E42" s="138" t="s">
        <v>89</v>
      </c>
      <c r="G42" s="365"/>
      <c r="H42" s="368"/>
      <c r="I42" s="371"/>
      <c r="L42" s="45"/>
      <c r="M42" s="45"/>
      <c r="N42" s="45"/>
      <c r="O42" s="2"/>
      <c r="Q42" s="219" t="s">
        <v>81</v>
      </c>
      <c r="R42" s="221">
        <f>_xlfn.XLOOKUP(R$41,$Z$11:$Z$16,$AB$11:$AB$16,"")</f>
        <v>126000</v>
      </c>
      <c r="T42" s="219" t="s">
        <v>81</v>
      </c>
      <c r="U42" s="221">
        <f>_xlfn.XLOOKUP(U$41,$Z$11:$Z$16,$AB$11:$AB$16,"")</f>
        <v>246000</v>
      </c>
      <c r="W42" s="219" t="s">
        <v>81</v>
      </c>
      <c r="X42" s="221">
        <f>_xlfn.XLOOKUP(X$41,$Z$11:$Z$16,$AB$11:$AB$16,"")</f>
        <v>200000</v>
      </c>
    </row>
    <row r="43" spans="1:28" ht="14.5" customHeight="1" x14ac:dyDescent="0.35">
      <c r="B43" s="426" t="s">
        <v>199</v>
      </c>
      <c r="C43" s="426"/>
      <c r="D43" s="426"/>
      <c r="E43" s="426"/>
      <c r="F43" s="426"/>
      <c r="L43" s="45"/>
      <c r="M43" s="45"/>
      <c r="N43" s="45"/>
      <c r="O43" s="2"/>
      <c r="Q43" s="224" t="s">
        <v>75</v>
      </c>
      <c r="R43" s="235">
        <f>IFERROR(R42+R40,"")</f>
        <v>603750</v>
      </c>
      <c r="T43" s="224" t="s">
        <v>75</v>
      </c>
      <c r="U43" s="235">
        <f>IFERROR(U42+U40,"")</f>
        <v>818250</v>
      </c>
      <c r="W43" s="224" t="s">
        <v>75</v>
      </c>
      <c r="X43" s="235">
        <f>IFERROR(X42+X40,"")</f>
        <v>677750</v>
      </c>
    </row>
    <row r="44" spans="1:28" s="46" customFormat="1" ht="14.65" customHeight="1" thickBot="1" x14ac:dyDescent="0.4">
      <c r="B44" s="426"/>
      <c r="C44" s="426"/>
      <c r="D44" s="426"/>
      <c r="E44" s="426"/>
      <c r="F44" s="426"/>
      <c r="J44" s="47"/>
      <c r="K44" s="122"/>
      <c r="L44" s="42"/>
      <c r="M44" s="2"/>
      <c r="N44" s="2"/>
      <c r="O44" s="2"/>
      <c r="P44" s="171"/>
      <c r="Q44" s="63"/>
      <c r="R44" s="63"/>
      <c r="S44" s="45"/>
      <c r="T44" s="63"/>
      <c r="U44" s="63"/>
      <c r="V44" s="45"/>
      <c r="W44" s="63"/>
      <c r="X44" s="63"/>
      <c r="Y44" s="171"/>
      <c r="Z44" s="156"/>
      <c r="AA44" s="156"/>
      <c r="AB44" s="156"/>
    </row>
    <row r="45" spans="1:28" ht="14.5" customHeight="1" thickBot="1" x14ac:dyDescent="0.4">
      <c r="B45" s="426"/>
      <c r="C45" s="426"/>
      <c r="D45" s="426"/>
      <c r="E45" s="426"/>
      <c r="F45" s="426"/>
      <c r="G45" s="359" t="s">
        <v>169</v>
      </c>
      <c r="H45" s="359"/>
      <c r="I45" s="359"/>
      <c r="L45" s="45"/>
      <c r="M45" s="45"/>
      <c r="N45" s="45"/>
      <c r="O45" s="2"/>
      <c r="Q45" s="315" t="s">
        <v>79</v>
      </c>
      <c r="R45" s="316"/>
      <c r="T45" s="317" t="s">
        <v>79</v>
      </c>
      <c r="U45" s="318"/>
      <c r="W45" s="290" t="s">
        <v>79</v>
      </c>
      <c r="X45" s="291"/>
    </row>
    <row r="46" spans="1:28" ht="15" customHeight="1" x14ac:dyDescent="0.35">
      <c r="B46" s="426"/>
      <c r="C46" s="426"/>
      <c r="D46" s="426"/>
      <c r="E46" s="426"/>
      <c r="F46" s="426"/>
      <c r="G46" s="356" t="s">
        <v>88</v>
      </c>
      <c r="H46" s="357"/>
      <c r="I46" s="358"/>
      <c r="L46" s="127"/>
      <c r="M46" s="2"/>
      <c r="N46" s="2"/>
      <c r="O46" s="2"/>
      <c r="Q46" s="219" t="s">
        <v>105</v>
      </c>
      <c r="R46" s="226">
        <f>IFERROR(R38*R10,"")</f>
        <v>0.246</v>
      </c>
      <c r="T46" s="219" t="s">
        <v>105</v>
      </c>
      <c r="U46" s="226">
        <f>IFERROR(U38*R10,"")</f>
        <v>0.42797260273972604</v>
      </c>
      <c r="W46" s="219" t="s">
        <v>105</v>
      </c>
      <c r="X46" s="226">
        <f>IFERROR(X38*U10,"")</f>
        <v>0</v>
      </c>
    </row>
    <row r="47" spans="1:28" ht="16" customHeight="1" x14ac:dyDescent="0.35">
      <c r="B47" s="426"/>
      <c r="C47" s="426"/>
      <c r="D47" s="426"/>
      <c r="E47" s="426"/>
      <c r="F47" s="426"/>
      <c r="G47" s="281" t="s">
        <v>80</v>
      </c>
      <c r="H47" s="282"/>
      <c r="I47" s="272">
        <f>IFERROR($T$8,"")</f>
        <v>350000</v>
      </c>
      <c r="L47" s="42"/>
      <c r="M47" s="2"/>
      <c r="N47" s="2"/>
      <c r="O47" s="2"/>
      <c r="Q47" s="219" t="s">
        <v>106</v>
      </c>
      <c r="R47" s="227">
        <f>IFERROR(R46*R36,"")</f>
        <v>86100</v>
      </c>
      <c r="T47" s="219" t="s">
        <v>106</v>
      </c>
      <c r="U47" s="227">
        <f>IFERROR(U46*U36,"")</f>
        <v>149790.4109589041</v>
      </c>
      <c r="W47" s="219" t="s">
        <v>106</v>
      </c>
      <c r="X47" s="227">
        <f>IFERROR(X46*X36,"")</f>
        <v>0</v>
      </c>
    </row>
    <row r="48" spans="1:28" s="46" customFormat="1" ht="14.25" customHeight="1" thickBot="1" x14ac:dyDescent="0.4">
      <c r="B48" s="426"/>
      <c r="C48" s="426"/>
      <c r="D48" s="426"/>
      <c r="E48" s="426"/>
      <c r="F48" s="426"/>
      <c r="G48" s="283" t="s">
        <v>170</v>
      </c>
      <c r="H48" s="258"/>
      <c r="I48" s="273">
        <v>0.5</v>
      </c>
      <c r="J48" s="47"/>
      <c r="K48" s="122"/>
      <c r="L48" s="42"/>
      <c r="M48" s="2"/>
      <c r="N48" s="2"/>
      <c r="O48" s="2"/>
      <c r="P48" s="65"/>
      <c r="Q48" s="219" t="s">
        <v>101</v>
      </c>
      <c r="R48" s="221">
        <f>IFERROR($R42*$R$10,"")</f>
        <v>84920.547945205486</v>
      </c>
      <c r="S48" s="45"/>
      <c r="T48" s="219" t="s">
        <v>101</v>
      </c>
      <c r="U48" s="221">
        <f>IFERROR($U42*$R$10,"")</f>
        <v>165797.26027397261</v>
      </c>
      <c r="V48" s="45"/>
      <c r="W48" s="219" t="s">
        <v>101</v>
      </c>
      <c r="X48" s="221">
        <f>IFERROR($X42*$R$10,"")</f>
        <v>134794.5205479452</v>
      </c>
      <c r="Y48" s="65"/>
      <c r="Z48" s="156"/>
      <c r="AA48" s="156"/>
      <c r="AB48" s="156"/>
    </row>
    <row r="49" spans="1:28" s="46" customFormat="1" ht="14.25" customHeight="1" outlineLevel="1" thickTop="1" thickBot="1" x14ac:dyDescent="0.4">
      <c r="B49" s="426"/>
      <c r="C49" s="426"/>
      <c r="D49" s="426"/>
      <c r="E49" s="426"/>
      <c r="F49" s="426"/>
      <c r="G49" s="264" t="s">
        <v>171</v>
      </c>
      <c r="I49" s="267">
        <f>IFERROR(I48*I47,"")</f>
        <v>175000</v>
      </c>
      <c r="J49" s="47"/>
      <c r="K49" s="122"/>
      <c r="L49" s="42"/>
      <c r="M49" s="2"/>
      <c r="N49" s="2"/>
      <c r="O49" s="2"/>
      <c r="P49" s="65"/>
      <c r="Q49" s="224" t="s">
        <v>75</v>
      </c>
      <c r="R49" s="235" t="str">
        <f>IFERROR(R48+R47+#REF!,"")</f>
        <v/>
      </c>
      <c r="S49" s="45"/>
      <c r="T49" s="224" t="s">
        <v>75</v>
      </c>
      <c r="U49" s="235" t="str">
        <f>IFERROR(U48+U47+#REF!,"")</f>
        <v/>
      </c>
      <c r="V49" s="45"/>
      <c r="W49" s="224" t="s">
        <v>75</v>
      </c>
      <c r="X49" s="235" t="str">
        <f>IFERROR(X48+X47+#REF!,"")</f>
        <v/>
      </c>
      <c r="Y49" s="65"/>
      <c r="Z49" s="156"/>
      <c r="AA49" s="156"/>
      <c r="AB49" s="156"/>
    </row>
    <row r="50" spans="1:28" s="46" customFormat="1" ht="14.25" customHeight="1" thickTop="1" x14ac:dyDescent="0.35">
      <c r="B50" s="426"/>
      <c r="C50" s="426"/>
      <c r="D50" s="426"/>
      <c r="E50" s="426"/>
      <c r="F50" s="426"/>
      <c r="G50" s="284" t="s">
        <v>76</v>
      </c>
      <c r="H50" s="285"/>
      <c r="I50" s="274">
        <f>IFERROR(I49+I47,"")</f>
        <v>525000</v>
      </c>
      <c r="J50" s="47"/>
      <c r="K50" s="122"/>
      <c r="L50" s="42"/>
      <c r="M50" s="2"/>
      <c r="N50" s="2"/>
      <c r="O50" s="2"/>
      <c r="P50" s="65"/>
      <c r="Q50" s="45"/>
      <c r="R50" s="45"/>
      <c r="S50" s="45"/>
      <c r="T50" s="45"/>
      <c r="U50" s="45"/>
      <c r="V50" s="45"/>
      <c r="W50" s="45"/>
      <c r="X50" s="45"/>
      <c r="Y50" s="65"/>
      <c r="Z50" s="156"/>
      <c r="AA50" s="156"/>
      <c r="AB50" s="156"/>
    </row>
    <row r="51" spans="1:28" s="47" customFormat="1" ht="14.65" customHeight="1" thickBot="1" x14ac:dyDescent="0.4">
      <c r="G51" s="283" t="s">
        <v>181</v>
      </c>
      <c r="H51" s="258"/>
      <c r="I51" s="275">
        <f>IFERROR($I$40,"")</f>
        <v>300000</v>
      </c>
      <c r="J51" s="123"/>
      <c r="K51" s="123"/>
      <c r="L51" s="97"/>
      <c r="M51" s="2"/>
      <c r="N51" s="2"/>
      <c r="O51" s="2"/>
      <c r="P51" s="171"/>
      <c r="Q51" s="45"/>
      <c r="R51" s="45"/>
      <c r="S51" s="45"/>
      <c r="T51" s="45"/>
      <c r="U51" s="45"/>
      <c r="V51" s="45"/>
      <c r="W51" s="45"/>
      <c r="X51" s="45"/>
      <c r="Y51" s="171"/>
      <c r="Z51" s="149"/>
      <c r="AA51" s="149"/>
      <c r="AB51" s="149"/>
    </row>
    <row r="52" spans="1:28" s="47" customFormat="1" ht="15" thickTop="1" x14ac:dyDescent="0.35">
      <c r="G52" s="286" t="s">
        <v>75</v>
      </c>
      <c r="H52" s="287"/>
      <c r="I52" s="276">
        <f>IFERROR(I51+I50,"")</f>
        <v>825000</v>
      </c>
      <c r="J52" s="123"/>
      <c r="K52" s="123"/>
      <c r="L52" s="97"/>
      <c r="M52" s="2"/>
      <c r="N52" s="2"/>
      <c r="O52" s="2"/>
      <c r="P52" s="171"/>
      <c r="Q52" s="45"/>
      <c r="R52" s="45"/>
      <c r="S52" s="45"/>
      <c r="T52" s="45"/>
      <c r="U52" s="45"/>
      <c r="V52" s="45"/>
      <c r="W52" s="45"/>
      <c r="X52" s="45"/>
      <c r="Y52" s="171"/>
      <c r="Z52" s="149"/>
      <c r="AA52" s="149"/>
      <c r="AB52" s="149"/>
    </row>
    <row r="53" spans="1:28" ht="15" customHeight="1" x14ac:dyDescent="0.35">
      <c r="G53" s="360" t="s">
        <v>186</v>
      </c>
      <c r="H53" s="360"/>
      <c r="I53" s="360"/>
      <c r="J53" s="98"/>
      <c r="K53" s="98"/>
      <c r="L53" s="97"/>
      <c r="M53" s="2"/>
      <c r="N53" s="2"/>
      <c r="O53" s="2"/>
      <c r="P53" s="171"/>
      <c r="Y53" s="171"/>
    </row>
    <row r="54" spans="1:28" x14ac:dyDescent="0.35">
      <c r="A54" s="116"/>
      <c r="B54" s="98"/>
      <c r="C54" s="132"/>
      <c r="D54" s="132"/>
      <c r="E54" s="132"/>
      <c r="F54" s="132"/>
      <c r="G54" s="361"/>
      <c r="H54" s="361"/>
      <c r="I54" s="361"/>
      <c r="J54" s="98"/>
      <c r="K54" s="98"/>
      <c r="L54" s="97"/>
      <c r="M54" s="2"/>
      <c r="N54" s="2"/>
      <c r="O54" s="2"/>
    </row>
    <row r="55" spans="1:28" ht="14.5" customHeight="1" x14ac:dyDescent="0.35">
      <c r="A55" s="14"/>
      <c r="C55" s="98"/>
      <c r="D55" s="98"/>
      <c r="E55" s="98"/>
      <c r="F55" s="98"/>
      <c r="J55" s="98"/>
      <c r="K55" s="98"/>
      <c r="L55" s="97"/>
      <c r="M55" s="2"/>
      <c r="N55" s="2"/>
      <c r="O55" s="45"/>
      <c r="P55" s="171"/>
      <c r="Y55" s="171"/>
    </row>
    <row r="56" spans="1:28" x14ac:dyDescent="0.35">
      <c r="A56" s="14"/>
      <c r="C56" s="98"/>
      <c r="D56" s="98"/>
      <c r="E56" s="98"/>
      <c r="F56" s="98"/>
      <c r="J56" s="98"/>
      <c r="K56" s="98"/>
      <c r="L56" s="97"/>
      <c r="M56" s="2"/>
      <c r="N56" s="2"/>
      <c r="O56" s="45"/>
      <c r="P56" s="171"/>
      <c r="Y56" s="171"/>
    </row>
    <row r="57" spans="1:28" ht="14.5" customHeight="1" x14ac:dyDescent="0.35">
      <c r="A57" s="14"/>
      <c r="C57" s="98"/>
      <c r="D57" s="98"/>
      <c r="E57" s="98"/>
      <c r="F57" s="98"/>
      <c r="G57" s="356" t="s">
        <v>172</v>
      </c>
      <c r="H57" s="357"/>
      <c r="I57" s="358"/>
      <c r="J57" s="98"/>
      <c r="K57" s="98"/>
      <c r="L57" s="97"/>
      <c r="M57" s="2"/>
      <c r="N57" s="2"/>
      <c r="O57" s="45"/>
      <c r="P57" s="171"/>
      <c r="Y57" s="171"/>
    </row>
    <row r="58" spans="1:28" x14ac:dyDescent="0.35">
      <c r="A58" s="14"/>
      <c r="B58" s="98"/>
      <c r="C58" s="132"/>
      <c r="D58" s="132"/>
      <c r="E58" s="132"/>
      <c r="F58" s="132"/>
      <c r="G58" s="281" t="s">
        <v>80</v>
      </c>
      <c r="H58" s="282"/>
      <c r="I58" s="263">
        <f>IFERROR($R$10*I47,"")</f>
        <v>235890.4109589041</v>
      </c>
      <c r="J58" s="98"/>
      <c r="K58" s="257"/>
      <c r="L58" s="97"/>
      <c r="M58" s="2"/>
      <c r="N58" s="2"/>
      <c r="O58" s="2"/>
    </row>
    <row r="59" spans="1:28" x14ac:dyDescent="0.35">
      <c r="A59" s="14"/>
      <c r="C59" s="98"/>
      <c r="D59" s="98"/>
      <c r="E59" s="98"/>
      <c r="F59" s="98"/>
      <c r="G59" s="283" t="s">
        <v>170</v>
      </c>
      <c r="H59" s="258"/>
      <c r="I59" s="265">
        <f>IFERROR(R10*I48,"")</f>
        <v>0.33698630136986302</v>
      </c>
      <c r="J59" s="98"/>
      <c r="K59" s="98"/>
      <c r="L59" s="97"/>
      <c r="M59" s="2"/>
      <c r="N59" s="2"/>
      <c r="O59" s="45"/>
      <c r="P59" s="171"/>
      <c r="Y59" s="171"/>
    </row>
    <row r="60" spans="1:28" ht="15" customHeight="1" x14ac:dyDescent="0.35">
      <c r="G60" s="283" t="s">
        <v>171</v>
      </c>
      <c r="H60" s="258"/>
      <c r="I60" s="266">
        <f>IFERROR(I59*I47,"")</f>
        <v>117945.20547945205</v>
      </c>
      <c r="L60" s="45"/>
      <c r="M60" s="45"/>
      <c r="N60" s="45"/>
      <c r="O60" s="2"/>
    </row>
    <row r="61" spans="1:28" ht="15" customHeight="1" thickBot="1" x14ac:dyDescent="0.4">
      <c r="A61" s="116"/>
      <c r="C61" s="98"/>
      <c r="D61" s="98"/>
      <c r="E61" s="98"/>
      <c r="F61" s="98"/>
      <c r="G61" s="264" t="s">
        <v>181</v>
      </c>
      <c r="H61" s="66"/>
      <c r="I61" s="267">
        <f>IFERROR($I$51*$R$10,"")</f>
        <v>202191.78082191781</v>
      </c>
      <c r="J61" s="98"/>
      <c r="K61" s="98"/>
      <c r="L61" s="97"/>
      <c r="M61" s="2"/>
      <c r="N61" s="2"/>
      <c r="O61" s="45"/>
      <c r="P61" s="45"/>
      <c r="Y61" s="45"/>
      <c r="Z61" s="45"/>
    </row>
    <row r="62" spans="1:28" ht="15" customHeight="1" thickTop="1" x14ac:dyDescent="0.35">
      <c r="A62" s="14"/>
      <c r="C62" s="98"/>
      <c r="D62" s="98"/>
      <c r="E62" s="98"/>
      <c r="F62" s="98"/>
      <c r="G62" s="268" t="s">
        <v>75</v>
      </c>
      <c r="H62" s="277"/>
      <c r="I62" s="269">
        <f>IFERROR(I61+I60+I58,"")</f>
        <v>556027.39726027392</v>
      </c>
      <c r="J62" s="98"/>
      <c r="K62" s="98"/>
      <c r="L62" s="97"/>
      <c r="M62" s="2"/>
      <c r="N62" s="2"/>
      <c r="O62" s="45"/>
      <c r="P62" s="45"/>
      <c r="Y62" s="45"/>
      <c r="Z62" s="45"/>
    </row>
    <row r="63" spans="1:28" ht="15" customHeight="1" x14ac:dyDescent="0.35">
      <c r="A63" s="14"/>
      <c r="C63" s="98"/>
      <c r="D63" s="98"/>
      <c r="E63" s="98"/>
      <c r="F63" s="98"/>
      <c r="G63" s="98"/>
      <c r="H63" s="98"/>
      <c r="I63" s="98"/>
      <c r="J63" s="98"/>
      <c r="K63" s="98"/>
      <c r="L63" s="97"/>
      <c r="M63" s="2"/>
      <c r="N63" s="2"/>
      <c r="O63" s="45"/>
      <c r="P63" s="45"/>
      <c r="Y63" s="45"/>
      <c r="Z63" s="45"/>
    </row>
    <row r="64" spans="1:28" x14ac:dyDescent="0.35">
      <c r="A64" s="14"/>
      <c r="C64" s="98"/>
      <c r="D64" s="98"/>
      <c r="E64" s="98"/>
      <c r="F64" s="98"/>
      <c r="G64" s="98"/>
      <c r="H64" s="98"/>
      <c r="I64" s="98"/>
      <c r="J64" s="98"/>
      <c r="K64" s="98"/>
      <c r="L64" s="97"/>
      <c r="M64" s="2"/>
      <c r="N64" s="2"/>
      <c r="O64" s="45"/>
      <c r="P64" s="45"/>
      <c r="Y64" s="45"/>
      <c r="Z64" s="45"/>
    </row>
    <row r="65" spans="1:26" x14ac:dyDescent="0.35">
      <c r="A65" s="14"/>
      <c r="C65" s="98"/>
      <c r="D65" s="98"/>
      <c r="E65" s="98"/>
      <c r="F65" s="98"/>
      <c r="G65" s="98"/>
      <c r="H65" s="98"/>
      <c r="I65" s="98"/>
      <c r="J65" s="98"/>
      <c r="K65" s="98"/>
      <c r="L65" s="97"/>
      <c r="M65" s="21"/>
      <c r="N65" s="21"/>
      <c r="O65" s="45"/>
      <c r="P65" s="45"/>
      <c r="Y65" s="45"/>
      <c r="Z65" s="45"/>
    </row>
    <row r="66" spans="1:26" x14ac:dyDescent="0.35">
      <c r="A66" s="9"/>
      <c r="C66" s="98"/>
      <c r="D66" s="98"/>
      <c r="E66" s="98"/>
      <c r="F66" s="98"/>
      <c r="G66" s="98"/>
      <c r="H66" s="98"/>
      <c r="I66" s="98"/>
      <c r="J66" s="98"/>
      <c r="K66" s="98"/>
      <c r="L66" s="99"/>
      <c r="M66" s="21"/>
      <c r="N66" s="21"/>
      <c r="O66" s="45"/>
      <c r="P66" s="45"/>
      <c r="Y66" s="45"/>
      <c r="Z66" s="45"/>
    </row>
    <row r="67" spans="1:26" x14ac:dyDescent="0.35">
      <c r="A67" s="14"/>
      <c r="C67" s="98"/>
      <c r="D67" s="98"/>
      <c r="E67" s="98"/>
      <c r="F67" s="98"/>
      <c r="G67" s="98"/>
      <c r="H67" s="98"/>
      <c r="I67" s="98"/>
      <c r="J67" s="98"/>
      <c r="K67" s="98"/>
      <c r="L67" s="97"/>
      <c r="M67" s="183"/>
      <c r="N67" s="183"/>
      <c r="O67" s="45"/>
      <c r="P67" s="45"/>
      <c r="Y67" s="45"/>
      <c r="Z67" s="45"/>
    </row>
    <row r="68" spans="1:26" x14ac:dyDescent="0.35">
      <c r="A68" s="14"/>
      <c r="C68" s="98"/>
      <c r="D68" s="98"/>
      <c r="E68" s="98"/>
      <c r="F68" s="98"/>
      <c r="G68" s="98"/>
      <c r="H68" s="98"/>
      <c r="I68" s="98"/>
      <c r="J68" s="98"/>
      <c r="K68" s="98"/>
      <c r="L68" s="100"/>
      <c r="M68" s="21"/>
      <c r="N68" s="21"/>
      <c r="O68" s="45"/>
      <c r="P68" s="45"/>
      <c r="Y68" s="45"/>
      <c r="Z68" s="45"/>
    </row>
    <row r="69" spans="1:26" x14ac:dyDescent="0.35">
      <c r="A69" s="14"/>
      <c r="C69" s="98"/>
      <c r="D69" s="98"/>
      <c r="E69" s="98"/>
      <c r="F69" s="98"/>
      <c r="G69" s="143"/>
      <c r="H69" s="143"/>
      <c r="I69" s="98"/>
      <c r="J69" s="98"/>
      <c r="K69" s="98"/>
      <c r="L69" s="100"/>
      <c r="M69" s="21"/>
      <c r="N69" s="21"/>
      <c r="O69" s="45"/>
      <c r="P69" s="45"/>
      <c r="Y69" s="45"/>
      <c r="Z69" s="45"/>
    </row>
    <row r="70" spans="1:26" x14ac:dyDescent="0.35">
      <c r="A70" s="14"/>
      <c r="C70" s="98"/>
      <c r="D70" s="98"/>
      <c r="E70" s="98"/>
      <c r="F70" s="98"/>
      <c r="I70" s="98"/>
      <c r="J70" s="98"/>
      <c r="K70" s="98"/>
      <c r="L70" s="100"/>
      <c r="M70" s="21"/>
      <c r="N70" s="21"/>
      <c r="O70" s="45"/>
      <c r="P70" s="45"/>
      <c r="Y70" s="45"/>
      <c r="Z70" s="45"/>
    </row>
    <row r="71" spans="1:26" x14ac:dyDescent="0.35">
      <c r="A71" s="14"/>
      <c r="C71" s="98"/>
      <c r="D71" s="98"/>
      <c r="E71" s="98"/>
      <c r="F71" s="98"/>
      <c r="I71" s="98"/>
      <c r="J71" s="98"/>
      <c r="K71" s="98"/>
      <c r="L71" s="100"/>
      <c r="M71" s="21"/>
      <c r="N71" s="21"/>
      <c r="O71" s="45"/>
      <c r="P71" s="45"/>
      <c r="Y71" s="45"/>
      <c r="Z71" s="45"/>
    </row>
    <row r="72" spans="1:26" x14ac:dyDescent="0.35">
      <c r="A72" s="14"/>
      <c r="C72" s="98"/>
      <c r="D72" s="98"/>
      <c r="E72" s="98"/>
      <c r="F72" s="98"/>
      <c r="I72" s="98"/>
      <c r="J72" s="98"/>
      <c r="K72" s="98"/>
      <c r="L72" s="100"/>
      <c r="M72" s="21"/>
      <c r="N72" s="21"/>
      <c r="O72" s="45"/>
      <c r="P72" s="45"/>
      <c r="Y72" s="45"/>
      <c r="Z72" s="45"/>
    </row>
    <row r="73" spans="1:26" x14ac:dyDescent="0.35">
      <c r="A73" s="143"/>
      <c r="B73" s="143"/>
      <c r="C73" s="143"/>
      <c r="D73" s="143"/>
      <c r="E73" s="143"/>
      <c r="F73" s="143"/>
      <c r="I73" s="143"/>
      <c r="J73" s="143"/>
      <c r="K73" s="143"/>
      <c r="L73" s="143"/>
      <c r="N73" s="21"/>
      <c r="O73" s="45"/>
      <c r="P73" s="45"/>
      <c r="Y73" s="45"/>
      <c r="Z73" s="45"/>
    </row>
  </sheetData>
  <mergeCells count="12">
    <mergeCell ref="AC1:AC3"/>
    <mergeCell ref="G35:I35"/>
    <mergeCell ref="G46:I46"/>
    <mergeCell ref="G45:I45"/>
    <mergeCell ref="G57:I57"/>
    <mergeCell ref="G53:I54"/>
    <mergeCell ref="A2:N3"/>
    <mergeCell ref="G40:G42"/>
    <mergeCell ref="H40:H42"/>
    <mergeCell ref="I40:I42"/>
    <mergeCell ref="G38:I38"/>
    <mergeCell ref="B43:F50"/>
  </mergeCells>
  <printOptions horizontalCentered="1" verticalCentered="1"/>
  <pageMargins left="0.25" right="0.25" top="0.75" bottom="0.75" header="0.3" footer="0.3"/>
  <pageSetup scale="25" orientation="landscape" r:id="rId1"/>
  <drawing r:id="rId2"/>
  <legacyDrawing r:id="rId3"/>
  <controls>
    <mc:AlternateContent xmlns:mc="http://schemas.openxmlformats.org/markup-compatibility/2006">
      <mc:Choice Requires="x14">
        <control shapeId="5199" r:id="rId4" name="ComboBox2">
          <controlPr defaultSize="0" print="0" autoLine="0" linkedCell="R16" listFillRange="Z3:Z9" r:id="rId5">
            <anchor moveWithCells="1" sizeWithCells="1">
              <from>
                <xdr:col>17</xdr:col>
                <xdr:colOff>6350</xdr:colOff>
                <xdr:row>14</xdr:row>
                <xdr:rowOff>177800</xdr:rowOff>
              </from>
              <to>
                <xdr:col>17</xdr:col>
                <xdr:colOff>2209800</xdr:colOff>
                <xdr:row>16</xdr:row>
                <xdr:rowOff>25400</xdr:rowOff>
              </to>
            </anchor>
          </controlPr>
        </control>
      </mc:Choice>
      <mc:Fallback>
        <control shapeId="5199" r:id="rId4" name="ComboBox2"/>
      </mc:Fallback>
    </mc:AlternateContent>
    <mc:AlternateContent xmlns:mc="http://schemas.openxmlformats.org/markup-compatibility/2006">
      <mc:Choice Requires="x14">
        <control shapeId="5198" r:id="rId6" name="ComboBox12">
          <controlPr defaultSize="0" print="0" autoLine="0" linkedCell="U41" listFillRange="Z11:Z16" r:id="rId7">
            <anchor moveWithCells="1" sizeWithCells="1">
              <from>
                <xdr:col>19</xdr:col>
                <xdr:colOff>1758950</xdr:colOff>
                <xdr:row>40</xdr:row>
                <xdr:rowOff>12700</xdr:rowOff>
              </from>
              <to>
                <xdr:col>20</xdr:col>
                <xdr:colOff>2038350</xdr:colOff>
                <xdr:row>41</xdr:row>
                <xdr:rowOff>31750</xdr:rowOff>
              </to>
            </anchor>
          </controlPr>
        </control>
      </mc:Choice>
      <mc:Fallback>
        <control shapeId="5198" r:id="rId6" name="ComboBox12"/>
      </mc:Fallback>
    </mc:AlternateContent>
    <mc:AlternateContent xmlns:mc="http://schemas.openxmlformats.org/markup-compatibility/2006">
      <mc:Choice Requires="x14">
        <control shapeId="5197" r:id="rId8" name="ComboBox11">
          <controlPr defaultSize="0" print="0" autoLine="0" linkedCell="R41" listFillRange="Z11:Z16" r:id="rId9">
            <anchor moveWithCells="1" sizeWithCells="1">
              <from>
                <xdr:col>17</xdr:col>
                <xdr:colOff>6350</xdr:colOff>
                <xdr:row>40</xdr:row>
                <xdr:rowOff>6350</xdr:rowOff>
              </from>
              <to>
                <xdr:col>18</xdr:col>
                <xdr:colOff>6350</xdr:colOff>
                <xdr:row>41</xdr:row>
                <xdr:rowOff>19050</xdr:rowOff>
              </to>
            </anchor>
          </controlPr>
        </control>
      </mc:Choice>
      <mc:Fallback>
        <control shapeId="5197" r:id="rId8" name="ComboBox11"/>
      </mc:Fallback>
    </mc:AlternateContent>
    <mc:AlternateContent xmlns:mc="http://schemas.openxmlformats.org/markup-compatibility/2006">
      <mc:Choice Requires="x14">
        <control shapeId="5196" r:id="rId10" name="ComboBox13">
          <controlPr defaultSize="0" print="0" autoLine="0" linkedCell="X41" listFillRange="Z11:Z16" r:id="rId11">
            <anchor moveWithCells="1" sizeWithCells="1">
              <from>
                <xdr:col>22</xdr:col>
                <xdr:colOff>1746250</xdr:colOff>
                <xdr:row>40</xdr:row>
                <xdr:rowOff>0</xdr:rowOff>
              </from>
              <to>
                <xdr:col>23</xdr:col>
                <xdr:colOff>2000250</xdr:colOff>
                <xdr:row>41</xdr:row>
                <xdr:rowOff>25400</xdr:rowOff>
              </to>
            </anchor>
          </controlPr>
        </control>
      </mc:Choice>
      <mc:Fallback>
        <control shapeId="5196" r:id="rId10" name="ComboBox13"/>
      </mc:Fallback>
    </mc:AlternateContent>
    <mc:AlternateContent xmlns:mc="http://schemas.openxmlformats.org/markup-compatibility/2006">
      <mc:Choice Requires="x14">
        <control shapeId="5193" r:id="rId12" name="ComboBox10">
          <controlPr defaultSize="0" print="0" autoLine="0" autoPict="0" linkedCell="X20" listFillRange="Z11:Z16" r:id="rId13">
            <anchor moveWithCells="1" sizeWithCells="1">
              <from>
                <xdr:col>23</xdr:col>
                <xdr:colOff>12700</xdr:colOff>
                <xdr:row>37</xdr:row>
                <xdr:rowOff>12700</xdr:rowOff>
              </from>
              <to>
                <xdr:col>24</xdr:col>
                <xdr:colOff>12700</xdr:colOff>
                <xdr:row>38</xdr:row>
                <xdr:rowOff>6350</xdr:rowOff>
              </to>
            </anchor>
          </controlPr>
        </control>
      </mc:Choice>
      <mc:Fallback>
        <control shapeId="5193" r:id="rId12" name="ComboBox10"/>
      </mc:Fallback>
    </mc:AlternateContent>
    <mc:AlternateContent xmlns:mc="http://schemas.openxmlformats.org/markup-compatibility/2006">
      <mc:Choice Requires="x14">
        <control shapeId="5192" r:id="rId14" name="ComboBox9">
          <controlPr defaultSize="0" print="0" autoLine="0" linkedCell="U20" listFillRange="Z11:Z16" r:id="rId15">
            <anchor moveWithCells="1" sizeWithCells="1">
              <from>
                <xdr:col>20</xdr:col>
                <xdr:colOff>12700</xdr:colOff>
                <xdr:row>19</xdr:row>
                <xdr:rowOff>12700</xdr:rowOff>
              </from>
              <to>
                <xdr:col>21</xdr:col>
                <xdr:colOff>12700</xdr:colOff>
                <xdr:row>20</xdr:row>
                <xdr:rowOff>6350</xdr:rowOff>
              </to>
            </anchor>
          </controlPr>
        </control>
      </mc:Choice>
      <mc:Fallback>
        <control shapeId="5192" r:id="rId14" name="ComboBox9"/>
      </mc:Fallback>
    </mc:AlternateContent>
    <mc:AlternateContent xmlns:mc="http://schemas.openxmlformats.org/markup-compatibility/2006">
      <mc:Choice Requires="x14">
        <control shapeId="5191" r:id="rId16" name="ComboBox8">
          <controlPr defaultSize="0" print="0" autoLine="0" linkedCell="R20" listFillRange="Z11:Z16" r:id="rId17">
            <anchor moveWithCells="1" sizeWithCells="1">
              <from>
                <xdr:col>17</xdr:col>
                <xdr:colOff>12700</xdr:colOff>
                <xdr:row>19</xdr:row>
                <xdr:rowOff>12700</xdr:rowOff>
              </from>
              <to>
                <xdr:col>18</xdr:col>
                <xdr:colOff>12700</xdr:colOff>
                <xdr:row>20</xdr:row>
                <xdr:rowOff>6350</xdr:rowOff>
              </to>
            </anchor>
          </controlPr>
        </control>
      </mc:Choice>
      <mc:Fallback>
        <control shapeId="5191" r:id="rId16" name="ComboBox8"/>
      </mc:Fallback>
    </mc:AlternateContent>
    <mc:AlternateContent xmlns:mc="http://schemas.openxmlformats.org/markup-compatibility/2006">
      <mc:Choice Requires="x14">
        <control shapeId="5189" r:id="rId18" name="ComboBox7">
          <controlPr defaultSize="0" print="0" autoLine="0" autoPict="0" linkedCell="X37" listFillRange="Z3:Z9" r:id="rId19">
            <anchor moveWithCells="1" sizeWithCells="1">
              <from>
                <xdr:col>22</xdr:col>
                <xdr:colOff>1758950</xdr:colOff>
                <xdr:row>35</xdr:row>
                <xdr:rowOff>184150</xdr:rowOff>
              </from>
              <to>
                <xdr:col>23</xdr:col>
                <xdr:colOff>2051050</xdr:colOff>
                <xdr:row>36</xdr:row>
                <xdr:rowOff>190500</xdr:rowOff>
              </to>
            </anchor>
          </controlPr>
        </control>
      </mc:Choice>
      <mc:Fallback>
        <control shapeId="5189" r:id="rId18" name="ComboBox7"/>
      </mc:Fallback>
    </mc:AlternateContent>
    <mc:AlternateContent xmlns:mc="http://schemas.openxmlformats.org/markup-compatibility/2006">
      <mc:Choice Requires="x14">
        <control shapeId="5188" r:id="rId20" name="ComboBox6">
          <controlPr defaultSize="0" print="0" autoLine="0" linkedCell="U37" listFillRange="Z3:Z9" r:id="rId21">
            <anchor moveWithCells="1" sizeWithCells="1">
              <from>
                <xdr:col>19</xdr:col>
                <xdr:colOff>1758950</xdr:colOff>
                <xdr:row>35</xdr:row>
                <xdr:rowOff>184150</xdr:rowOff>
              </from>
              <to>
                <xdr:col>20</xdr:col>
                <xdr:colOff>2051050</xdr:colOff>
                <xdr:row>36</xdr:row>
                <xdr:rowOff>190500</xdr:rowOff>
              </to>
            </anchor>
          </controlPr>
        </control>
      </mc:Choice>
      <mc:Fallback>
        <control shapeId="5188" r:id="rId20" name="ComboBox6"/>
      </mc:Fallback>
    </mc:AlternateContent>
    <mc:AlternateContent xmlns:mc="http://schemas.openxmlformats.org/markup-compatibility/2006">
      <mc:Choice Requires="x14">
        <control shapeId="5187" r:id="rId22" name="ComboBox5">
          <controlPr defaultSize="0" print="0" autoLine="0" autoPict="0" linkedCell="R37" listFillRange="Z3:Z9" r:id="rId23">
            <anchor moveWithCells="1" sizeWithCells="1">
              <from>
                <xdr:col>17</xdr:col>
                <xdr:colOff>6350</xdr:colOff>
                <xdr:row>35</xdr:row>
                <xdr:rowOff>184150</xdr:rowOff>
              </from>
              <to>
                <xdr:col>18</xdr:col>
                <xdr:colOff>12700</xdr:colOff>
                <xdr:row>37</xdr:row>
                <xdr:rowOff>12700</xdr:rowOff>
              </to>
            </anchor>
          </controlPr>
        </control>
      </mc:Choice>
      <mc:Fallback>
        <control shapeId="5187" r:id="rId22" name="ComboBox5"/>
      </mc:Fallback>
    </mc:AlternateContent>
    <mc:AlternateContent xmlns:mc="http://schemas.openxmlformats.org/markup-compatibility/2006">
      <mc:Choice Requires="x14">
        <control shapeId="5186" r:id="rId24" name="ComboBox4">
          <controlPr defaultSize="0" print="0" autoLine="0" autoPict="0" linkedCell="X16" listFillRange="Z3:Z9" r:id="rId25">
            <anchor moveWithCells="1" sizeWithCells="1">
              <from>
                <xdr:col>22</xdr:col>
                <xdr:colOff>1758950</xdr:colOff>
                <xdr:row>14</xdr:row>
                <xdr:rowOff>184150</xdr:rowOff>
              </from>
              <to>
                <xdr:col>23</xdr:col>
                <xdr:colOff>2051050</xdr:colOff>
                <xdr:row>15</xdr:row>
                <xdr:rowOff>190500</xdr:rowOff>
              </to>
            </anchor>
          </controlPr>
        </control>
      </mc:Choice>
      <mc:Fallback>
        <control shapeId="5186" r:id="rId24" name="ComboBox4"/>
      </mc:Fallback>
    </mc:AlternateContent>
    <mc:AlternateContent xmlns:mc="http://schemas.openxmlformats.org/markup-compatibility/2006">
      <mc:Choice Requires="x14">
        <control shapeId="5185" r:id="rId26" name="ComboBox3">
          <controlPr defaultSize="0" print="0" autoLine="0" linkedCell="U16" listFillRange="Z3:Z9" r:id="rId27">
            <anchor moveWithCells="1" sizeWithCells="1">
              <from>
                <xdr:col>19</xdr:col>
                <xdr:colOff>1758950</xdr:colOff>
                <xdr:row>14</xdr:row>
                <xdr:rowOff>184150</xdr:rowOff>
              </from>
              <to>
                <xdr:col>20</xdr:col>
                <xdr:colOff>2051050</xdr:colOff>
                <xdr:row>15</xdr:row>
                <xdr:rowOff>190500</xdr:rowOff>
              </to>
            </anchor>
          </controlPr>
        </control>
      </mc:Choice>
      <mc:Fallback>
        <control shapeId="5185" r:id="rId26" name="ComboBox3"/>
      </mc:Fallback>
    </mc:AlternateContent>
    <mc:AlternateContent xmlns:mc="http://schemas.openxmlformats.org/markup-compatibility/2006">
      <mc:Choice Requires="x14">
        <control shapeId="5180" r:id="rId28" name="ComboBox1">
          <controlPr defaultSize="0" print="0" autoLine="0" autoPict="0" linkedCell="C9" listFillRange="I4:I9" r:id="rId29">
            <anchor moveWithCells="1" sizeWithCells="1">
              <from>
                <xdr:col>2</xdr:col>
                <xdr:colOff>6350</xdr:colOff>
                <xdr:row>8</xdr:row>
                <xdr:rowOff>31750</xdr:rowOff>
              </from>
              <to>
                <xdr:col>3</xdr:col>
                <xdr:colOff>762000</xdr:colOff>
                <xdr:row>8</xdr:row>
                <xdr:rowOff>228600</xdr:rowOff>
              </to>
            </anchor>
          </controlPr>
        </control>
      </mc:Choice>
      <mc:Fallback>
        <control shapeId="5180" r:id="rId28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8245F-4FB5-480A-A5DB-C3AB8F769BB0}">
  <sheetPr codeName="Sheet4">
    <tabColor rgb="FFFDE3FB"/>
  </sheetPr>
  <dimension ref="A1:AG71"/>
  <sheetViews>
    <sheetView showGridLines="0" zoomScale="70" zoomScaleNormal="70" workbookViewId="0">
      <pane ySplit="1" topLeftCell="A2" activePane="bottomLeft" state="frozen"/>
      <selection activeCell="X43" sqref="X43:AD140"/>
      <selection pane="bottomLeft" activeCell="I56" sqref="I56"/>
    </sheetView>
  </sheetViews>
  <sheetFormatPr defaultColWidth="9.08984375" defaultRowHeight="14.5" outlineLevelCol="1" x14ac:dyDescent="0.35"/>
  <cols>
    <col min="1" max="1" width="5.6328125" style="1" customWidth="1"/>
    <col min="2" max="2" width="28.81640625" style="45" customWidth="1"/>
    <col min="3" max="3" width="14.26953125" style="45" customWidth="1"/>
    <col min="4" max="4" width="11" style="45" customWidth="1"/>
    <col min="5" max="5" width="17.453125" style="45" customWidth="1"/>
    <col min="6" max="7" width="11" style="45" customWidth="1"/>
    <col min="8" max="8" width="16.7265625" style="45" customWidth="1"/>
    <col min="9" max="9" width="20.81640625" style="45" customWidth="1" outlineLevel="1"/>
    <col min="10" max="10" width="5.6328125" style="45" customWidth="1" outlineLevel="1"/>
    <col min="11" max="11" width="5.453125" style="45" customWidth="1" outlineLevel="1"/>
    <col min="12" max="12" width="5.54296875" style="45" customWidth="1" outlineLevel="1"/>
    <col min="13" max="13" width="5.36328125" style="41" customWidth="1" outlineLevel="1"/>
    <col min="14" max="14" width="5.1796875" style="143" customWidth="1" outlineLevel="1"/>
    <col min="15" max="15" width="5.6328125" style="143" customWidth="1" outlineLevel="1" collapsed="1"/>
    <col min="16" max="16" width="10.453125" style="3" customWidth="1"/>
    <col min="17" max="17" width="25.1796875" style="45" customWidth="1"/>
    <col min="18" max="18" width="29.08984375" style="45" customWidth="1"/>
    <col min="19" max="19" width="18.08984375" style="45" customWidth="1"/>
    <col min="20" max="20" width="25.1796875" style="45" customWidth="1"/>
    <col min="21" max="21" width="29.1796875" style="45" customWidth="1"/>
    <col min="22" max="22" width="14" style="45" customWidth="1"/>
    <col min="23" max="23" width="25" style="45" customWidth="1"/>
    <col min="24" max="24" width="28.6328125" style="45" customWidth="1"/>
    <col min="25" max="25" width="5.6328125" style="65" customWidth="1" outlineLevel="1" collapsed="1"/>
    <col min="26" max="26" width="30.6328125" style="156" customWidth="1" outlineLevel="1"/>
    <col min="27" max="27" width="13.1796875" style="156" customWidth="1" outlineLevel="1"/>
    <col min="28" max="28" width="12.90625" style="156" customWidth="1" outlineLevel="1"/>
    <col min="29" max="16384" width="9.08984375" style="45"/>
  </cols>
  <sheetData>
    <row r="1" spans="1:33" s="3" customFormat="1" ht="21" customHeight="1" x14ac:dyDescent="0.35">
      <c r="A1" s="392" t="s">
        <v>133</v>
      </c>
      <c r="B1" s="392"/>
      <c r="C1" s="392"/>
      <c r="D1" s="392"/>
      <c r="E1" s="392"/>
      <c r="F1" s="392"/>
      <c r="G1" s="392"/>
      <c r="H1" s="392"/>
      <c r="I1" s="392"/>
      <c r="J1" s="392"/>
      <c r="K1" s="392"/>
      <c r="L1" s="392"/>
      <c r="M1" s="392"/>
      <c r="N1" s="392"/>
      <c r="O1" s="392"/>
      <c r="P1" s="378" t="s">
        <v>194</v>
      </c>
      <c r="Q1" s="378"/>
      <c r="R1" s="378"/>
      <c r="S1" s="378"/>
      <c r="T1" s="378"/>
      <c r="U1" s="378"/>
      <c r="V1" s="378"/>
      <c r="W1" s="378"/>
      <c r="X1" s="378"/>
      <c r="Y1" s="166"/>
      <c r="Z1" s="157"/>
      <c r="AA1" s="158"/>
      <c r="AB1" s="158"/>
      <c r="AC1" s="128"/>
      <c r="AD1" s="128"/>
      <c r="AE1" s="128"/>
      <c r="AF1" s="128"/>
      <c r="AG1" s="128"/>
    </row>
    <row r="2" spans="1:33" ht="15" thickBot="1" x14ac:dyDescent="0.35">
      <c r="A2" s="46"/>
      <c r="B2" s="111"/>
      <c r="I2" s="180" t="s">
        <v>111</v>
      </c>
      <c r="J2" s="63"/>
      <c r="K2" s="180">
        <v>2025</v>
      </c>
      <c r="L2" s="180">
        <v>2026</v>
      </c>
      <c r="M2" s="180">
        <v>2027</v>
      </c>
      <c r="N2" s="180">
        <v>2028</v>
      </c>
      <c r="O2" s="182">
        <v>2029</v>
      </c>
      <c r="V2" s="259"/>
      <c r="Z2" s="164" t="s">
        <v>117</v>
      </c>
      <c r="AA2" s="150">
        <v>0.5</v>
      </c>
      <c r="AB2" s="163">
        <f t="shared" ref="AB2:AB7" si="0">IFERROR($AA2*$T$16,"")</f>
        <v>0.25</v>
      </c>
    </row>
    <row r="3" spans="1:33" ht="15" thickTop="1" x14ac:dyDescent="0.35">
      <c r="A3" s="63"/>
      <c r="B3"/>
      <c r="C3"/>
      <c r="D3"/>
      <c r="E3"/>
      <c r="I3" s="168" t="s">
        <v>112</v>
      </c>
      <c r="K3" s="179">
        <v>0.06</v>
      </c>
      <c r="L3" s="179">
        <f>IFERROR(K3,"")</f>
        <v>0.06</v>
      </c>
      <c r="M3" s="179">
        <f t="shared" ref="M3:O3" si="1">IFERROR(L3,"")</f>
        <v>0.06</v>
      </c>
      <c r="N3" s="179">
        <f t="shared" si="1"/>
        <v>0.06</v>
      </c>
      <c r="O3" s="179">
        <f t="shared" si="1"/>
        <v>0.06</v>
      </c>
      <c r="Z3" s="164" t="s">
        <v>118</v>
      </c>
      <c r="AA3" s="150">
        <v>1</v>
      </c>
      <c r="AB3" s="163">
        <f t="shared" si="0"/>
        <v>0.5</v>
      </c>
    </row>
    <row r="4" spans="1:33" ht="14.5" customHeight="1" x14ac:dyDescent="0.35">
      <c r="A4" s="46"/>
      <c r="B4"/>
      <c r="C4"/>
      <c r="D4"/>
      <c r="E4"/>
      <c r="I4" s="168" t="s">
        <v>86</v>
      </c>
      <c r="K4" s="133">
        <v>0.16047026655059971</v>
      </c>
      <c r="L4" s="134">
        <v>0.10475297619473106</v>
      </c>
      <c r="M4" s="134">
        <v>9.6653207296289179E-2</v>
      </c>
      <c r="N4" s="162">
        <v>8.9716126219999692E-2</v>
      </c>
      <c r="O4" s="162">
        <v>8.370814949538341E-2</v>
      </c>
      <c r="V4" s="59"/>
      <c r="Z4" s="164" t="s">
        <v>119</v>
      </c>
      <c r="AA4" s="165">
        <v>2</v>
      </c>
      <c r="AB4" s="163">
        <f t="shared" si="0"/>
        <v>1</v>
      </c>
    </row>
    <row r="5" spans="1:33" x14ac:dyDescent="0.35">
      <c r="A5" s="46"/>
      <c r="B5"/>
      <c r="C5"/>
      <c r="D5"/>
      <c r="E5"/>
      <c r="I5" s="168" t="s">
        <v>77</v>
      </c>
      <c r="K5" s="133">
        <v>0.12837621324047976</v>
      </c>
      <c r="L5" s="134">
        <v>8.380238095578485E-2</v>
      </c>
      <c r="M5" s="134">
        <v>7.7322565837031343E-2</v>
      </c>
      <c r="N5" s="162">
        <v>7.1772900975999754E-2</v>
      </c>
      <c r="O5" s="162">
        <v>6.6966519596306728E-2</v>
      </c>
      <c r="Z5" s="164" t="s">
        <v>120</v>
      </c>
      <c r="AA5" s="165">
        <v>0</v>
      </c>
      <c r="AB5" s="163">
        <f t="shared" si="0"/>
        <v>0</v>
      </c>
    </row>
    <row r="6" spans="1:33" ht="15" customHeight="1" x14ac:dyDescent="0.35">
      <c r="A6" s="56"/>
      <c r="B6" s="63"/>
      <c r="C6" s="63"/>
      <c r="D6" s="63"/>
      <c r="E6" s="63"/>
      <c r="I6" s="168" t="s">
        <v>78</v>
      </c>
      <c r="K6" s="133">
        <v>9.6972158805956887E-2</v>
      </c>
      <c r="L6" s="134">
        <v>6.2851785716838637E-2</v>
      </c>
      <c r="M6" s="134">
        <v>5.7991924377773507E-2</v>
      </c>
      <c r="N6" s="162">
        <v>5.3829675731999815E-2</v>
      </c>
      <c r="O6" s="162">
        <v>5.0224889697230046E-2</v>
      </c>
      <c r="Z6" s="164" t="s">
        <v>126</v>
      </c>
      <c r="AA6" s="178">
        <v>0.73</v>
      </c>
      <c r="AB6" s="163">
        <f t="shared" si="0"/>
        <v>0.36499999999999999</v>
      </c>
    </row>
    <row r="7" spans="1:33" ht="20" customHeight="1" x14ac:dyDescent="0.35">
      <c r="A7" s="46"/>
      <c r="B7" s="262" t="s">
        <v>178</v>
      </c>
      <c r="C7" s="375" t="s">
        <v>78</v>
      </c>
      <c r="D7" s="376"/>
      <c r="E7" s="112"/>
      <c r="I7" s="168" t="s">
        <v>87</v>
      </c>
      <c r="K7" s="133">
        <v>7.2729119104467665E-2</v>
      </c>
      <c r="L7" s="134">
        <v>4.7138839287628978E-2</v>
      </c>
      <c r="M7" s="134">
        <v>4.349394328333013E-2</v>
      </c>
      <c r="N7" s="162">
        <v>4.0372256798999862E-2</v>
      </c>
      <c r="O7" s="162">
        <v>3.7668667272922535E-2</v>
      </c>
      <c r="Z7" s="164" t="s">
        <v>127</v>
      </c>
      <c r="AA7" s="178">
        <v>1.27</v>
      </c>
      <c r="AB7" s="163">
        <f t="shared" si="0"/>
        <v>0.63500000000000001</v>
      </c>
    </row>
    <row r="8" spans="1:33" ht="14.5" customHeight="1" x14ac:dyDescent="0.35">
      <c r="A8" s="56"/>
      <c r="I8" s="184" t="s">
        <v>98</v>
      </c>
      <c r="J8" s="184"/>
      <c r="K8" s="184"/>
      <c r="L8" s="184"/>
      <c r="M8" s="184"/>
      <c r="N8" s="185"/>
      <c r="O8" s="169"/>
      <c r="AA8" s="173"/>
    </row>
    <row r="9" spans="1:33" ht="15" thickBot="1" x14ac:dyDescent="0.35">
      <c r="A9" s="56"/>
      <c r="B9" s="377" t="s">
        <v>85</v>
      </c>
      <c r="C9" s="377"/>
      <c r="D9" s="200">
        <f>_xlfn.XLOOKUP($C$7,$I$3:$I$7,$K$3:$K$7,"")</f>
        <v>9.6972158805956887E-2</v>
      </c>
      <c r="E9" s="200">
        <f>_xlfn.XLOOKUP($C$7,$I$3:$I$7,$L$3:$L$7,"")</f>
        <v>6.2851785716838637E-2</v>
      </c>
      <c r="F9" s="200">
        <f>_xlfn.XLOOKUP($C$7,$I$3:$I$7,$M$3:$M$7,"")</f>
        <v>5.7991924377773507E-2</v>
      </c>
      <c r="G9" s="200">
        <f>_xlfn.XLOOKUP($C$7,$I$3:$I$7,$N$3:$N$7,"")</f>
        <v>5.3829675731999815E-2</v>
      </c>
      <c r="H9" s="200">
        <f>_xlfn.XLOOKUP($C$7,$I$3:$I$7,$O$3:$O$7,"")</f>
        <v>5.0224889697230046E-2</v>
      </c>
      <c r="I9" s="59"/>
      <c r="J9" s="59"/>
      <c r="K9" s="59"/>
      <c r="M9" s="42"/>
      <c r="N9" s="3"/>
      <c r="O9" s="3"/>
      <c r="V9" s="63"/>
      <c r="W9" s="63"/>
      <c r="X9" s="212"/>
      <c r="Z9" s="164" t="s">
        <v>123</v>
      </c>
      <c r="AA9" s="150">
        <v>1</v>
      </c>
      <c r="AB9" s="118">
        <f t="shared" ref="AB9:AB13" si="2">IFERROR(AA9*$T$17,"")</f>
        <v>200000</v>
      </c>
    </row>
    <row r="10" spans="1:33" ht="15" thickBot="1" x14ac:dyDescent="0.4">
      <c r="A10" s="56"/>
      <c r="B10" s="213" t="s">
        <v>95</v>
      </c>
      <c r="C10" s="214">
        <v>2024</v>
      </c>
      <c r="D10" s="215">
        <v>2025</v>
      </c>
      <c r="E10" s="215">
        <v>2026</v>
      </c>
      <c r="F10" s="215">
        <v>2027</v>
      </c>
      <c r="G10" s="215">
        <v>2028</v>
      </c>
      <c r="H10" s="216">
        <v>2029</v>
      </c>
      <c r="I10" s="59"/>
      <c r="J10" s="59"/>
      <c r="K10" s="59"/>
      <c r="L10" s="113"/>
      <c r="M10" s="42"/>
      <c r="N10" s="3"/>
      <c r="O10" s="3"/>
      <c r="V10" s="63"/>
      <c r="W10" s="63"/>
      <c r="X10" s="63"/>
      <c r="Z10" s="164" t="s">
        <v>124</v>
      </c>
      <c r="AA10" s="165">
        <v>1.5</v>
      </c>
      <c r="AB10" s="118">
        <f t="shared" si="2"/>
        <v>300000</v>
      </c>
    </row>
    <row r="11" spans="1:33" ht="16" customHeight="1" thickBot="1" x14ac:dyDescent="0.4">
      <c r="A11" s="114"/>
      <c r="B11" s="192" t="s">
        <v>56</v>
      </c>
      <c r="C11" s="175">
        <v>61988811.160000004</v>
      </c>
      <c r="D11" s="115">
        <f>IFERROR(C11*(1+$D$9),"")</f>
        <v>68000000</v>
      </c>
      <c r="E11" s="115">
        <f>IFERROR(D11*(1+$E$9),"")</f>
        <v>72273921.428745031</v>
      </c>
      <c r="F11" s="115">
        <f>IFERROR(E11*(1+$F$9),"")</f>
        <v>76465225.214725956</v>
      </c>
      <c r="G11" s="115">
        <f>IFERROR(F11*(1+$G$9),"")</f>
        <v>80581323.492808998</v>
      </c>
      <c r="H11" s="115">
        <f>IFERROR(G11*(1+$H$9),"")</f>
        <v>84628511.576892152</v>
      </c>
      <c r="I11" s="193"/>
      <c r="J11" s="59"/>
      <c r="K11" s="59"/>
      <c r="M11" s="126"/>
      <c r="N11" s="4"/>
      <c r="O11" s="4"/>
      <c r="V11" s="63"/>
      <c r="W11" s="63"/>
      <c r="X11" s="63"/>
      <c r="Z11" s="164" t="s">
        <v>120</v>
      </c>
      <c r="AA11" s="165">
        <v>0</v>
      </c>
      <c r="AB11" s="118">
        <f t="shared" si="2"/>
        <v>0</v>
      </c>
    </row>
    <row r="12" spans="1:33" ht="15" thickBot="1" x14ac:dyDescent="0.4">
      <c r="A12" s="116"/>
      <c r="B12" s="192" t="s">
        <v>57</v>
      </c>
      <c r="C12" s="175">
        <v>37392078.449600004</v>
      </c>
      <c r="D12" s="115">
        <f>IFERROR((C12/C11)*D11,"")</f>
        <v>41018069.019099414</v>
      </c>
      <c r="E12" s="115">
        <f t="shared" ref="E12:H12" si="3">IFERROR((D12/D11)*E11,"")</f>
        <v>43596127.903606348</v>
      </c>
      <c r="F12" s="115">
        <f t="shared" si="3"/>
        <v>46124351.256156027</v>
      </c>
      <c r="G12" s="115">
        <f t="shared" si="3"/>
        <v>48607210.127623767</v>
      </c>
      <c r="H12" s="115">
        <f t="shared" si="3"/>
        <v>51048501.894773766</v>
      </c>
      <c r="I12" s="194"/>
      <c r="J12" s="59"/>
      <c r="K12" s="59"/>
      <c r="M12" s="43"/>
      <c r="N12" s="2"/>
      <c r="O12" s="2"/>
      <c r="P12" s="4"/>
      <c r="Q12" s="408" t="s">
        <v>121</v>
      </c>
      <c r="R12" s="409"/>
      <c r="S12" s="409"/>
      <c r="T12" s="409"/>
      <c r="U12" s="409"/>
      <c r="V12" s="409"/>
      <c r="W12" s="409"/>
      <c r="X12" s="410"/>
      <c r="Z12" s="164" t="s">
        <v>128</v>
      </c>
      <c r="AA12" s="179">
        <v>0.63</v>
      </c>
      <c r="AB12" s="118">
        <f t="shared" si="2"/>
        <v>126000</v>
      </c>
    </row>
    <row r="13" spans="1:33" ht="14.5" customHeight="1" thickBot="1" x14ac:dyDescent="0.4">
      <c r="A13" s="116"/>
      <c r="B13" s="187" t="s">
        <v>6</v>
      </c>
      <c r="C13" s="188">
        <f>IFERROR(C11-C12,"")</f>
        <v>24596732.7104</v>
      </c>
      <c r="D13" s="189">
        <f>IFERROR(D11-D12,"")</f>
        <v>26981930.980900586</v>
      </c>
      <c r="E13" s="189">
        <f t="shared" ref="E13:H13" si="4">IFERROR(E11-E12,"")</f>
        <v>28677793.525138684</v>
      </c>
      <c r="F13" s="189">
        <f t="shared" si="4"/>
        <v>30340873.958569929</v>
      </c>
      <c r="G13" s="189">
        <f t="shared" si="4"/>
        <v>31974113.365185231</v>
      </c>
      <c r="H13" s="190">
        <f t="shared" si="4"/>
        <v>33580009.682118386</v>
      </c>
      <c r="I13" s="194"/>
      <c r="J13" s="59"/>
      <c r="K13" s="59"/>
      <c r="M13" s="42"/>
      <c r="N13" s="3"/>
      <c r="O13" s="3"/>
      <c r="P13" s="2"/>
      <c r="Q13" s="411"/>
      <c r="R13" s="412"/>
      <c r="S13" s="412"/>
      <c r="T13" s="412"/>
      <c r="U13" s="412"/>
      <c r="V13" s="412"/>
      <c r="W13" s="412"/>
      <c r="X13" s="413"/>
      <c r="Z13" s="164" t="s">
        <v>129</v>
      </c>
      <c r="AA13" s="179">
        <v>1.23</v>
      </c>
      <c r="AB13" s="118">
        <f t="shared" si="2"/>
        <v>246000</v>
      </c>
    </row>
    <row r="14" spans="1:33" x14ac:dyDescent="0.35">
      <c r="A14" s="117"/>
      <c r="B14" s="63"/>
      <c r="C14" s="130"/>
      <c r="D14" s="115"/>
      <c r="E14" s="115"/>
      <c r="F14" s="115"/>
      <c r="G14" s="115"/>
      <c r="H14" s="115"/>
      <c r="I14" s="194"/>
      <c r="J14" s="59"/>
      <c r="K14" s="59"/>
      <c r="M14" s="42"/>
      <c r="N14" s="3"/>
      <c r="O14" s="3"/>
      <c r="AA14" s="173"/>
    </row>
    <row r="15" spans="1:33" x14ac:dyDescent="0.35">
      <c r="A15" s="117"/>
      <c r="B15" s="192" t="s">
        <v>58</v>
      </c>
      <c r="C15" s="174">
        <v>12389729.5623</v>
      </c>
      <c r="D15" s="119">
        <f>IFERROR((C15/C11)*D11,"")</f>
        <v>13591188.384978214</v>
      </c>
      <c r="E15" s="119">
        <f t="shared" ref="E15:H15" si="5">IFERROR((D15/D11)*E11,"")</f>
        <v>14445418.844988054</v>
      </c>
      <c r="F15" s="119">
        <f t="shared" si="5"/>
        <v>15283136.482251864</v>
      </c>
      <c r="G15" s="119">
        <f t="shared" si="5"/>
        <v>16105822.763259379</v>
      </c>
      <c r="H15" s="119">
        <f t="shared" si="5"/>
        <v>16914735.935027219</v>
      </c>
      <c r="I15" s="194"/>
      <c r="J15" s="59"/>
      <c r="K15" s="59"/>
      <c r="M15" s="3"/>
      <c r="N15" s="3"/>
      <c r="O15" s="3"/>
      <c r="Q15" s="66" t="s">
        <v>64</v>
      </c>
      <c r="R15" s="177">
        <v>45777</v>
      </c>
      <c r="S15" s="66" t="s">
        <v>96</v>
      </c>
      <c r="T15" s="176">
        <v>350000</v>
      </c>
      <c r="V15" s="59"/>
      <c r="Z15" s="120"/>
      <c r="AA15" s="144"/>
      <c r="AB15" s="120"/>
    </row>
    <row r="16" spans="1:33" ht="15" customHeight="1" thickBot="1" x14ac:dyDescent="0.4">
      <c r="A16" s="116"/>
      <c r="B16" s="63"/>
      <c r="C16" s="131"/>
      <c r="D16" s="65"/>
      <c r="E16" s="65"/>
      <c r="F16" s="65"/>
      <c r="G16" s="65"/>
      <c r="H16" s="65"/>
      <c r="I16" s="63"/>
      <c r="M16" s="3"/>
      <c r="N16" s="3"/>
      <c r="O16" s="3"/>
      <c r="Q16" s="66" t="s">
        <v>66</v>
      </c>
      <c r="R16" s="147">
        <v>46022</v>
      </c>
      <c r="S16" s="66" t="s">
        <v>103</v>
      </c>
      <c r="T16" s="209">
        <v>0.5</v>
      </c>
      <c r="V16" s="59"/>
      <c r="Z16" s="120"/>
      <c r="AA16" s="144"/>
      <c r="AB16" s="120"/>
    </row>
    <row r="17" spans="1:28" ht="14.5" customHeight="1" thickBot="1" x14ac:dyDescent="0.4">
      <c r="A17" s="117"/>
      <c r="B17" s="338" t="s">
        <v>8</v>
      </c>
      <c r="C17" s="339">
        <f>IFERROR(C13-C15,"")</f>
        <v>12207003.1481</v>
      </c>
      <c r="D17" s="261">
        <f>IFERROR(D13-D15,"")</f>
        <v>13390742.595922371</v>
      </c>
      <c r="E17" s="340">
        <f t="shared" ref="E17:H17" si="6">IFERROR(E13-E15,"")</f>
        <v>14232374.68015063</v>
      </c>
      <c r="F17" s="340">
        <f t="shared" si="6"/>
        <v>15057737.476318065</v>
      </c>
      <c r="G17" s="340">
        <f t="shared" si="6"/>
        <v>15868290.601925852</v>
      </c>
      <c r="H17" s="341">
        <f t="shared" si="6"/>
        <v>16665273.747091167</v>
      </c>
      <c r="I17" s="63"/>
      <c r="M17" s="3"/>
      <c r="N17" s="3"/>
      <c r="O17" s="3"/>
      <c r="Q17" s="66" t="s">
        <v>84</v>
      </c>
      <c r="R17" s="148">
        <f>IFERROR(($R$16-$R$15+1)/365,"")</f>
        <v>0.67397260273972603</v>
      </c>
      <c r="S17" s="66" t="s">
        <v>104</v>
      </c>
      <c r="T17" s="176">
        <v>200000</v>
      </c>
      <c r="V17" s="59"/>
      <c r="Z17" s="120"/>
      <c r="AA17" s="144"/>
      <c r="AB17" s="120"/>
    </row>
    <row r="18" spans="1:28" ht="14.5" customHeight="1" x14ac:dyDescent="0.35">
      <c r="A18"/>
      <c r="B18" s="192" t="s">
        <v>9</v>
      </c>
      <c r="C18" s="174">
        <v>1200000</v>
      </c>
      <c r="D18" s="115">
        <f>IFERROR(C$18*(1+D$9),"")</f>
        <v>1316366.5905671483</v>
      </c>
      <c r="E18" s="115">
        <f t="shared" ref="E18:H18" si="7">IFERROR(D$18*(1+E$9),"")</f>
        <v>1399102.5814422802</v>
      </c>
      <c r="F18" s="115">
        <f t="shared" si="7"/>
        <v>1480239.2325420287</v>
      </c>
      <c r="G18" s="115">
        <f t="shared" si="7"/>
        <v>1559920.0304355503</v>
      </c>
      <c r="H18" s="115">
        <f t="shared" si="7"/>
        <v>1638266.8419006758</v>
      </c>
      <c r="I18" s="152"/>
      <c r="J18"/>
      <c r="K18"/>
      <c r="L18"/>
      <c r="M18"/>
      <c r="N18"/>
      <c r="O18"/>
      <c r="P18"/>
      <c r="Z18" s="120"/>
      <c r="AA18" s="120"/>
      <c r="AB18" s="120"/>
    </row>
    <row r="19" spans="1:28" ht="14.5" customHeight="1" thickBot="1" x14ac:dyDescent="0.4">
      <c r="A19"/>
      <c r="B19" s="192" t="s">
        <v>10</v>
      </c>
      <c r="C19" s="175">
        <v>40000</v>
      </c>
      <c r="D19" s="115">
        <f>IFERROR(C19,"")</f>
        <v>40000</v>
      </c>
      <c r="E19" s="115">
        <f t="shared" ref="E19:H19" si="8">IFERROR(D19,"")</f>
        <v>40000</v>
      </c>
      <c r="F19" s="115">
        <f t="shared" si="8"/>
        <v>40000</v>
      </c>
      <c r="G19" s="115">
        <f t="shared" si="8"/>
        <v>40000</v>
      </c>
      <c r="H19" s="115">
        <f t="shared" si="8"/>
        <v>40000</v>
      </c>
      <c r="I19" s="152"/>
      <c r="J19"/>
      <c r="K19"/>
      <c r="L19"/>
      <c r="M19"/>
      <c r="N19"/>
      <c r="O19"/>
      <c r="P19"/>
      <c r="Z19" s="120"/>
      <c r="AA19" s="120"/>
      <c r="AB19" s="120"/>
    </row>
    <row r="20" spans="1:28" ht="15" customHeight="1" thickBot="1" x14ac:dyDescent="0.4">
      <c r="A20"/>
      <c r="B20" s="239" t="s">
        <v>11</v>
      </c>
      <c r="C20" s="240">
        <f>C17-C18-C19</f>
        <v>10967003.1481</v>
      </c>
      <c r="D20" s="240">
        <f>IFERROR(D17-D18-D19,"")</f>
        <v>12034376.005355224</v>
      </c>
      <c r="E20" s="240">
        <f t="shared" ref="E20:H20" si="9">IFERROR(E17-E18-E19,"")</f>
        <v>12793272.09870835</v>
      </c>
      <c r="F20" s="240">
        <f t="shared" si="9"/>
        <v>13537498.243776036</v>
      </c>
      <c r="G20" s="240">
        <f t="shared" si="9"/>
        <v>14268370.571490301</v>
      </c>
      <c r="H20" s="241">
        <f t="shared" si="9"/>
        <v>14987006.90519049</v>
      </c>
      <c r="I20" s="152"/>
      <c r="J20"/>
      <c r="K20"/>
      <c r="L20"/>
      <c r="M20"/>
      <c r="N20"/>
      <c r="O20"/>
      <c r="P20"/>
      <c r="Q20" s="414" t="s">
        <v>99</v>
      </c>
      <c r="R20" s="414"/>
      <c r="S20" s="143"/>
      <c r="T20" s="379" t="s">
        <v>100</v>
      </c>
      <c r="U20" s="379"/>
      <c r="V20" s="160"/>
      <c r="W20" s="380" t="s">
        <v>109</v>
      </c>
      <c r="X20" s="380"/>
      <c r="Z20" s="120"/>
      <c r="AA20" s="120"/>
      <c r="AB20" s="120"/>
    </row>
    <row r="21" spans="1:28" ht="15" thickBot="1" x14ac:dyDescent="0.4">
      <c r="A21"/>
      <c r="C21" s="242"/>
      <c r="I21" s="152"/>
      <c r="J21"/>
      <c r="K21"/>
      <c r="L21"/>
      <c r="M21"/>
      <c r="N21"/>
      <c r="O21"/>
      <c r="P21"/>
      <c r="Q21" s="414"/>
      <c r="R21" s="414"/>
      <c r="S21" s="143"/>
      <c r="T21" s="379"/>
      <c r="U21" s="379"/>
      <c r="V21" s="160"/>
      <c r="W21" s="380"/>
      <c r="X21" s="380"/>
      <c r="Z21" s="120"/>
      <c r="AA21" s="120"/>
      <c r="AB21" s="120"/>
    </row>
    <row r="22" spans="1:28" ht="15" customHeight="1" thickBot="1" x14ac:dyDescent="0.4">
      <c r="A22"/>
      <c r="B22" s="192" t="s">
        <v>12</v>
      </c>
      <c r="C22" s="175">
        <v>600000</v>
      </c>
      <c r="D22" s="115">
        <f>IFERROR(C22,"")</f>
        <v>600000</v>
      </c>
      <c r="E22" s="115">
        <f t="shared" ref="E22:H22" si="10">IFERROR(D22,"")</f>
        <v>600000</v>
      </c>
      <c r="F22" s="115">
        <f t="shared" si="10"/>
        <v>600000</v>
      </c>
      <c r="G22" s="115">
        <f t="shared" si="10"/>
        <v>600000</v>
      </c>
      <c r="H22" s="115">
        <f t="shared" si="10"/>
        <v>600000</v>
      </c>
      <c r="I22" s="152"/>
      <c r="J22"/>
      <c r="K22"/>
      <c r="L22"/>
      <c r="M22"/>
      <c r="N22"/>
      <c r="O22"/>
      <c r="P22"/>
      <c r="Q22" s="400" t="s">
        <v>88</v>
      </c>
      <c r="R22" s="401"/>
      <c r="S22" s="152"/>
      <c r="T22" s="402" t="s">
        <v>88</v>
      </c>
      <c r="U22" s="403"/>
      <c r="V22" s="161"/>
      <c r="W22" s="404" t="s">
        <v>88</v>
      </c>
      <c r="X22" s="405"/>
      <c r="Y22" s="170"/>
      <c r="Z22" s="120"/>
      <c r="AA22" s="120"/>
      <c r="AB22" s="120"/>
    </row>
    <row r="23" spans="1:28" ht="15" thickBot="1" x14ac:dyDescent="0.4">
      <c r="A23"/>
      <c r="B23" s="239" t="s">
        <v>13</v>
      </c>
      <c r="C23" s="240">
        <f>C20-C22</f>
        <v>10367003.1481</v>
      </c>
      <c r="D23" s="240">
        <f>IFERROR(D20-D22,"")</f>
        <v>11434376.005355224</v>
      </c>
      <c r="E23" s="240">
        <f t="shared" ref="E23:H23" si="11">IFERROR(E20-E22,"")</f>
        <v>12193272.09870835</v>
      </c>
      <c r="F23" s="240">
        <f t="shared" si="11"/>
        <v>12937498.243776036</v>
      </c>
      <c r="G23" s="240">
        <f t="shared" si="11"/>
        <v>13668370.571490301</v>
      </c>
      <c r="H23" s="241">
        <f t="shared" si="11"/>
        <v>14387006.90519049</v>
      </c>
      <c r="I23" s="152"/>
      <c r="J23"/>
      <c r="K23"/>
      <c r="L23"/>
      <c r="M23"/>
      <c r="N23"/>
      <c r="O23"/>
      <c r="P23"/>
      <c r="Q23" s="219" t="s">
        <v>80</v>
      </c>
      <c r="R23" s="225">
        <f>IFERROR($T$15,"")</f>
        <v>350000</v>
      </c>
      <c r="S23" s="63"/>
      <c r="T23" s="219" t="s">
        <v>80</v>
      </c>
      <c r="U23" s="225">
        <f>IFERROR($T$15,"")</f>
        <v>350000</v>
      </c>
      <c r="V23" s="63"/>
      <c r="W23" s="219" t="s">
        <v>80</v>
      </c>
      <c r="X23" s="225">
        <f>IFERROR($T$15,"")</f>
        <v>350000</v>
      </c>
    </row>
    <row r="24" spans="1:28" ht="14" customHeight="1" thickBot="1" x14ac:dyDescent="0.4">
      <c r="A24"/>
      <c r="B24" s="192" t="s">
        <v>132</v>
      </c>
      <c r="C24" s="238">
        <v>152355.04722149999</v>
      </c>
      <c r="D24" s="115">
        <f>IFERROR(D$23*1.5%,"")</f>
        <v>171515.64008032836</v>
      </c>
      <c r="E24" s="115">
        <f t="shared" ref="E24:H24" si="12">IFERROR(E$23*1.5%,"")</f>
        <v>182899.08148062526</v>
      </c>
      <c r="F24" s="115">
        <f t="shared" si="12"/>
        <v>194062.47365664053</v>
      </c>
      <c r="G24" s="115">
        <f t="shared" si="12"/>
        <v>205025.55857235449</v>
      </c>
      <c r="H24" s="115">
        <f t="shared" si="12"/>
        <v>215805.10357785734</v>
      </c>
      <c r="I24" s="152"/>
      <c r="J24"/>
      <c r="K24"/>
      <c r="L24"/>
      <c r="M24"/>
      <c r="N24"/>
      <c r="O24"/>
      <c r="P24"/>
      <c r="Q24" s="217"/>
      <c r="R24" s="218" t="s">
        <v>117</v>
      </c>
      <c r="S24" s="63" t="s">
        <v>67</v>
      </c>
      <c r="T24" s="217"/>
      <c r="U24" s="218" t="s">
        <v>118</v>
      </c>
      <c r="V24" s="63"/>
      <c r="W24" s="217"/>
      <c r="X24" s="218" t="s">
        <v>119</v>
      </c>
    </row>
    <row r="25" spans="1:28" ht="15.5" customHeight="1" thickBot="1" x14ac:dyDescent="0.4">
      <c r="A25"/>
      <c r="B25" s="239" t="s">
        <v>72</v>
      </c>
      <c r="C25" s="240">
        <f>IFERROR(C23-C24,"")</f>
        <v>10214648.100878499</v>
      </c>
      <c r="D25" s="240">
        <f t="shared" ref="D25:H25" si="13">IFERROR(D23-D24,"")</f>
        <v>11262860.365274895</v>
      </c>
      <c r="E25" s="240">
        <f t="shared" si="13"/>
        <v>12010373.017227724</v>
      </c>
      <c r="F25" s="240">
        <f t="shared" si="13"/>
        <v>12743435.770119395</v>
      </c>
      <c r="G25" s="240">
        <f t="shared" si="13"/>
        <v>13463345.012917947</v>
      </c>
      <c r="H25" s="241">
        <f t="shared" si="13"/>
        <v>14171201.801612632</v>
      </c>
      <c r="I25" s="152"/>
      <c r="J25"/>
      <c r="K25"/>
      <c r="L25"/>
      <c r="M25"/>
      <c r="N25"/>
      <c r="O25"/>
      <c r="P25"/>
      <c r="Q25" s="219" t="s">
        <v>105</v>
      </c>
      <c r="R25" s="220">
        <f>_xlfn.XLOOKUP(R$24,$Z$2:$Z$7,$AB$2:$AB$7,"")</f>
        <v>0.25</v>
      </c>
      <c r="S25" s="63"/>
      <c r="T25" s="219" t="s">
        <v>105</v>
      </c>
      <c r="U25" s="220">
        <f>_xlfn.XLOOKUP(U$24,$Z$2:$Z$7,$AB$2:$AB$7,"")</f>
        <v>0.5</v>
      </c>
      <c r="V25" s="63"/>
      <c r="W25" s="219" t="s">
        <v>105</v>
      </c>
      <c r="X25" s="220">
        <f>_xlfn.XLOOKUP(X$24,$Z$2:$Z$7,$AB$2:$AB$7,"")</f>
        <v>1</v>
      </c>
    </row>
    <row r="26" spans="1:28" s="48" customFormat="1" ht="16" customHeight="1" thickBot="1" x14ac:dyDescent="0.4">
      <c r="A26"/>
      <c r="B26" s="152"/>
      <c r="C26" s="152"/>
      <c r="D26" s="152"/>
      <c r="E26" s="152"/>
      <c r="F26" s="152"/>
      <c r="G26" s="152"/>
      <c r="H26" s="152"/>
      <c r="I26" s="152"/>
      <c r="J26"/>
      <c r="K26"/>
      <c r="L26"/>
      <c r="M26"/>
      <c r="N26"/>
      <c r="O26"/>
      <c r="P26"/>
      <c r="Q26" s="219" t="s">
        <v>106</v>
      </c>
      <c r="R26" s="221">
        <f>IFERROR(R25*R23,"")</f>
        <v>87500</v>
      </c>
      <c r="S26" s="63" t="s">
        <v>67</v>
      </c>
      <c r="T26" s="219" t="s">
        <v>106</v>
      </c>
      <c r="U26" s="221">
        <f>IFERROR(U25*U23,"")</f>
        <v>175000</v>
      </c>
      <c r="V26" s="63"/>
      <c r="W26" s="219" t="s">
        <v>106</v>
      </c>
      <c r="X26" s="221">
        <f>IFERROR(X25*X23,"")</f>
        <v>350000</v>
      </c>
      <c r="Y26" s="168"/>
      <c r="Z26" s="149"/>
      <c r="AA26" s="149"/>
      <c r="AB26" s="149"/>
    </row>
    <row r="27" spans="1:28" ht="18" customHeight="1" thickTop="1" thickBot="1" x14ac:dyDescent="0.4">
      <c r="A27"/>
      <c r="B27" s="152"/>
      <c r="C27" s="152"/>
      <c r="D27" s="152"/>
      <c r="E27" s="152"/>
      <c r="F27" s="152"/>
      <c r="G27" s="152"/>
      <c r="H27" s="152"/>
      <c r="I27" s="152"/>
      <c r="J27"/>
      <c r="K27"/>
      <c r="L27"/>
      <c r="M27"/>
      <c r="N27"/>
      <c r="O27"/>
      <c r="P27"/>
      <c r="Q27" s="222" t="s">
        <v>76</v>
      </c>
      <c r="R27" s="223">
        <f>IFERROR(R26+R23,"")</f>
        <v>437500</v>
      </c>
      <c r="S27" s="63"/>
      <c r="T27" s="222" t="s">
        <v>76</v>
      </c>
      <c r="U27" s="223">
        <f>IFERROR(U26+U23,"")</f>
        <v>525000</v>
      </c>
      <c r="V27" s="63"/>
      <c r="W27" s="222" t="s">
        <v>76</v>
      </c>
      <c r="X27" s="223">
        <f>IFERROR(X26+X23,"")</f>
        <v>700000</v>
      </c>
    </row>
    <row r="28" spans="1:28" ht="14.5" customHeight="1" thickBot="1" x14ac:dyDescent="0.4">
      <c r="A28"/>
      <c r="B28" s="381" t="s">
        <v>177</v>
      </c>
      <c r="C28" s="382"/>
      <c r="D28" s="382"/>
      <c r="E28" s="383"/>
      <c r="F28" s="152"/>
      <c r="G28" s="152"/>
      <c r="H28" s="152"/>
      <c r="I28" s="152"/>
      <c r="J28"/>
      <c r="K28"/>
      <c r="L28"/>
      <c r="M28"/>
      <c r="N28"/>
      <c r="O28"/>
      <c r="P28"/>
      <c r="Q28" s="217"/>
      <c r="R28" s="218" t="s">
        <v>122</v>
      </c>
      <c r="S28" s="63" t="s">
        <v>67</v>
      </c>
      <c r="T28" s="217"/>
      <c r="U28" s="218" t="s">
        <v>123</v>
      </c>
      <c r="V28" s="63"/>
      <c r="W28" s="217"/>
      <c r="X28" s="218" t="s">
        <v>124</v>
      </c>
    </row>
    <row r="29" spans="1:28" ht="30.5" customHeight="1" thickBot="1" x14ac:dyDescent="0.4">
      <c r="A29"/>
      <c r="B29" s="231" t="s">
        <v>175</v>
      </c>
      <c r="C29" s="232" t="s">
        <v>71</v>
      </c>
      <c r="D29" s="232" t="s">
        <v>83</v>
      </c>
      <c r="E29" s="233" t="s">
        <v>68</v>
      </c>
      <c r="F29" s="152"/>
      <c r="G29" s="152"/>
      <c r="H29" s="152"/>
      <c r="I29" s="152"/>
      <c r="J29"/>
      <c r="K29"/>
      <c r="L29"/>
      <c r="M29"/>
      <c r="N29"/>
      <c r="O29"/>
      <c r="P29"/>
      <c r="Q29" s="219" t="s">
        <v>81</v>
      </c>
      <c r="R29" s="221" t="str">
        <f>_xlfn.XLOOKUP(R$28,$Z$9:$Z$13,$AB$9:$AB$13,"")</f>
        <v/>
      </c>
      <c r="S29" s="63"/>
      <c r="T29" s="219" t="s">
        <v>81</v>
      </c>
      <c r="U29" s="221">
        <f>_xlfn.XLOOKUP(U$28,$Z$9:$Z$13,$AB$9:$AB$13,"")</f>
        <v>200000</v>
      </c>
      <c r="V29" s="63"/>
      <c r="W29" s="219" t="s">
        <v>81</v>
      </c>
      <c r="X29" s="221">
        <f>_xlfn.XLOOKUP(X$28,$Z$9:$Z$13,$AB$9:$AB$13,"")</f>
        <v>300000</v>
      </c>
    </row>
    <row r="30" spans="1:28" ht="15" customHeight="1" thickBot="1" x14ac:dyDescent="0.4">
      <c r="A30"/>
      <c r="B30" s="198">
        <f>IFERROR(B31*C30,"")</f>
        <v>12.051668336330135</v>
      </c>
      <c r="C30" s="196">
        <v>0.9</v>
      </c>
      <c r="D30" s="196">
        <v>0.5</v>
      </c>
      <c r="E30" s="137" t="s">
        <v>69</v>
      </c>
      <c r="F30" s="152"/>
      <c r="G30" s="152"/>
      <c r="H30" s="152"/>
      <c r="I30" s="152"/>
      <c r="J30"/>
      <c r="K30"/>
      <c r="L30"/>
      <c r="M30"/>
      <c r="N30"/>
      <c r="O30"/>
      <c r="P30"/>
      <c r="Q30" s="224" t="s">
        <v>75</v>
      </c>
      <c r="R30" s="235" t="str">
        <f>IFERROR(R29+R27,"")</f>
        <v/>
      </c>
      <c r="S30" s="63"/>
      <c r="T30" s="224" t="s">
        <v>75</v>
      </c>
      <c r="U30" s="235">
        <f>IFERROR(U29+U27,"")</f>
        <v>725000</v>
      </c>
      <c r="V30" s="64"/>
      <c r="W30" s="224" t="s">
        <v>75</v>
      </c>
      <c r="X30" s="235">
        <f>IFERROR(X29+X27,"")</f>
        <v>1000000</v>
      </c>
    </row>
    <row r="31" spans="1:28" ht="15.5" customHeight="1" thickBot="1" x14ac:dyDescent="0.4">
      <c r="A31"/>
      <c r="B31" s="260">
        <f>IFERROR(($D$17)/1000000,"")</f>
        <v>13.390742595922372</v>
      </c>
      <c r="C31" s="141">
        <v>1</v>
      </c>
      <c r="D31" s="129">
        <v>1</v>
      </c>
      <c r="E31" s="210" t="s">
        <v>70</v>
      </c>
      <c r="F31" s="152"/>
      <c r="G31" s="152"/>
      <c r="H31" s="152"/>
      <c r="I31" s="152"/>
      <c r="J31"/>
      <c r="K31"/>
      <c r="L31"/>
      <c r="M31"/>
      <c r="N31"/>
      <c r="O31"/>
      <c r="P31"/>
      <c r="Q31" s="63"/>
      <c r="R31" s="63"/>
      <c r="S31" s="63"/>
      <c r="T31" s="63"/>
      <c r="U31" s="63"/>
      <c r="V31" s="63"/>
      <c r="W31" s="63"/>
      <c r="X31" s="63"/>
    </row>
    <row r="32" spans="1:28" ht="15.5" customHeight="1" thickBot="1" x14ac:dyDescent="0.4">
      <c r="A32"/>
      <c r="B32" s="199">
        <f>IFERROR($B$31*$C$32,"")</f>
        <v>14.72981685551461</v>
      </c>
      <c r="C32" s="197">
        <v>1.1000000000000001</v>
      </c>
      <c r="D32" s="197">
        <v>1.5</v>
      </c>
      <c r="E32" s="138" t="s">
        <v>89</v>
      </c>
      <c r="F32"/>
      <c r="G32"/>
      <c r="H32"/>
      <c r="I32"/>
      <c r="J32"/>
      <c r="K32"/>
      <c r="L32"/>
      <c r="M32"/>
      <c r="N32"/>
      <c r="O32"/>
      <c r="P32"/>
      <c r="Q32" s="400" t="s">
        <v>79</v>
      </c>
      <c r="R32" s="401"/>
      <c r="S32" s="121"/>
      <c r="T32" s="406" t="s">
        <v>79</v>
      </c>
      <c r="U32" s="407"/>
      <c r="V32" s="63"/>
      <c r="W32" s="404" t="s">
        <v>79</v>
      </c>
      <c r="X32" s="405"/>
    </row>
    <row r="33" spans="1:28" ht="14" customHeight="1" x14ac:dyDescent="0.35">
      <c r="A33"/>
      <c r="B33" s="427" t="s">
        <v>200</v>
      </c>
      <c r="C33" s="427"/>
      <c r="D33" s="427"/>
      <c r="E33" s="427"/>
      <c r="F33"/>
      <c r="G33"/>
      <c r="H33"/>
      <c r="I33"/>
      <c r="J33"/>
      <c r="K33"/>
      <c r="L33"/>
      <c r="M33"/>
      <c r="N33"/>
      <c r="O33"/>
      <c r="P33"/>
      <c r="Q33" s="219" t="s">
        <v>80</v>
      </c>
      <c r="R33" s="230">
        <f>IFERROR(R23*R17,"")</f>
        <v>235890.4109589041</v>
      </c>
      <c r="S33" s="63"/>
      <c r="T33" s="219" t="s">
        <v>80</v>
      </c>
      <c r="U33" s="230">
        <f>IFERROR(U23*R17,"")</f>
        <v>235890.4109589041</v>
      </c>
      <c r="V33" s="63"/>
      <c r="W33" s="219" t="s">
        <v>80</v>
      </c>
      <c r="X33" s="230">
        <f>IFERROR($X$23*$R$17,"")</f>
        <v>235890.4109589041</v>
      </c>
    </row>
    <row r="34" spans="1:28" ht="14" customHeight="1" x14ac:dyDescent="0.35">
      <c r="A34"/>
      <c r="B34" s="428"/>
      <c r="C34" s="428"/>
      <c r="D34" s="428"/>
      <c r="E34" s="428"/>
      <c r="F34"/>
      <c r="G34"/>
      <c r="H34"/>
      <c r="I34"/>
      <c r="J34"/>
      <c r="K34"/>
      <c r="L34"/>
      <c r="M34"/>
      <c r="N34"/>
      <c r="O34"/>
      <c r="P34"/>
      <c r="Q34" s="219" t="s">
        <v>105</v>
      </c>
      <c r="R34" s="226">
        <f>IFERROR(R25*R17,"")</f>
        <v>0.16849315068493151</v>
      </c>
      <c r="S34" s="63"/>
      <c r="T34" s="219" t="s">
        <v>105</v>
      </c>
      <c r="U34" s="226">
        <f>IFERROR(U25*R17,"")</f>
        <v>0.33698630136986302</v>
      </c>
      <c r="V34" s="63"/>
      <c r="W34" s="219" t="s">
        <v>105</v>
      </c>
      <c r="X34" s="226">
        <f>IFERROR($X$25*$R$17,"")</f>
        <v>0.67397260273972603</v>
      </c>
    </row>
    <row r="35" spans="1:28" ht="16.5" customHeight="1" x14ac:dyDescent="0.35">
      <c r="A35"/>
      <c r="B35" s="428"/>
      <c r="C35" s="428"/>
      <c r="D35" s="428"/>
      <c r="E35" s="428"/>
      <c r="F35"/>
      <c r="G35"/>
      <c r="H35"/>
      <c r="I35"/>
      <c r="J35"/>
      <c r="K35"/>
      <c r="L35"/>
      <c r="M35"/>
      <c r="N35"/>
      <c r="O35"/>
      <c r="P35"/>
      <c r="Q35" s="219" t="s">
        <v>106</v>
      </c>
      <c r="R35" s="227">
        <f>IFERROR(R34*R23,"")</f>
        <v>58972.602739726026</v>
      </c>
      <c r="S35" s="63"/>
      <c r="T35" s="219" t="s">
        <v>106</v>
      </c>
      <c r="U35" s="227">
        <f>IFERROR(U34*U23,"")</f>
        <v>117945.20547945205</v>
      </c>
      <c r="V35" s="63"/>
      <c r="W35" s="219" t="s">
        <v>106</v>
      </c>
      <c r="X35" s="227">
        <f>IFERROR(X34*X23,"")</f>
        <v>235890.4109589041</v>
      </c>
    </row>
    <row r="36" spans="1:28" ht="18.5" customHeight="1" thickBot="1" x14ac:dyDescent="0.4">
      <c r="A36"/>
      <c r="B36" s="428"/>
      <c r="C36" s="428"/>
      <c r="D36" s="428"/>
      <c r="E36" s="428"/>
      <c r="F36" s="344" t="s">
        <v>173</v>
      </c>
      <c r="G36" s="344"/>
      <c r="H36" s="344"/>
      <c r="I36" s="344"/>
      <c r="J36"/>
      <c r="K36"/>
      <c r="L36"/>
      <c r="M36"/>
      <c r="N36"/>
      <c r="O36"/>
      <c r="P36"/>
      <c r="Q36" s="219" t="s">
        <v>101</v>
      </c>
      <c r="R36" s="221" t="str">
        <f>IFERROR($R17*$R$29,"")</f>
        <v/>
      </c>
      <c r="S36" s="63"/>
      <c r="T36" s="219" t="s">
        <v>101</v>
      </c>
      <c r="U36" s="221">
        <f>IFERROR($R17*$U$29,"")</f>
        <v>134794.5205479452</v>
      </c>
      <c r="V36" s="63"/>
      <c r="W36" s="219" t="s">
        <v>101</v>
      </c>
      <c r="X36" s="221">
        <f>IFERROR($R17*$X$29,"")</f>
        <v>202191.78082191781</v>
      </c>
    </row>
    <row r="37" spans="1:28" ht="16" customHeight="1" thickTop="1" x14ac:dyDescent="0.35">
      <c r="A37"/>
      <c r="B37" s="428"/>
      <c r="C37" s="428"/>
      <c r="D37" s="428"/>
      <c r="E37" s="428"/>
      <c r="F37"/>
      <c r="G37"/>
      <c r="H37"/>
      <c r="I37"/>
      <c r="J37"/>
      <c r="K37"/>
      <c r="L37"/>
      <c r="M37"/>
      <c r="N37"/>
      <c r="O37"/>
      <c r="P37"/>
      <c r="Q37" s="222" t="s">
        <v>75</v>
      </c>
      <c r="R37" s="236" t="str">
        <f>IFERROR(R36+R35+R33,"")</f>
        <v/>
      </c>
      <c r="S37" s="63"/>
      <c r="T37" s="224" t="s">
        <v>75</v>
      </c>
      <c r="U37" s="235">
        <f>IFERROR(U36+U35+U33,"")</f>
        <v>488630.1369863014</v>
      </c>
      <c r="V37" s="63"/>
      <c r="W37" s="224" t="s">
        <v>75</v>
      </c>
      <c r="X37" s="235">
        <f>IFERROR(X36+X35+X33,"")</f>
        <v>673972.60273972596</v>
      </c>
    </row>
    <row r="38" spans="1:28" ht="15" thickBot="1" x14ac:dyDescent="0.4">
      <c r="B38" s="428"/>
      <c r="C38" s="428"/>
      <c r="D38" s="428"/>
      <c r="E38" s="428"/>
      <c r="M38" s="140"/>
      <c r="N38" s="45"/>
      <c r="O38" s="45"/>
      <c r="P38" s="2"/>
      <c r="Q38" s="228"/>
      <c r="R38" s="229"/>
      <c r="T38" s="124"/>
      <c r="U38" s="125"/>
      <c r="W38" s="124"/>
      <c r="X38" s="125"/>
    </row>
    <row r="39" spans="1:28" ht="15" customHeight="1" thickBot="1" x14ac:dyDescent="0.4">
      <c r="B39" s="428"/>
      <c r="C39" s="428"/>
      <c r="D39" s="428"/>
      <c r="E39" s="428"/>
      <c r="F39" s="384" t="s">
        <v>176</v>
      </c>
      <c r="G39" s="385"/>
      <c r="H39" s="386"/>
      <c r="M39" s="45"/>
      <c r="N39" s="45"/>
      <c r="O39" s="45"/>
      <c r="P39" s="2"/>
    </row>
    <row r="40" spans="1:28" ht="26.5" thickBot="1" x14ac:dyDescent="0.35">
      <c r="B40" s="428"/>
      <c r="C40" s="428"/>
      <c r="D40" s="428"/>
      <c r="E40" s="428"/>
      <c r="F40" s="231" t="s">
        <v>179</v>
      </c>
      <c r="G40" s="234" t="s">
        <v>90</v>
      </c>
      <c r="H40" s="234" t="s">
        <v>91</v>
      </c>
      <c r="M40" s="45"/>
      <c r="N40" s="45"/>
      <c r="O40" s="45"/>
      <c r="P40" s="2"/>
    </row>
    <row r="41" spans="1:28" s="46" customFormat="1" ht="14.65" customHeight="1" x14ac:dyDescent="0.35">
      <c r="B41" s="428"/>
      <c r="C41" s="428"/>
      <c r="D41" s="428"/>
      <c r="E41" s="428"/>
      <c r="F41" s="363">
        <v>12.7</v>
      </c>
      <c r="G41" s="387">
        <f>IFERROR(F41/(B31),"")</f>
        <v>0.94841640850204145</v>
      </c>
      <c r="H41" s="369">
        <f>IFERROR((IF(ISNUMBER(G41),
IF(G41&lt;C30,0,
IF(G41&lt;C31,D30+(G41-C30)*(D31-D30)/(C31-C30),
IF(G41&lt;C32,D31+(G41-C31)*(D32-D31)/(C32-C31),
D32))),
0))*$T$17,"")</f>
        <v>148416.40850204145</v>
      </c>
      <c r="K41" s="47"/>
      <c r="L41" s="122"/>
      <c r="M41" s="42"/>
      <c r="N41" s="2"/>
      <c r="O41" s="2"/>
      <c r="P41" s="2"/>
      <c r="Q41" s="393" t="s">
        <v>130</v>
      </c>
      <c r="R41" s="393"/>
      <c r="S41" s="45"/>
      <c r="T41" s="394" t="s">
        <v>102</v>
      </c>
      <c r="U41" s="394"/>
      <c r="V41" s="45"/>
      <c r="W41" s="395" t="s">
        <v>131</v>
      </c>
      <c r="X41" s="395"/>
      <c r="Y41" s="171"/>
      <c r="Z41" s="156"/>
      <c r="AA41" s="156"/>
      <c r="AB41" s="156"/>
    </row>
    <row r="42" spans="1:28" ht="14.5" customHeight="1" thickBot="1" x14ac:dyDescent="0.4">
      <c r="F42" s="364"/>
      <c r="G42" s="388"/>
      <c r="H42" s="370"/>
      <c r="M42" s="45"/>
      <c r="N42" s="45"/>
      <c r="O42" s="45"/>
      <c r="P42" s="2"/>
      <c r="Q42" s="393"/>
      <c r="R42" s="393"/>
      <c r="T42" s="394"/>
      <c r="U42" s="394"/>
      <c r="W42" s="395"/>
      <c r="X42" s="395"/>
    </row>
    <row r="43" spans="1:28" ht="16" customHeight="1" thickBot="1" x14ac:dyDescent="0.4">
      <c r="F43" s="365"/>
      <c r="G43" s="389"/>
      <c r="H43" s="371"/>
      <c r="K43" s="47"/>
      <c r="M43" s="45"/>
      <c r="N43" s="45"/>
      <c r="O43" s="45"/>
      <c r="P43" s="2"/>
      <c r="Q43" s="396" t="s">
        <v>88</v>
      </c>
      <c r="R43" s="397"/>
      <c r="T43" s="398" t="s">
        <v>88</v>
      </c>
      <c r="U43" s="399"/>
      <c r="W43" s="390" t="s">
        <v>88</v>
      </c>
      <c r="X43" s="391"/>
    </row>
    <row r="44" spans="1:28" ht="15" customHeight="1" x14ac:dyDescent="0.35">
      <c r="M44" s="127"/>
      <c r="N44" s="2"/>
      <c r="O44" s="2"/>
      <c r="P44" s="2"/>
      <c r="Q44" s="219" t="s">
        <v>80</v>
      </c>
      <c r="R44" s="225">
        <f>IFERROR($T$15,"")</f>
        <v>350000</v>
      </c>
      <c r="T44" s="219" t="s">
        <v>80</v>
      </c>
      <c r="U44" s="225">
        <f>IFERROR($T$15,"")</f>
        <v>350000</v>
      </c>
      <c r="W44" s="219" t="s">
        <v>80</v>
      </c>
      <c r="X44" s="225">
        <f>IFERROR($T$15,"")</f>
        <v>350000</v>
      </c>
    </row>
    <row r="45" spans="1:28" ht="16" customHeight="1" x14ac:dyDescent="0.35">
      <c r="B45" s="46"/>
      <c r="M45" s="42"/>
      <c r="N45" s="2"/>
      <c r="O45" s="2"/>
      <c r="P45" s="2"/>
      <c r="Q45" s="217"/>
      <c r="R45" s="218" t="s">
        <v>126</v>
      </c>
      <c r="S45" s="63"/>
      <c r="T45" s="217"/>
      <c r="U45" s="218" t="s">
        <v>127</v>
      </c>
      <c r="V45" s="63"/>
      <c r="W45" s="217"/>
      <c r="X45" s="218" t="s">
        <v>118</v>
      </c>
    </row>
    <row r="46" spans="1:28" s="46" customFormat="1" ht="14.25" customHeight="1" x14ac:dyDescent="0.35">
      <c r="F46" s="45"/>
      <c r="G46" s="45"/>
      <c r="H46" s="45"/>
      <c r="K46" s="47"/>
      <c r="L46" s="122"/>
      <c r="M46" s="42"/>
      <c r="N46" s="2"/>
      <c r="O46" s="2"/>
      <c r="P46" s="2"/>
      <c r="Q46" s="219" t="s">
        <v>105</v>
      </c>
      <c r="R46" s="220">
        <f>_xlfn.XLOOKUP(R$45,$Z$2:$Z$7,$AB$2:$AB$7,"")</f>
        <v>0.36499999999999999</v>
      </c>
      <c r="S46" s="45"/>
      <c r="T46" s="219" t="s">
        <v>105</v>
      </c>
      <c r="U46" s="220">
        <f>_xlfn.XLOOKUP(U$45,$Z$2:$Z$7,$AB$2:$AB$7,"")</f>
        <v>0.63500000000000001</v>
      </c>
      <c r="V46" s="45"/>
      <c r="W46" s="219" t="s">
        <v>105</v>
      </c>
      <c r="X46" s="220">
        <f>_xlfn.XLOOKUP(X$45,$Z$2:$Z$7,$AB$2:$AB$7,"")</f>
        <v>0.5</v>
      </c>
      <c r="Y46" s="65"/>
      <c r="Z46" s="156"/>
      <c r="AA46" s="156"/>
      <c r="AB46" s="156"/>
    </row>
    <row r="47" spans="1:28" s="46" customFormat="1" ht="14.25" customHeight="1" thickBot="1" x14ac:dyDescent="0.4">
      <c r="F47" s="359" t="s">
        <v>169</v>
      </c>
      <c r="G47" s="359"/>
      <c r="H47" s="359"/>
      <c r="K47" s="47"/>
      <c r="L47" s="122"/>
      <c r="M47" s="42"/>
      <c r="N47" s="2"/>
      <c r="O47" s="2"/>
      <c r="P47" s="2"/>
      <c r="Q47" s="219" t="s">
        <v>106</v>
      </c>
      <c r="R47" s="221">
        <f>IFERROR(R46*R44,"")</f>
        <v>127750</v>
      </c>
      <c r="S47" s="45"/>
      <c r="T47" s="219" t="s">
        <v>106</v>
      </c>
      <c r="U47" s="221">
        <f>IFERROR(U46*U44,"")</f>
        <v>222250</v>
      </c>
      <c r="V47" s="45"/>
      <c r="W47" s="219" t="s">
        <v>106</v>
      </c>
      <c r="X47" s="221">
        <f>IFERROR(X46*X44,"")</f>
        <v>175000</v>
      </c>
      <c r="Y47" s="65"/>
      <c r="Z47" s="156"/>
      <c r="AA47" s="156"/>
      <c r="AB47" s="156"/>
    </row>
    <row r="48" spans="1:28" s="46" customFormat="1" ht="14.25" customHeight="1" thickTop="1" x14ac:dyDescent="0.35">
      <c r="B48" s="47"/>
      <c r="F48" s="356" t="s">
        <v>88</v>
      </c>
      <c r="G48" s="357"/>
      <c r="H48" s="358"/>
      <c r="K48" s="47"/>
      <c r="L48" s="122"/>
      <c r="M48" s="42"/>
      <c r="N48" s="2"/>
      <c r="O48" s="2"/>
      <c r="P48" s="2"/>
      <c r="Q48" s="222" t="s">
        <v>76</v>
      </c>
      <c r="R48" s="223">
        <f>IFERROR(R47+R44,"")</f>
        <v>477750</v>
      </c>
      <c r="S48" s="45"/>
      <c r="T48" s="222" t="s">
        <v>76</v>
      </c>
      <c r="U48" s="223">
        <f>IFERROR(U47+U44,"")</f>
        <v>572250</v>
      </c>
      <c r="V48" s="45"/>
      <c r="W48" s="222" t="s">
        <v>76</v>
      </c>
      <c r="X48" s="223">
        <f>IFERROR(X47+X44,"")</f>
        <v>525000</v>
      </c>
      <c r="Y48" s="65"/>
      <c r="Z48" s="156"/>
      <c r="AA48" s="156"/>
      <c r="AB48" s="156"/>
    </row>
    <row r="49" spans="1:33" s="47" customFormat="1" ht="14.65" customHeight="1" x14ac:dyDescent="0.35">
      <c r="F49" s="281" t="s">
        <v>80</v>
      </c>
      <c r="G49" s="282"/>
      <c r="H49" s="272">
        <f>T15</f>
        <v>350000</v>
      </c>
      <c r="K49" s="123"/>
      <c r="L49" s="123"/>
      <c r="M49" s="97"/>
      <c r="N49" s="2"/>
      <c r="O49" s="2"/>
      <c r="P49" s="2"/>
      <c r="Q49" s="217"/>
      <c r="R49" s="218" t="s">
        <v>128</v>
      </c>
      <c r="S49" s="63" t="s">
        <v>67</v>
      </c>
      <c r="T49" s="217"/>
      <c r="U49" s="218" t="s">
        <v>129</v>
      </c>
      <c r="V49" s="63"/>
      <c r="W49" s="217"/>
      <c r="X49" s="218" t="s">
        <v>128</v>
      </c>
      <c r="Y49" s="171"/>
      <c r="Z49" s="149"/>
      <c r="AA49" s="149"/>
      <c r="AB49" s="149"/>
    </row>
    <row r="50" spans="1:33" s="47" customFormat="1" ht="15" thickBot="1" x14ac:dyDescent="0.4">
      <c r="B50" s="45"/>
      <c r="F50" s="283" t="s">
        <v>170</v>
      </c>
      <c r="G50" s="258"/>
      <c r="H50" s="273">
        <f>T16</f>
        <v>0.5</v>
      </c>
      <c r="K50" s="123"/>
      <c r="L50" s="123"/>
      <c r="M50" s="97"/>
      <c r="N50" s="2"/>
      <c r="O50" s="2"/>
      <c r="P50" s="2"/>
      <c r="Q50" s="219" t="s">
        <v>81</v>
      </c>
      <c r="R50" s="221">
        <f>_xlfn.XLOOKUP(R$49,$Z$9:$Z$13,$AB$9:$AB$13,"")</f>
        <v>126000</v>
      </c>
      <c r="S50" s="45"/>
      <c r="T50" s="219" t="s">
        <v>81</v>
      </c>
      <c r="U50" s="221">
        <f>_xlfn.XLOOKUP(U$49,$Z$9:$Z$13,$AB$9:$AB$13,"")</f>
        <v>246000</v>
      </c>
      <c r="V50" s="45"/>
      <c r="W50" s="219" t="s">
        <v>81</v>
      </c>
      <c r="X50" s="221">
        <f>_xlfn.XLOOKUP(X$49,$Z$9:$Z$13,$AB$9:$AB$13,"")</f>
        <v>126000</v>
      </c>
      <c r="Y50" s="171"/>
      <c r="Z50" s="149"/>
      <c r="AA50" s="149"/>
      <c r="AB50" s="149"/>
    </row>
    <row r="51" spans="1:33" ht="15" customHeight="1" thickTop="1" thickBot="1" x14ac:dyDescent="0.4">
      <c r="B51" s="98"/>
      <c r="F51" s="264" t="s">
        <v>171</v>
      </c>
      <c r="G51" s="46"/>
      <c r="H51" s="267">
        <f>H50*H49</f>
        <v>175000</v>
      </c>
      <c r="K51" s="98"/>
      <c r="L51" s="98"/>
      <c r="M51" s="97"/>
      <c r="N51" s="2"/>
      <c r="O51" s="2"/>
      <c r="P51" s="2"/>
      <c r="Q51" s="224" t="s">
        <v>75</v>
      </c>
      <c r="R51" s="235">
        <f>IFERROR(R50+R48,"")</f>
        <v>603750</v>
      </c>
      <c r="T51" s="224" t="s">
        <v>75</v>
      </c>
      <c r="U51" s="235">
        <f>IFERROR(U50+U48,"")</f>
        <v>818250</v>
      </c>
      <c r="W51" s="224" t="s">
        <v>75</v>
      </c>
      <c r="X51" s="235">
        <f>IFERROR(X50+X48,"")</f>
        <v>651000</v>
      </c>
      <c r="Y51" s="171"/>
    </row>
    <row r="52" spans="1:33" ht="14.5" customHeight="1" thickTop="1" thickBot="1" x14ac:dyDescent="0.4">
      <c r="A52" s="14"/>
      <c r="F52" s="284" t="s">
        <v>76</v>
      </c>
      <c r="G52" s="285"/>
      <c r="H52" s="274">
        <f>IFERROR(H51+H49,"")</f>
        <v>525000</v>
      </c>
      <c r="I52" s="132"/>
      <c r="K52" s="98"/>
      <c r="L52" s="98"/>
      <c r="M52" s="97"/>
      <c r="N52" s="2"/>
      <c r="O52" s="2"/>
      <c r="P52" s="2"/>
      <c r="Q52" s="63"/>
      <c r="R52" s="63"/>
      <c r="T52" s="63"/>
      <c r="U52" s="63"/>
      <c r="W52" s="63"/>
      <c r="X52" s="63"/>
    </row>
    <row r="53" spans="1:33" ht="14.5" customHeight="1" thickBot="1" x14ac:dyDescent="0.4">
      <c r="A53" s="14"/>
      <c r="F53" s="283" t="s">
        <v>181</v>
      </c>
      <c r="G53" s="258"/>
      <c r="H53" s="275">
        <f>H41</f>
        <v>148416.40850204145</v>
      </c>
      <c r="I53" s="98"/>
      <c r="J53" s="98"/>
      <c r="K53" s="98"/>
      <c r="L53" s="98"/>
      <c r="M53" s="97"/>
      <c r="N53" s="2"/>
      <c r="O53" s="2"/>
      <c r="P53" s="45"/>
      <c r="Q53" s="396" t="s">
        <v>79</v>
      </c>
      <c r="R53" s="397"/>
      <c r="T53" s="398" t="s">
        <v>79</v>
      </c>
      <c r="U53" s="399"/>
      <c r="W53" s="390" t="s">
        <v>79</v>
      </c>
      <c r="X53" s="391"/>
      <c r="Y53" s="171"/>
    </row>
    <row r="54" spans="1:33" ht="15.5" customHeight="1" thickTop="1" x14ac:dyDescent="0.35">
      <c r="A54" s="14"/>
      <c r="F54" s="286" t="s">
        <v>75</v>
      </c>
      <c r="G54" s="287"/>
      <c r="H54" s="276">
        <f>IFERROR(H53+H52,"")</f>
        <v>673416.40850204148</v>
      </c>
      <c r="I54" s="98"/>
      <c r="J54" s="98"/>
      <c r="K54" s="98"/>
      <c r="L54" s="98"/>
      <c r="M54" s="97"/>
      <c r="N54" s="2"/>
      <c r="O54" s="2"/>
      <c r="P54" s="45"/>
      <c r="Q54" s="219" t="s">
        <v>80</v>
      </c>
      <c r="R54" s="230">
        <f>IFERROR($R$17*R44,"")</f>
        <v>235890.4109589041</v>
      </c>
      <c r="T54" s="219" t="s">
        <v>80</v>
      </c>
      <c r="U54" s="230">
        <f>IFERROR($R$17*U44,"")</f>
        <v>235890.4109589041</v>
      </c>
      <c r="W54" s="219" t="s">
        <v>80</v>
      </c>
      <c r="X54" s="230">
        <f>IFERROR($R$17*X44,"")</f>
        <v>235890.4109589041</v>
      </c>
      <c r="Y54" s="171"/>
    </row>
    <row r="55" spans="1:33" ht="14.5" customHeight="1" x14ac:dyDescent="0.35">
      <c r="A55" s="14"/>
      <c r="F55" s="415" t="s">
        <v>197</v>
      </c>
      <c r="G55" s="415"/>
      <c r="H55" s="415"/>
      <c r="I55" s="98"/>
      <c r="J55" s="98"/>
      <c r="K55" s="98"/>
      <c r="L55" s="98"/>
      <c r="M55" s="97"/>
      <c r="N55" s="2"/>
      <c r="O55" s="2"/>
      <c r="P55" s="45"/>
      <c r="Q55" s="219" t="s">
        <v>105</v>
      </c>
      <c r="R55" s="226">
        <f>IFERROR(R46*R17,"")</f>
        <v>0.246</v>
      </c>
      <c r="T55" s="219" t="s">
        <v>105</v>
      </c>
      <c r="U55" s="226">
        <f>IFERROR(U46*R17,"")</f>
        <v>0.42797260273972604</v>
      </c>
      <c r="W55" s="219" t="s">
        <v>105</v>
      </c>
      <c r="X55" s="226">
        <f>IFERROR(X46*U17,"")</f>
        <v>0</v>
      </c>
      <c r="Y55" s="171"/>
    </row>
    <row r="56" spans="1:33" x14ac:dyDescent="0.35">
      <c r="A56" s="14"/>
      <c r="B56" s="98"/>
      <c r="F56" s="416"/>
      <c r="G56" s="416"/>
      <c r="H56" s="416"/>
      <c r="I56" s="132"/>
      <c r="K56" s="98"/>
      <c r="L56" s="98"/>
      <c r="M56" s="97"/>
      <c r="N56" s="2"/>
      <c r="O56" s="2"/>
      <c r="P56" s="2"/>
      <c r="Q56" s="219" t="s">
        <v>106</v>
      </c>
      <c r="R56" s="227">
        <f>IFERROR(R55*R44,"")</f>
        <v>86100</v>
      </c>
      <c r="T56" s="219" t="s">
        <v>106</v>
      </c>
      <c r="U56" s="227">
        <f>IFERROR(U55*U44,"")</f>
        <v>149790.4109589041</v>
      </c>
      <c r="W56" s="219" t="s">
        <v>106</v>
      </c>
      <c r="X56" s="227">
        <f>IFERROR(X55*X44,"")</f>
        <v>0</v>
      </c>
    </row>
    <row r="57" spans="1:33" ht="15" thickBot="1" x14ac:dyDescent="0.4">
      <c r="A57" s="14"/>
      <c r="C57" s="98"/>
      <c r="D57" s="98"/>
      <c r="E57" s="98"/>
      <c r="F57" s="416"/>
      <c r="G57" s="416"/>
      <c r="H57" s="416"/>
      <c r="I57" s="98"/>
      <c r="J57" s="98"/>
      <c r="K57" s="98"/>
      <c r="L57" s="98"/>
      <c r="M57" s="97"/>
      <c r="N57" s="2"/>
      <c r="O57" s="2"/>
      <c r="P57" s="45"/>
      <c r="Q57" s="219" t="s">
        <v>101</v>
      </c>
      <c r="R57" s="221">
        <f>IFERROR($R50*$R$17,"")</f>
        <v>84920.547945205486</v>
      </c>
      <c r="T57" s="219" t="s">
        <v>101</v>
      </c>
      <c r="U57" s="221">
        <f>IFERROR($U50*$R$17,"")</f>
        <v>165797.26027397261</v>
      </c>
      <c r="W57" s="219" t="s">
        <v>101</v>
      </c>
      <c r="X57" s="221">
        <f>IFERROR($X50*$R$17,"")</f>
        <v>84920.547945205486</v>
      </c>
      <c r="Y57" s="171"/>
    </row>
    <row r="58" spans="1:33" ht="16" customHeight="1" thickTop="1" x14ac:dyDescent="0.35">
      <c r="F58" s="416"/>
      <c r="G58" s="416"/>
      <c r="H58" s="416"/>
      <c r="M58" s="45"/>
      <c r="N58" s="45"/>
      <c r="O58" s="45"/>
      <c r="P58" s="2"/>
      <c r="Q58" s="224" t="s">
        <v>75</v>
      </c>
      <c r="R58" s="235">
        <f>IFERROR(R57+R56+R54,"")</f>
        <v>406910.95890410955</v>
      </c>
      <c r="T58" s="224" t="s">
        <v>75</v>
      </c>
      <c r="U58" s="235">
        <f>IFERROR(U57+U56+U54,"")</f>
        <v>551478.08219178079</v>
      </c>
      <c r="W58" s="224" t="s">
        <v>75</v>
      </c>
      <c r="X58" s="235">
        <f>IFERROR(X57+X56+X54,"")</f>
        <v>320810.9589041096</v>
      </c>
    </row>
    <row r="59" spans="1:33" x14ac:dyDescent="0.35">
      <c r="A59" s="116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7"/>
      <c r="N59" s="2"/>
      <c r="O59" s="2"/>
      <c r="P59" s="45"/>
      <c r="Y59" s="45"/>
      <c r="Z59" s="45"/>
    </row>
    <row r="60" spans="1:33" x14ac:dyDescent="0.35">
      <c r="A60" s="14"/>
      <c r="C60" s="98"/>
      <c r="D60" s="98"/>
      <c r="E60" s="98"/>
      <c r="F60" s="98"/>
      <c r="G60" s="98"/>
      <c r="H60" s="98"/>
      <c r="I60" s="98"/>
      <c r="J60" s="98"/>
      <c r="K60" s="98"/>
      <c r="L60" s="98"/>
      <c r="M60" s="97"/>
      <c r="N60" s="2"/>
      <c r="O60" s="2"/>
      <c r="P60" s="45"/>
      <c r="Y60" s="45"/>
      <c r="Z60" s="45"/>
    </row>
    <row r="61" spans="1:33" s="156" customFormat="1" x14ac:dyDescent="0.35">
      <c r="A61" s="14"/>
      <c r="B61" s="45"/>
      <c r="C61" s="98"/>
      <c r="D61" s="98"/>
      <c r="E61" s="98"/>
      <c r="F61" s="98"/>
      <c r="G61" s="98"/>
      <c r="H61" s="98"/>
      <c r="I61" s="98"/>
      <c r="J61" s="98"/>
      <c r="K61" s="98"/>
      <c r="L61" s="98"/>
      <c r="M61" s="97"/>
      <c r="N61" s="2"/>
      <c r="O61" s="2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C61" s="45"/>
      <c r="AD61" s="45"/>
      <c r="AE61" s="45"/>
      <c r="AF61" s="45"/>
      <c r="AG61" s="45"/>
    </row>
    <row r="62" spans="1:33" s="156" customFormat="1" x14ac:dyDescent="0.35">
      <c r="A62" s="14"/>
      <c r="B62" s="45"/>
      <c r="C62" s="98"/>
      <c r="D62" s="98"/>
      <c r="E62" s="98"/>
      <c r="F62" s="98"/>
      <c r="G62" s="98"/>
      <c r="H62" s="98"/>
      <c r="I62" s="98"/>
      <c r="J62" s="98"/>
      <c r="K62" s="98"/>
      <c r="L62" s="98"/>
      <c r="M62" s="97"/>
      <c r="N62" s="2"/>
      <c r="O62" s="2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C62" s="45"/>
      <c r="AD62" s="45"/>
      <c r="AE62" s="45"/>
      <c r="AF62" s="45"/>
      <c r="AG62" s="45"/>
    </row>
    <row r="63" spans="1:33" s="156" customFormat="1" x14ac:dyDescent="0.35">
      <c r="A63" s="14"/>
      <c r="B63" s="45"/>
      <c r="C63" s="98"/>
      <c r="D63" s="98"/>
      <c r="E63" s="98"/>
      <c r="F63" s="98"/>
      <c r="G63" s="98"/>
      <c r="H63" s="98"/>
      <c r="I63" s="98"/>
      <c r="J63" s="98"/>
      <c r="K63" s="98"/>
      <c r="L63" s="98"/>
      <c r="M63" s="97"/>
      <c r="N63" s="21"/>
      <c r="O63" s="21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C63" s="45"/>
      <c r="AD63" s="45"/>
      <c r="AE63" s="45"/>
      <c r="AF63" s="45"/>
      <c r="AG63" s="45"/>
    </row>
    <row r="64" spans="1:33" s="156" customFormat="1" x14ac:dyDescent="0.35">
      <c r="A64" s="9"/>
      <c r="B64" s="45"/>
      <c r="C64" s="98"/>
      <c r="D64" s="98"/>
      <c r="E64" s="98"/>
      <c r="F64" s="98"/>
      <c r="G64" s="98"/>
      <c r="H64" s="98"/>
      <c r="I64" s="98"/>
      <c r="J64" s="98"/>
      <c r="K64" s="98"/>
      <c r="L64" s="98"/>
      <c r="M64" s="99"/>
      <c r="N64" s="21"/>
      <c r="O64" s="21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C64" s="45"/>
      <c r="AD64" s="45"/>
      <c r="AE64" s="45"/>
      <c r="AF64" s="45"/>
      <c r="AG64" s="45"/>
    </row>
    <row r="65" spans="1:33" s="156" customFormat="1" x14ac:dyDescent="0.35">
      <c r="A65" s="14"/>
      <c r="B65" s="45"/>
      <c r="C65" s="98"/>
      <c r="D65" s="98"/>
      <c r="E65" s="98"/>
      <c r="F65" s="98"/>
      <c r="G65" s="98"/>
      <c r="H65" s="98"/>
      <c r="I65" s="98"/>
      <c r="J65" s="98"/>
      <c r="K65" s="98"/>
      <c r="L65" s="98"/>
      <c r="M65" s="97"/>
      <c r="N65" s="183"/>
      <c r="O65" s="183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C65" s="45"/>
      <c r="AD65" s="45"/>
      <c r="AE65" s="45"/>
      <c r="AF65" s="45"/>
      <c r="AG65" s="45"/>
    </row>
    <row r="66" spans="1:33" s="156" customFormat="1" x14ac:dyDescent="0.35">
      <c r="A66" s="14"/>
      <c r="B66" s="45"/>
      <c r="C66" s="98"/>
      <c r="D66" s="98"/>
      <c r="E66" s="98"/>
      <c r="F66" s="98"/>
      <c r="G66" s="98"/>
      <c r="H66" s="98"/>
      <c r="I66" s="98"/>
      <c r="J66" s="98"/>
      <c r="K66" s="98"/>
      <c r="L66" s="98"/>
      <c r="M66" s="100"/>
      <c r="N66" s="21"/>
      <c r="O66" s="21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C66" s="45"/>
      <c r="AD66" s="45"/>
      <c r="AE66" s="45"/>
      <c r="AF66" s="45"/>
      <c r="AG66" s="45"/>
    </row>
    <row r="67" spans="1:33" s="156" customFormat="1" x14ac:dyDescent="0.35">
      <c r="A67" s="14"/>
      <c r="B67" s="45"/>
      <c r="C67" s="98"/>
      <c r="D67" s="98"/>
      <c r="E67" s="98"/>
      <c r="F67" s="98"/>
      <c r="G67" s="98"/>
      <c r="H67" s="98"/>
      <c r="I67" s="98"/>
      <c r="J67" s="98"/>
      <c r="K67" s="98"/>
      <c r="L67" s="98"/>
      <c r="M67" s="100"/>
      <c r="N67" s="21"/>
      <c r="O67" s="21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C67" s="45"/>
      <c r="AD67" s="45"/>
      <c r="AE67" s="45"/>
      <c r="AF67" s="45"/>
      <c r="AG67" s="45"/>
    </row>
    <row r="68" spans="1:33" s="156" customFormat="1" x14ac:dyDescent="0.35">
      <c r="A68" s="14"/>
      <c r="B68" s="45"/>
      <c r="C68" s="98"/>
      <c r="D68" s="98"/>
      <c r="E68" s="98"/>
      <c r="F68" s="98"/>
      <c r="G68" s="98"/>
      <c r="H68" s="98"/>
      <c r="I68" s="98"/>
      <c r="J68" s="98"/>
      <c r="K68" s="98"/>
      <c r="L68" s="98"/>
      <c r="M68" s="100"/>
      <c r="N68" s="21"/>
      <c r="O68" s="21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C68" s="45"/>
      <c r="AD68" s="45"/>
      <c r="AE68" s="45"/>
      <c r="AF68" s="45"/>
      <c r="AG68" s="45"/>
    </row>
    <row r="69" spans="1:33" s="156" customFormat="1" x14ac:dyDescent="0.35">
      <c r="A69" s="14"/>
      <c r="B69" s="45"/>
      <c r="C69" s="98"/>
      <c r="D69" s="98"/>
      <c r="E69" s="98"/>
      <c r="F69" s="98"/>
      <c r="G69" s="98"/>
      <c r="H69" s="98"/>
      <c r="I69" s="98"/>
      <c r="J69" s="98"/>
      <c r="K69" s="98"/>
      <c r="L69" s="98"/>
      <c r="M69" s="100"/>
      <c r="N69" s="21"/>
      <c r="O69" s="21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C69" s="45"/>
      <c r="AD69" s="45"/>
      <c r="AE69" s="45"/>
      <c r="AF69" s="45"/>
      <c r="AG69" s="45"/>
    </row>
    <row r="70" spans="1:33" s="156" customFormat="1" x14ac:dyDescent="0.35">
      <c r="A70" s="14"/>
      <c r="B70" s="45"/>
      <c r="C70" s="98"/>
      <c r="D70" s="98"/>
      <c r="E70" s="98"/>
      <c r="F70" s="98"/>
      <c r="G70" s="98"/>
      <c r="H70" s="98"/>
      <c r="I70" s="98"/>
      <c r="J70" s="98"/>
      <c r="K70" s="98"/>
      <c r="L70" s="98"/>
      <c r="M70" s="100"/>
      <c r="N70" s="21"/>
      <c r="O70" s="21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C70" s="45"/>
      <c r="AD70" s="45"/>
      <c r="AE70" s="45"/>
      <c r="AF70" s="45"/>
      <c r="AG70" s="45"/>
    </row>
    <row r="71" spans="1:33" s="156" customFormat="1" x14ac:dyDescent="0.35">
      <c r="A71" s="143"/>
      <c r="B71" s="143"/>
      <c r="C71" s="143"/>
      <c r="D71" s="143"/>
      <c r="E71" s="143"/>
      <c r="F71" s="143"/>
      <c r="G71" s="143"/>
      <c r="H71" s="143"/>
      <c r="I71" s="143"/>
      <c r="J71" s="143"/>
      <c r="K71" s="143"/>
      <c r="L71" s="143"/>
      <c r="M71" s="143"/>
      <c r="N71" s="143"/>
      <c r="O71" s="21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C71" s="45"/>
      <c r="AD71" s="45"/>
      <c r="AE71" s="45"/>
      <c r="AF71" s="45"/>
      <c r="AG71" s="45"/>
    </row>
  </sheetData>
  <mergeCells count="32">
    <mergeCell ref="F47:H47"/>
    <mergeCell ref="F48:H48"/>
    <mergeCell ref="F55:H58"/>
    <mergeCell ref="Q53:R53"/>
    <mergeCell ref="T53:U53"/>
    <mergeCell ref="W53:X53"/>
    <mergeCell ref="A1:O1"/>
    <mergeCell ref="Q41:R42"/>
    <mergeCell ref="T41:U42"/>
    <mergeCell ref="W41:X42"/>
    <mergeCell ref="Q43:R43"/>
    <mergeCell ref="T43:U43"/>
    <mergeCell ref="W43:X43"/>
    <mergeCell ref="Q22:R22"/>
    <mergeCell ref="T22:U22"/>
    <mergeCell ref="W22:X22"/>
    <mergeCell ref="Q32:R32"/>
    <mergeCell ref="T32:U32"/>
    <mergeCell ref="W32:X32"/>
    <mergeCell ref="Q12:X13"/>
    <mergeCell ref="Q20:R21"/>
    <mergeCell ref="B28:E28"/>
    <mergeCell ref="F39:H39"/>
    <mergeCell ref="F41:F43"/>
    <mergeCell ref="G41:G43"/>
    <mergeCell ref="H41:H43"/>
    <mergeCell ref="B33:E41"/>
    <mergeCell ref="C7:D7"/>
    <mergeCell ref="B9:C9"/>
    <mergeCell ref="P1:X1"/>
    <mergeCell ref="T20:U21"/>
    <mergeCell ref="W20:X21"/>
  </mergeCells>
  <printOptions horizontalCentered="1" verticalCentered="1"/>
  <pageMargins left="0.25" right="0.25" top="0.75" bottom="0.75" header="0.3" footer="0.3"/>
  <pageSetup scale="25" orientation="landscape" r:id="rId1"/>
  <drawing r:id="rId2"/>
  <legacyDrawing r:id="rId3"/>
  <controls>
    <mc:AlternateContent xmlns:mc="http://schemas.openxmlformats.org/markup-compatibility/2006">
      <mc:Choice Requires="x14">
        <control shapeId="11277" r:id="rId4" name="ComboBox12">
          <controlPr defaultSize="0" print="0" autoLine="0" linkedCell="U49" listFillRange="Z9:Z13" r:id="rId5">
            <anchor moveWithCells="1" sizeWithCells="1">
              <from>
                <xdr:col>19</xdr:col>
                <xdr:colOff>1758950</xdr:colOff>
                <xdr:row>48</xdr:row>
                <xdr:rowOff>12700</xdr:rowOff>
              </from>
              <to>
                <xdr:col>20</xdr:col>
                <xdr:colOff>2038350</xdr:colOff>
                <xdr:row>49</xdr:row>
                <xdr:rowOff>31750</xdr:rowOff>
              </to>
            </anchor>
          </controlPr>
        </control>
      </mc:Choice>
      <mc:Fallback>
        <control shapeId="11277" r:id="rId4" name="ComboBox12"/>
      </mc:Fallback>
    </mc:AlternateContent>
    <mc:AlternateContent xmlns:mc="http://schemas.openxmlformats.org/markup-compatibility/2006">
      <mc:Choice Requires="x14">
        <control shapeId="11276" r:id="rId6" name="ComboBox11">
          <controlPr defaultSize="0" print="0" autoLine="0" linkedCell="R49" listFillRange="Z9:Z13" r:id="rId7">
            <anchor moveWithCells="1" sizeWithCells="1">
              <from>
                <xdr:col>17</xdr:col>
                <xdr:colOff>6350</xdr:colOff>
                <xdr:row>48</xdr:row>
                <xdr:rowOff>6350</xdr:rowOff>
              </from>
              <to>
                <xdr:col>18</xdr:col>
                <xdr:colOff>6350</xdr:colOff>
                <xdr:row>49</xdr:row>
                <xdr:rowOff>19050</xdr:rowOff>
              </to>
            </anchor>
          </controlPr>
        </control>
      </mc:Choice>
      <mc:Fallback>
        <control shapeId="11276" r:id="rId6" name="ComboBox11"/>
      </mc:Fallback>
    </mc:AlternateContent>
    <mc:AlternateContent xmlns:mc="http://schemas.openxmlformats.org/markup-compatibility/2006">
      <mc:Choice Requires="x14">
        <control shapeId="11275" r:id="rId8" name="ComboBox13">
          <controlPr defaultSize="0" print="0" autoLine="0" linkedCell="X49" listFillRange="Z9:Z13" r:id="rId9">
            <anchor moveWithCells="1" sizeWithCells="1">
              <from>
                <xdr:col>22</xdr:col>
                <xdr:colOff>1746250</xdr:colOff>
                <xdr:row>48</xdr:row>
                <xdr:rowOff>0</xdr:rowOff>
              </from>
              <to>
                <xdr:col>23</xdr:col>
                <xdr:colOff>2000250</xdr:colOff>
                <xdr:row>49</xdr:row>
                <xdr:rowOff>25400</xdr:rowOff>
              </to>
            </anchor>
          </controlPr>
        </control>
      </mc:Choice>
      <mc:Fallback>
        <control shapeId="11275" r:id="rId8" name="ComboBox13"/>
      </mc:Fallback>
    </mc:AlternateContent>
    <mc:AlternateContent xmlns:mc="http://schemas.openxmlformats.org/markup-compatibility/2006">
      <mc:Choice Requires="x14">
        <control shapeId="11274" r:id="rId10" name="ComboBox10">
          <controlPr defaultSize="0" print="0" autoLine="0" linkedCell="X28" listFillRange="Z9:Z13" r:id="rId11">
            <anchor moveWithCells="1" sizeWithCells="1">
              <from>
                <xdr:col>23</xdr:col>
                <xdr:colOff>12700</xdr:colOff>
                <xdr:row>34</xdr:row>
                <xdr:rowOff>12700</xdr:rowOff>
              </from>
              <to>
                <xdr:col>24</xdr:col>
                <xdr:colOff>12700</xdr:colOff>
                <xdr:row>35</xdr:row>
                <xdr:rowOff>6350</xdr:rowOff>
              </to>
            </anchor>
          </controlPr>
        </control>
      </mc:Choice>
      <mc:Fallback>
        <control shapeId="11274" r:id="rId10" name="ComboBox10"/>
      </mc:Fallback>
    </mc:AlternateContent>
    <mc:AlternateContent xmlns:mc="http://schemas.openxmlformats.org/markup-compatibility/2006">
      <mc:Choice Requires="x14">
        <control shapeId="11273" r:id="rId12" name="ComboBox9">
          <controlPr defaultSize="0" print="0" autoLine="0" linkedCell="U28" listFillRange="Z9:Z13" r:id="rId13">
            <anchor moveWithCells="1" sizeWithCells="1">
              <from>
                <xdr:col>20</xdr:col>
                <xdr:colOff>12700</xdr:colOff>
                <xdr:row>27</xdr:row>
                <xdr:rowOff>12700</xdr:rowOff>
              </from>
              <to>
                <xdr:col>21</xdr:col>
                <xdr:colOff>12700</xdr:colOff>
                <xdr:row>28</xdr:row>
                <xdr:rowOff>6350</xdr:rowOff>
              </to>
            </anchor>
          </controlPr>
        </control>
      </mc:Choice>
      <mc:Fallback>
        <control shapeId="11273" r:id="rId12" name="ComboBox9"/>
      </mc:Fallback>
    </mc:AlternateContent>
    <mc:AlternateContent xmlns:mc="http://schemas.openxmlformats.org/markup-compatibility/2006">
      <mc:Choice Requires="x14">
        <control shapeId="11272" r:id="rId14" name="ComboBox8">
          <controlPr defaultSize="0" print="0" autoLine="0" linkedCell="R28" listFillRange="Z9:Z13" r:id="rId15">
            <anchor moveWithCells="1" sizeWithCells="1">
              <from>
                <xdr:col>17</xdr:col>
                <xdr:colOff>12700</xdr:colOff>
                <xdr:row>27</xdr:row>
                <xdr:rowOff>12700</xdr:rowOff>
              </from>
              <to>
                <xdr:col>18</xdr:col>
                <xdr:colOff>12700</xdr:colOff>
                <xdr:row>28</xdr:row>
                <xdr:rowOff>6350</xdr:rowOff>
              </to>
            </anchor>
          </controlPr>
        </control>
      </mc:Choice>
      <mc:Fallback>
        <control shapeId="11272" r:id="rId14" name="ComboBox8"/>
      </mc:Fallback>
    </mc:AlternateContent>
    <mc:AlternateContent xmlns:mc="http://schemas.openxmlformats.org/markup-compatibility/2006">
      <mc:Choice Requires="x14">
        <control shapeId="11271" r:id="rId16" name="ComboBox7">
          <controlPr defaultSize="0" print="0" autoLine="0" linkedCell="X45" listFillRange="Z2:Z7" r:id="rId17">
            <anchor moveWithCells="1" sizeWithCells="1">
              <from>
                <xdr:col>22</xdr:col>
                <xdr:colOff>1758950</xdr:colOff>
                <xdr:row>43</xdr:row>
                <xdr:rowOff>184150</xdr:rowOff>
              </from>
              <to>
                <xdr:col>23</xdr:col>
                <xdr:colOff>2051050</xdr:colOff>
                <xdr:row>44</xdr:row>
                <xdr:rowOff>190500</xdr:rowOff>
              </to>
            </anchor>
          </controlPr>
        </control>
      </mc:Choice>
      <mc:Fallback>
        <control shapeId="11271" r:id="rId16" name="ComboBox7"/>
      </mc:Fallback>
    </mc:AlternateContent>
    <mc:AlternateContent xmlns:mc="http://schemas.openxmlformats.org/markup-compatibility/2006">
      <mc:Choice Requires="x14">
        <control shapeId="11270" r:id="rId18" name="ComboBox6">
          <controlPr defaultSize="0" print="0" autoLine="0" linkedCell="U45" listFillRange="Z2:Z7" r:id="rId19">
            <anchor moveWithCells="1" sizeWithCells="1">
              <from>
                <xdr:col>19</xdr:col>
                <xdr:colOff>1758950</xdr:colOff>
                <xdr:row>43</xdr:row>
                <xdr:rowOff>184150</xdr:rowOff>
              </from>
              <to>
                <xdr:col>20</xdr:col>
                <xdr:colOff>2051050</xdr:colOff>
                <xdr:row>44</xdr:row>
                <xdr:rowOff>190500</xdr:rowOff>
              </to>
            </anchor>
          </controlPr>
        </control>
      </mc:Choice>
      <mc:Fallback>
        <control shapeId="11270" r:id="rId18" name="ComboBox6"/>
      </mc:Fallback>
    </mc:AlternateContent>
    <mc:AlternateContent xmlns:mc="http://schemas.openxmlformats.org/markup-compatibility/2006">
      <mc:Choice Requires="x14">
        <control shapeId="11269" r:id="rId20" name="ComboBox5">
          <controlPr defaultSize="0" print="0" autoLine="0" linkedCell="R45" listFillRange="Z2:Z7" r:id="rId21">
            <anchor moveWithCells="1" sizeWithCells="1">
              <from>
                <xdr:col>16</xdr:col>
                <xdr:colOff>1758950</xdr:colOff>
                <xdr:row>43</xdr:row>
                <xdr:rowOff>184150</xdr:rowOff>
              </from>
              <to>
                <xdr:col>17</xdr:col>
                <xdr:colOff>2051050</xdr:colOff>
                <xdr:row>44</xdr:row>
                <xdr:rowOff>190500</xdr:rowOff>
              </to>
            </anchor>
          </controlPr>
        </control>
      </mc:Choice>
      <mc:Fallback>
        <control shapeId="11269" r:id="rId20" name="ComboBox5"/>
      </mc:Fallback>
    </mc:AlternateContent>
    <mc:AlternateContent xmlns:mc="http://schemas.openxmlformats.org/markup-compatibility/2006">
      <mc:Choice Requires="x14">
        <control shapeId="11268" r:id="rId22" name="ComboBox4">
          <controlPr defaultSize="0" print="0" autoLine="0" linkedCell="X24" listFillRange="Z2:Z7" r:id="rId23">
            <anchor moveWithCells="1" sizeWithCells="1">
              <from>
                <xdr:col>22</xdr:col>
                <xdr:colOff>1758950</xdr:colOff>
                <xdr:row>22</xdr:row>
                <xdr:rowOff>184150</xdr:rowOff>
              </from>
              <to>
                <xdr:col>23</xdr:col>
                <xdr:colOff>2051050</xdr:colOff>
                <xdr:row>23</xdr:row>
                <xdr:rowOff>190500</xdr:rowOff>
              </to>
            </anchor>
          </controlPr>
        </control>
      </mc:Choice>
      <mc:Fallback>
        <control shapeId="11268" r:id="rId22" name="ComboBox4"/>
      </mc:Fallback>
    </mc:AlternateContent>
    <mc:AlternateContent xmlns:mc="http://schemas.openxmlformats.org/markup-compatibility/2006">
      <mc:Choice Requires="x14">
        <control shapeId="11267" r:id="rId24" name="ComboBox3">
          <controlPr defaultSize="0" print="0" autoLine="0" linkedCell="U24" listFillRange="Z2:Z7" r:id="rId25">
            <anchor moveWithCells="1" sizeWithCells="1">
              <from>
                <xdr:col>19</xdr:col>
                <xdr:colOff>1758950</xdr:colOff>
                <xdr:row>22</xdr:row>
                <xdr:rowOff>184150</xdr:rowOff>
              </from>
              <to>
                <xdr:col>20</xdr:col>
                <xdr:colOff>2051050</xdr:colOff>
                <xdr:row>23</xdr:row>
                <xdr:rowOff>190500</xdr:rowOff>
              </to>
            </anchor>
          </controlPr>
        </control>
      </mc:Choice>
      <mc:Fallback>
        <control shapeId="11267" r:id="rId24" name="ComboBox3"/>
      </mc:Fallback>
    </mc:AlternateContent>
    <mc:AlternateContent xmlns:mc="http://schemas.openxmlformats.org/markup-compatibility/2006">
      <mc:Choice Requires="x14">
        <control shapeId="11266" r:id="rId26" name="ComboBox2">
          <controlPr defaultSize="0" print="0" autoLine="0" linkedCell="R24" listFillRange="Z2:Z7" r:id="rId27">
            <anchor moveWithCells="1" sizeWithCells="1">
              <from>
                <xdr:col>16</xdr:col>
                <xdr:colOff>1758950</xdr:colOff>
                <xdr:row>22</xdr:row>
                <xdr:rowOff>184150</xdr:rowOff>
              </from>
              <to>
                <xdr:col>17</xdr:col>
                <xdr:colOff>2051050</xdr:colOff>
                <xdr:row>23</xdr:row>
                <xdr:rowOff>190500</xdr:rowOff>
              </to>
            </anchor>
          </controlPr>
        </control>
      </mc:Choice>
      <mc:Fallback>
        <control shapeId="11266" r:id="rId26" name="ComboBox2"/>
      </mc:Fallback>
    </mc:AlternateContent>
    <mc:AlternateContent xmlns:mc="http://schemas.openxmlformats.org/markup-compatibility/2006">
      <mc:Choice Requires="x14">
        <control shapeId="11265" r:id="rId28" name="ComboBox1">
          <controlPr defaultSize="0" print="0" autoLine="0" linkedCell="C7" listFillRange="I2:I7" r:id="rId29">
            <anchor moveWithCells="1" sizeWithCells="1">
              <from>
                <xdr:col>2</xdr:col>
                <xdr:colOff>6350</xdr:colOff>
                <xdr:row>6</xdr:row>
                <xdr:rowOff>31750</xdr:rowOff>
              </from>
              <to>
                <xdr:col>3</xdr:col>
                <xdr:colOff>762000</xdr:colOff>
                <xdr:row>6</xdr:row>
                <xdr:rowOff>228600</xdr:rowOff>
              </to>
            </anchor>
          </controlPr>
        </control>
      </mc:Choice>
      <mc:Fallback>
        <control shapeId="11265" r:id="rId28" name="Combo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15472-E99E-405C-AD58-7FB05867D358}">
  <sheetPr codeName="Sheet3">
    <tabColor rgb="FFFFFF00"/>
  </sheetPr>
  <dimension ref="A1:N136"/>
  <sheetViews>
    <sheetView showGridLines="0" tabSelected="1" topLeftCell="B1" zoomScale="70" zoomScaleNormal="70" workbookViewId="0">
      <pane ySplit="15" topLeftCell="A16" activePane="bottomLeft" state="frozen"/>
      <selection activeCell="W43" sqref="W43:AN72"/>
      <selection pane="bottomLeft" activeCell="F61" sqref="F61"/>
    </sheetView>
  </sheetViews>
  <sheetFormatPr defaultColWidth="9.1796875" defaultRowHeight="13" outlineLevelRow="1" x14ac:dyDescent="0.35"/>
  <cols>
    <col min="1" max="1" width="8.1796875" style="1" customWidth="1"/>
    <col min="2" max="2" width="2.6328125" style="3" customWidth="1"/>
    <col min="3" max="3" width="21.26953125" style="3" customWidth="1"/>
    <col min="4" max="4" width="26.26953125" style="3" customWidth="1"/>
    <col min="5" max="5" width="14.6328125" style="3" customWidth="1"/>
    <col min="6" max="10" width="20.1796875" style="3" customWidth="1"/>
    <col min="11" max="11" width="20.36328125" style="3" customWidth="1"/>
    <col min="12" max="12" width="15.26953125" style="3" customWidth="1"/>
    <col min="13" max="13" width="5.54296875" style="1" customWidth="1"/>
    <col min="14" max="14" width="14.08984375" style="3" bestFit="1" customWidth="1"/>
    <col min="15" max="15" width="21.08984375" style="3" bestFit="1" customWidth="1"/>
    <col min="16" max="16" width="13.7265625" style="3" bestFit="1" customWidth="1"/>
    <col min="17" max="16384" width="9.1796875" style="3"/>
  </cols>
  <sheetData>
    <row r="1" spans="1:13" ht="21" customHeight="1" x14ac:dyDescent="0.35">
      <c r="A1" s="57" t="s">
        <v>113</v>
      </c>
      <c r="M1" s="57"/>
    </row>
    <row r="2" spans="1:13" ht="15" customHeight="1" x14ac:dyDescent="0.35">
      <c r="A2" s="139"/>
      <c r="M2" s="139"/>
    </row>
    <row r="3" spans="1:13" ht="14.5" customHeight="1" x14ac:dyDescent="0.35">
      <c r="A3" s="418" t="s">
        <v>114</v>
      </c>
      <c r="B3" s="418"/>
      <c r="C3" s="418"/>
      <c r="D3" s="418"/>
      <c r="E3" s="418"/>
      <c r="F3" s="418"/>
      <c r="G3" s="418"/>
      <c r="H3" s="418"/>
      <c r="I3" s="418"/>
      <c r="J3" s="418"/>
      <c r="M3" s="3"/>
    </row>
    <row r="4" spans="1:13" ht="28" customHeight="1" x14ac:dyDescent="0.35">
      <c r="A4" s="65"/>
      <c r="B4" s="419" t="s">
        <v>115</v>
      </c>
      <c r="C4" s="419"/>
      <c r="D4" s="419"/>
      <c r="E4" s="419"/>
      <c r="F4" s="419"/>
      <c r="G4" s="419"/>
      <c r="H4" s="419"/>
      <c r="I4" s="419"/>
      <c r="J4" s="419"/>
      <c r="M4" s="65"/>
    </row>
    <row r="5" spans="1:13" x14ac:dyDescent="0.35">
      <c r="A5" s="65"/>
      <c r="B5" s="419"/>
      <c r="C5" s="419"/>
      <c r="D5" s="419"/>
      <c r="E5" s="419"/>
      <c r="F5" s="419"/>
      <c r="G5" s="419"/>
      <c r="H5" s="419"/>
      <c r="I5" s="419"/>
      <c r="J5" s="419"/>
      <c r="M5" s="65"/>
    </row>
    <row r="6" spans="1:13" ht="13.5" thickBot="1" x14ac:dyDescent="0.4">
      <c r="A6" s="65"/>
      <c r="B6" s="419"/>
      <c r="C6" s="419"/>
      <c r="D6" s="419"/>
      <c r="E6" s="419"/>
      <c r="F6" s="419"/>
      <c r="G6" s="419"/>
      <c r="H6" s="419"/>
      <c r="I6" s="419"/>
      <c r="J6" s="419"/>
      <c r="M6" s="65"/>
    </row>
    <row r="7" spans="1:13" ht="16" customHeight="1" x14ac:dyDescent="0.35">
      <c r="A7" s="420" t="s">
        <v>97</v>
      </c>
      <c r="B7" s="421"/>
      <c r="C7" s="421"/>
      <c r="D7" s="421"/>
      <c r="E7" s="421"/>
      <c r="F7" s="421"/>
      <c r="G7" s="421"/>
      <c r="H7" s="421"/>
      <c r="I7" s="421"/>
      <c r="J7" s="422"/>
      <c r="M7" s="65"/>
    </row>
    <row r="8" spans="1:13" ht="12" customHeight="1" thickBot="1" x14ac:dyDescent="0.4">
      <c r="A8" s="423"/>
      <c r="B8" s="424"/>
      <c r="C8" s="424"/>
      <c r="D8" s="424"/>
      <c r="E8" s="424"/>
      <c r="F8" s="424"/>
      <c r="G8" s="424"/>
      <c r="H8" s="424"/>
      <c r="I8" s="424"/>
      <c r="J8" s="425"/>
      <c r="M8" s="3"/>
    </row>
    <row r="9" spans="1:13" ht="15" customHeight="1" x14ac:dyDescent="0.35">
      <c r="A9" s="3"/>
      <c r="M9" s="3"/>
    </row>
    <row r="10" spans="1:13" s="140" customFormat="1" ht="11" customHeight="1" thickBot="1" x14ac:dyDescent="0.4">
      <c r="K10" s="3"/>
    </row>
    <row r="11" spans="1:13" ht="13" customHeight="1" x14ac:dyDescent="0.35">
      <c r="A11" s="56"/>
      <c r="B11" s="102"/>
      <c r="C11" s="103" t="s">
        <v>0</v>
      </c>
      <c r="D11" s="104" t="s">
        <v>198</v>
      </c>
      <c r="E11" s="104"/>
      <c r="F11" s="105" t="s">
        <v>1</v>
      </c>
      <c r="G11" s="246">
        <v>2</v>
      </c>
      <c r="H11" s="106" t="str">
        <f>IF(G11=1," Beginning"," Average")&amp;" balance"</f>
        <v xml:space="preserve"> Average balance</v>
      </c>
      <c r="I11" s="105"/>
      <c r="J11" s="107"/>
      <c r="M11" s="56"/>
    </row>
    <row r="12" spans="1:13" ht="15.5" customHeight="1" x14ac:dyDescent="0.35">
      <c r="A12" s="56"/>
      <c r="B12" s="49"/>
      <c r="C12" s="60" t="s">
        <v>2</v>
      </c>
      <c r="D12" s="417">
        <v>45657</v>
      </c>
      <c r="E12" s="417"/>
      <c r="F12" s="61"/>
      <c r="G12" s="62" t="s">
        <v>3</v>
      </c>
      <c r="H12" s="62"/>
      <c r="I12" s="61"/>
      <c r="J12" s="50"/>
      <c r="M12" s="56"/>
    </row>
    <row r="13" spans="1:13" ht="15.5" customHeight="1" thickBot="1" x14ac:dyDescent="0.4">
      <c r="A13" s="56"/>
      <c r="B13" s="51"/>
      <c r="C13" s="52"/>
      <c r="D13" s="52"/>
      <c r="E13" s="52"/>
      <c r="F13" s="53"/>
      <c r="G13" s="54" t="s">
        <v>4</v>
      </c>
      <c r="H13" s="54"/>
      <c r="I13" s="52"/>
      <c r="J13" s="55"/>
      <c r="M13" s="56"/>
    </row>
    <row r="14" spans="1:13" ht="13.5" customHeight="1" thickBot="1" x14ac:dyDescent="0.4">
      <c r="B14" s="2"/>
      <c r="C14" s="2"/>
      <c r="D14" s="2"/>
      <c r="E14" s="2"/>
      <c r="F14" s="2"/>
      <c r="G14" s="2"/>
      <c r="H14" s="2"/>
      <c r="I14" s="2"/>
      <c r="J14" s="2"/>
    </row>
    <row r="15" spans="1:13" s="13" customFormat="1" ht="20" customHeight="1" thickBot="1" x14ac:dyDescent="0.4">
      <c r="A15" s="9"/>
      <c r="B15" s="77" t="s">
        <v>95</v>
      </c>
      <c r="C15" s="10"/>
      <c r="D15" s="11"/>
      <c r="E15" s="12">
        <f>YEAR($D$12)</f>
        <v>2024</v>
      </c>
      <c r="F15" s="95">
        <f t="shared" ref="F15:J15" si="0">E15+1</f>
        <v>2025</v>
      </c>
      <c r="G15" s="95">
        <f>F15+1</f>
        <v>2026</v>
      </c>
      <c r="H15" s="95">
        <f t="shared" si="0"/>
        <v>2027</v>
      </c>
      <c r="I15" s="95">
        <f t="shared" si="0"/>
        <v>2028</v>
      </c>
      <c r="J15" s="95">
        <f t="shared" si="0"/>
        <v>2029</v>
      </c>
      <c r="K15" s="3"/>
      <c r="M15" s="9"/>
    </row>
    <row r="16" spans="1:13" customFormat="1" ht="15" thickBot="1" x14ac:dyDescent="0.4"/>
    <row r="17" spans="1:13" ht="13.5" thickBot="1" x14ac:dyDescent="0.4">
      <c r="A17" s="14"/>
      <c r="C17" s="78" t="s">
        <v>63</v>
      </c>
      <c r="D17" s="79"/>
      <c r="E17" s="80">
        <v>61988811.160000004</v>
      </c>
      <c r="F17" s="81">
        <f>E17*(1+F79)</f>
        <v>68000000</v>
      </c>
      <c r="G17" s="82">
        <f>F17*(1+G79)</f>
        <v>72273921.428745031</v>
      </c>
      <c r="H17" s="82">
        <f>G17*(1+H79)</f>
        <v>76465225.214725956</v>
      </c>
      <c r="I17" s="82">
        <f>H17*(1+I79)</f>
        <v>80581323.492808998</v>
      </c>
      <c r="J17" s="82">
        <f>I17*(1+J79)</f>
        <v>84628511.576892152</v>
      </c>
      <c r="M17" s="14"/>
    </row>
    <row r="18" spans="1:13" ht="15" customHeight="1" thickBot="1" x14ac:dyDescent="0.4">
      <c r="A18" s="15"/>
      <c r="B18" s="17" t="s">
        <v>5</v>
      </c>
      <c r="C18" s="17"/>
      <c r="D18" s="17"/>
      <c r="E18" s="67">
        <v>37392078.449600004</v>
      </c>
      <c r="F18" s="24">
        <f>F17*F80</f>
        <v>41018069.019099414</v>
      </c>
      <c r="G18" s="24">
        <f>G17*G80</f>
        <v>43596127.903606348</v>
      </c>
      <c r="H18" s="24">
        <f>H17*H80</f>
        <v>46124351.256156027</v>
      </c>
      <c r="I18" s="24">
        <f>I17*I80</f>
        <v>48607210.127623767</v>
      </c>
      <c r="J18" s="24">
        <f>J17*J80</f>
        <v>51048501.894773766</v>
      </c>
      <c r="M18" s="15"/>
    </row>
    <row r="19" spans="1:13" ht="13.5" thickTop="1" x14ac:dyDescent="0.35">
      <c r="A19" s="15"/>
      <c r="B19" s="2"/>
      <c r="C19" s="4" t="s">
        <v>6</v>
      </c>
      <c r="D19" s="2"/>
      <c r="E19" s="28">
        <f t="shared" ref="E19:J19" si="1">E17-E18</f>
        <v>24596732.7104</v>
      </c>
      <c r="F19" s="28">
        <f t="shared" si="1"/>
        <v>26981930.980900586</v>
      </c>
      <c r="G19" s="28">
        <f t="shared" si="1"/>
        <v>28677793.525138684</v>
      </c>
      <c r="H19" s="28">
        <f t="shared" si="1"/>
        <v>30340873.958569929</v>
      </c>
      <c r="I19" s="28">
        <f t="shared" si="1"/>
        <v>31974113.365185231</v>
      </c>
      <c r="J19" s="28">
        <f t="shared" si="1"/>
        <v>33580009.682118386</v>
      </c>
      <c r="M19" s="15"/>
    </row>
    <row r="20" spans="1:13" ht="15" thickBot="1" x14ac:dyDescent="0.4">
      <c r="A20" s="14"/>
      <c r="B20" s="17" t="s">
        <v>7</v>
      </c>
      <c r="C20" s="2"/>
      <c r="D20" s="2"/>
      <c r="E20" s="68">
        <v>12389729.5623</v>
      </c>
      <c r="F20" s="23">
        <f>F17*F81</f>
        <v>13591188.384978214</v>
      </c>
      <c r="G20" s="23">
        <f>G17*G81</f>
        <v>14445418.844988054</v>
      </c>
      <c r="H20" s="23">
        <f>H17*H81</f>
        <v>15283136.482251864</v>
      </c>
      <c r="I20" s="23">
        <f>I17*I81</f>
        <v>16105822.763259379</v>
      </c>
      <c r="J20" s="23">
        <f>J17*J81</f>
        <v>16914735.935027219</v>
      </c>
      <c r="L20"/>
      <c r="M20"/>
    </row>
    <row r="21" spans="1:13" ht="14" customHeight="1" thickTop="1" thickBot="1" x14ac:dyDescent="0.4">
      <c r="A21" s="15"/>
      <c r="B21" s="2"/>
      <c r="C21" s="83" t="s">
        <v>8</v>
      </c>
      <c r="D21" s="84"/>
      <c r="E21" s="85">
        <f t="shared" ref="E21:J21" si="2">E19-E20</f>
        <v>12207003.1481</v>
      </c>
      <c r="F21" s="146">
        <f t="shared" si="2"/>
        <v>13390742.595922371</v>
      </c>
      <c r="G21" s="86">
        <f t="shared" si="2"/>
        <v>14232374.68015063</v>
      </c>
      <c r="H21" s="86">
        <f t="shared" si="2"/>
        <v>15057737.476318065</v>
      </c>
      <c r="I21" s="86">
        <f t="shared" si="2"/>
        <v>15868290.601925852</v>
      </c>
      <c r="J21" s="86">
        <f t="shared" si="2"/>
        <v>16665273.747091167</v>
      </c>
      <c r="L21"/>
      <c r="M21"/>
    </row>
    <row r="22" spans="1:13" ht="16" customHeight="1" x14ac:dyDescent="0.35">
      <c r="A22" s="14"/>
      <c r="B22" s="2" t="s">
        <v>9</v>
      </c>
      <c r="C22" s="2"/>
      <c r="D22" s="2"/>
      <c r="E22" s="68">
        <v>1200000</v>
      </c>
      <c r="F22" s="18">
        <f>F91</f>
        <v>1481876.8145408162</v>
      </c>
      <c r="G22" s="18">
        <f t="shared" ref="G22:J22" si="3">G91</f>
        <v>1763754.3193877551</v>
      </c>
      <c r="H22" s="18">
        <f t="shared" si="3"/>
        <v>2045632.5145408164</v>
      </c>
      <c r="I22" s="18">
        <f t="shared" si="3"/>
        <v>2327511.4000000004</v>
      </c>
      <c r="J22" s="18">
        <f t="shared" si="3"/>
        <v>2609390.9757653065</v>
      </c>
      <c r="L22"/>
      <c r="M22"/>
    </row>
    <row r="23" spans="1:13" ht="13.5" customHeight="1" thickBot="1" x14ac:dyDescent="0.4">
      <c r="A23" s="14"/>
      <c r="B23" s="17" t="s">
        <v>10</v>
      </c>
      <c r="C23" s="17"/>
      <c r="D23" s="17"/>
      <c r="E23" s="67">
        <v>40000</v>
      </c>
      <c r="F23" s="33">
        <f>F94</f>
        <v>40000</v>
      </c>
      <c r="G23" s="33">
        <f t="shared" ref="G23:J23" si="4">G94</f>
        <v>40000</v>
      </c>
      <c r="H23" s="33">
        <f t="shared" si="4"/>
        <v>40000</v>
      </c>
      <c r="I23" s="33">
        <f t="shared" si="4"/>
        <v>40000</v>
      </c>
      <c r="J23" s="33">
        <f t="shared" si="4"/>
        <v>40000</v>
      </c>
      <c r="L23"/>
      <c r="M23"/>
    </row>
    <row r="24" spans="1:13" ht="14" customHeight="1" thickTop="1" x14ac:dyDescent="0.35">
      <c r="A24" s="14"/>
      <c r="B24" s="2"/>
      <c r="C24" s="43" t="s">
        <v>11</v>
      </c>
      <c r="D24" s="42"/>
      <c r="E24" s="58">
        <f>E21-E22-E23</f>
        <v>10967003.1481</v>
      </c>
      <c r="F24" s="58">
        <f t="shared" ref="F24:J24" si="5">F21-F22-F23</f>
        <v>11868865.781381555</v>
      </c>
      <c r="G24" s="58">
        <f t="shared" si="5"/>
        <v>12428620.360762876</v>
      </c>
      <c r="H24" s="58">
        <f t="shared" si="5"/>
        <v>12972104.961777249</v>
      </c>
      <c r="I24" s="58">
        <f t="shared" si="5"/>
        <v>13500779.201925851</v>
      </c>
      <c r="J24" s="58">
        <f t="shared" si="5"/>
        <v>14015882.77132586</v>
      </c>
      <c r="L24"/>
      <c r="M24"/>
    </row>
    <row r="25" spans="1:13" ht="15" customHeight="1" thickBot="1" x14ac:dyDescent="0.4">
      <c r="A25" s="14"/>
      <c r="B25" s="17" t="s">
        <v>12</v>
      </c>
      <c r="C25" s="17"/>
      <c r="D25" s="17"/>
      <c r="E25" s="67">
        <v>600000</v>
      </c>
      <c r="F25" s="33">
        <f>F102</f>
        <v>0</v>
      </c>
      <c r="G25" s="33">
        <f t="shared" ref="G25:J25" si="6">G102</f>
        <v>0</v>
      </c>
      <c r="H25" s="33">
        <f t="shared" si="6"/>
        <v>0</v>
      </c>
      <c r="I25" s="33">
        <f t="shared" si="6"/>
        <v>0</v>
      </c>
      <c r="J25" s="33">
        <f t="shared" si="6"/>
        <v>3800</v>
      </c>
      <c r="L25"/>
      <c r="M25"/>
    </row>
    <row r="26" spans="1:13" ht="15.5" customHeight="1" thickTop="1" x14ac:dyDescent="0.35">
      <c r="A26" s="14"/>
      <c r="B26" s="2"/>
      <c r="C26" s="4" t="s">
        <v>13</v>
      </c>
      <c r="D26" s="2"/>
      <c r="E26" s="19">
        <f t="shared" ref="E26:J26" si="7">E24-E25</f>
        <v>10367003.1481</v>
      </c>
      <c r="F26" s="19">
        <f t="shared" si="7"/>
        <v>11868865.781381555</v>
      </c>
      <c r="G26" s="19">
        <f t="shared" si="7"/>
        <v>12428620.360762876</v>
      </c>
      <c r="H26" s="19">
        <f t="shared" si="7"/>
        <v>12972104.961777249</v>
      </c>
      <c r="I26" s="19">
        <f t="shared" si="7"/>
        <v>13500779.201925851</v>
      </c>
      <c r="J26" s="19">
        <f t="shared" si="7"/>
        <v>14012082.77132586</v>
      </c>
      <c r="L26"/>
      <c r="M26"/>
    </row>
    <row r="27" spans="1:13" ht="15" thickBot="1" x14ac:dyDescent="0.4">
      <c r="A27" s="14"/>
      <c r="B27" s="17" t="s">
        <v>14</v>
      </c>
      <c r="C27" s="2"/>
      <c r="D27" s="2"/>
      <c r="E27" s="87">
        <f t="shared" ref="E27:J27" si="8">E26*E83</f>
        <v>155505.04722149999</v>
      </c>
      <c r="F27" s="23">
        <f t="shared" si="8"/>
        <v>178032.9867207233</v>
      </c>
      <c r="G27" s="23">
        <f t="shared" si="8"/>
        <v>186429.30541144311</v>
      </c>
      <c r="H27" s="23">
        <f t="shared" si="8"/>
        <v>194581.57442665874</v>
      </c>
      <c r="I27" s="23">
        <f t="shared" si="8"/>
        <v>202511.68802888776</v>
      </c>
      <c r="J27" s="23">
        <f t="shared" si="8"/>
        <v>210181.2415698879</v>
      </c>
      <c r="L27"/>
      <c r="M27"/>
    </row>
    <row r="28" spans="1:13" ht="15" customHeight="1" thickTop="1" thickBot="1" x14ac:dyDescent="0.4">
      <c r="A28" s="15"/>
      <c r="B28" s="2"/>
      <c r="C28" s="153" t="s">
        <v>72</v>
      </c>
      <c r="D28" s="154"/>
      <c r="E28" s="155">
        <f t="shared" ref="E28:J28" si="9">E26-E27</f>
        <v>10211498.100878499</v>
      </c>
      <c r="F28" s="145">
        <f t="shared" si="9"/>
        <v>11690832.794660831</v>
      </c>
      <c r="G28" s="155">
        <f t="shared" si="9"/>
        <v>12242191.055351432</v>
      </c>
      <c r="H28" s="155">
        <f t="shared" si="9"/>
        <v>12777523.387350591</v>
      </c>
      <c r="I28" s="155">
        <f t="shared" si="9"/>
        <v>13298267.513896964</v>
      </c>
      <c r="J28" s="155">
        <f t="shared" si="9"/>
        <v>13801901.529755972</v>
      </c>
      <c r="L28"/>
      <c r="M28"/>
    </row>
    <row r="29" spans="1:13" ht="14.5" x14ac:dyDescent="0.35">
      <c r="A29" s="14"/>
      <c r="B29" s="2"/>
      <c r="C29" s="2"/>
      <c r="D29" s="2"/>
      <c r="E29" s="2"/>
      <c r="F29" s="2"/>
      <c r="G29" s="2"/>
      <c r="H29" s="2"/>
      <c r="I29" s="2"/>
      <c r="J29" s="2"/>
      <c r="L29"/>
      <c r="M29"/>
    </row>
    <row r="30" spans="1:13" ht="15" customHeight="1" outlineLevel="1" thickBot="1" x14ac:dyDescent="0.4">
      <c r="A30" s="14"/>
      <c r="B30" s="2"/>
      <c r="C30" s="2"/>
      <c r="D30" s="2"/>
      <c r="E30" s="2"/>
      <c r="F30" s="2"/>
      <c r="G30" s="2"/>
      <c r="H30" s="2"/>
      <c r="I30" s="2"/>
      <c r="J30" s="2"/>
      <c r="L30"/>
      <c r="M30"/>
    </row>
    <row r="31" spans="1:13" s="13" customFormat="1" ht="20" customHeight="1" outlineLevel="1" thickBot="1" x14ac:dyDescent="0.4">
      <c r="A31" s="14"/>
      <c r="B31" s="77" t="s">
        <v>94</v>
      </c>
      <c r="C31" s="77"/>
      <c r="D31" s="11"/>
      <c r="E31" s="12">
        <f t="shared" ref="E31:J31" si="10">E15</f>
        <v>2024</v>
      </c>
      <c r="F31" s="95">
        <f t="shared" si="10"/>
        <v>2025</v>
      </c>
      <c r="G31" s="95">
        <f t="shared" si="10"/>
        <v>2026</v>
      </c>
      <c r="H31" s="95">
        <f t="shared" si="10"/>
        <v>2027</v>
      </c>
      <c r="I31" s="95">
        <f t="shared" si="10"/>
        <v>2028</v>
      </c>
      <c r="J31" s="95">
        <f t="shared" si="10"/>
        <v>2029</v>
      </c>
      <c r="K31" s="3"/>
      <c r="L31"/>
      <c r="M31"/>
    </row>
    <row r="32" spans="1:13" ht="15" customHeight="1" outlineLevel="1" x14ac:dyDescent="0.35">
      <c r="A32" s="14"/>
      <c r="B32" s="4"/>
      <c r="C32" s="4"/>
      <c r="D32" s="2"/>
      <c r="E32" s="4"/>
      <c r="F32" s="4"/>
      <c r="G32" s="4"/>
      <c r="H32" s="4"/>
      <c r="I32" s="4"/>
      <c r="J32" s="4"/>
      <c r="L32"/>
      <c r="M32"/>
    </row>
    <row r="33" spans="1:14" ht="15.5" customHeight="1" outlineLevel="1" x14ac:dyDescent="0.35">
      <c r="A33" s="14"/>
      <c r="B33" s="2" t="s">
        <v>15</v>
      </c>
      <c r="C33" s="2"/>
      <c r="D33" s="2"/>
      <c r="E33" s="68">
        <v>250000</v>
      </c>
      <c r="F33" s="32">
        <f>F74</f>
        <v>16438533.899897283</v>
      </c>
      <c r="G33" s="32">
        <f t="shared" ref="G33:J33" si="11">G74</f>
        <v>33483576.685929112</v>
      </c>
      <c r="H33" s="32">
        <f t="shared" si="11"/>
        <v>51356910.98075445</v>
      </c>
      <c r="I33" s="32">
        <f t="shared" si="11"/>
        <v>70043610.338463143</v>
      </c>
      <c r="J33" s="32">
        <f t="shared" si="11"/>
        <v>89526185.031806976</v>
      </c>
      <c r="L33"/>
      <c r="M33"/>
    </row>
    <row r="34" spans="1:14" ht="14.5" customHeight="1" outlineLevel="1" x14ac:dyDescent="0.35">
      <c r="A34" s="14"/>
      <c r="B34" s="2" t="s">
        <v>16</v>
      </c>
      <c r="C34" s="2"/>
      <c r="D34" s="2"/>
      <c r="E34" s="68">
        <v>520000</v>
      </c>
      <c r="F34" s="32">
        <f>F17 * F85</f>
        <v>570425.52257909765</v>
      </c>
      <c r="G34" s="32">
        <f>G17 * G85</f>
        <v>606277.78529165487</v>
      </c>
      <c r="H34" s="32">
        <f>H17 * H85</f>
        <v>641437.00076821249</v>
      </c>
      <c r="I34" s="32">
        <f>I17 * I85</f>
        <v>675965.34652207186</v>
      </c>
      <c r="J34" s="32">
        <f>J17 * J85</f>
        <v>709915.63149029296</v>
      </c>
      <c r="L34"/>
      <c r="M34"/>
    </row>
    <row r="35" spans="1:14" ht="16" customHeight="1" outlineLevel="1" x14ac:dyDescent="0.35">
      <c r="A35" s="14"/>
      <c r="B35" s="2" t="s">
        <v>17</v>
      </c>
      <c r="C35" s="2"/>
      <c r="D35" s="2"/>
      <c r="E35" s="68">
        <v>575000</v>
      </c>
      <c r="F35" s="32">
        <f>F17 * F86</f>
        <v>630758.99131342524</v>
      </c>
      <c r="G35" s="32">
        <f>G17 * G86</f>
        <v>670403.32027442602</v>
      </c>
      <c r="H35" s="32">
        <f>H17 * H86</f>
        <v>709281.29892638873</v>
      </c>
      <c r="I35" s="32">
        <f>I17 * I86</f>
        <v>747461.6812503679</v>
      </c>
      <c r="J35" s="32">
        <f>J17 * J86</f>
        <v>785002.86174407392</v>
      </c>
      <c r="L35"/>
      <c r="M35"/>
    </row>
    <row r="36" spans="1:14" ht="15" customHeight="1" outlineLevel="1" x14ac:dyDescent="0.35">
      <c r="A36" s="14"/>
      <c r="B36" s="2" t="s">
        <v>18</v>
      </c>
      <c r="C36" s="2"/>
      <c r="D36" s="2"/>
      <c r="E36" s="68">
        <v>100000</v>
      </c>
      <c r="F36" s="32">
        <f>E36</f>
        <v>100000</v>
      </c>
      <c r="G36" s="32">
        <f>F36</f>
        <v>100000</v>
      </c>
      <c r="H36" s="32">
        <f>G36</f>
        <v>100000</v>
      </c>
      <c r="I36" s="32">
        <f>H36</f>
        <v>100000</v>
      </c>
      <c r="J36" s="32">
        <f>I36</f>
        <v>100000</v>
      </c>
      <c r="L36"/>
      <c r="M36"/>
    </row>
    <row r="37" spans="1:14" ht="14.5" customHeight="1" outlineLevel="1" x14ac:dyDescent="0.35">
      <c r="A37" s="14"/>
      <c r="B37" s="2" t="s">
        <v>19</v>
      </c>
      <c r="C37" s="2"/>
      <c r="D37" s="2"/>
      <c r="E37" s="68">
        <v>4850000</v>
      </c>
      <c r="F37" s="32">
        <f>E37 + F89 - F91</f>
        <v>5818126.1854591835</v>
      </c>
      <c r="G37" s="32">
        <f>F37 + G89 - G91</f>
        <v>6504377.8660714282</v>
      </c>
      <c r="H37" s="32">
        <f>G37 + H89 - H91</f>
        <v>6908754.3515306124</v>
      </c>
      <c r="I37" s="32">
        <f>H37 + I89 - I91</f>
        <v>7031254.9515306111</v>
      </c>
      <c r="J37" s="32">
        <f>I37 + J89 - J91</f>
        <v>6871878.9757653046</v>
      </c>
      <c r="L37"/>
      <c r="M37"/>
    </row>
    <row r="38" spans="1:14" ht="14.5" customHeight="1" outlineLevel="1" x14ac:dyDescent="0.35">
      <c r="A38" s="14"/>
      <c r="B38" s="2" t="s">
        <v>20</v>
      </c>
      <c r="C38" s="2"/>
      <c r="D38" s="2"/>
      <c r="E38" s="68">
        <v>325000</v>
      </c>
      <c r="F38" s="32">
        <f>E38 + F93 - F94</f>
        <v>435000</v>
      </c>
      <c r="G38" s="32">
        <f>F38 + G93 - G94</f>
        <v>545000</v>
      </c>
      <c r="H38" s="32">
        <f>G38 + H93 - H94</f>
        <v>655000</v>
      </c>
      <c r="I38" s="32">
        <f>H38 + I93 - I94</f>
        <v>765000</v>
      </c>
      <c r="J38" s="32">
        <f>I38 + J93 - J94</f>
        <v>875000</v>
      </c>
      <c r="L38"/>
      <c r="M38"/>
    </row>
    <row r="39" spans="1:14" ht="13" customHeight="1" outlineLevel="1" x14ac:dyDescent="0.35">
      <c r="A39" s="14"/>
      <c r="B39" s="2" t="s">
        <v>21</v>
      </c>
      <c r="C39" s="2"/>
      <c r="D39" s="2"/>
      <c r="E39" s="68">
        <v>2100000</v>
      </c>
      <c r="F39" s="32">
        <f>E39</f>
        <v>2100000</v>
      </c>
      <c r="G39" s="32">
        <f>F39</f>
        <v>2100000</v>
      </c>
      <c r="H39" s="32">
        <f t="shared" ref="H39:J39" si="12">G39</f>
        <v>2100000</v>
      </c>
      <c r="I39" s="32">
        <f t="shared" si="12"/>
        <v>2100000</v>
      </c>
      <c r="J39" s="32">
        <f t="shared" si="12"/>
        <v>2100000</v>
      </c>
      <c r="L39"/>
      <c r="M39"/>
    </row>
    <row r="40" spans="1:14" ht="13.5" customHeight="1" outlineLevel="1" thickBot="1" x14ac:dyDescent="0.4">
      <c r="A40" s="14"/>
      <c r="B40" s="17" t="s">
        <v>22</v>
      </c>
      <c r="C40" s="17"/>
      <c r="D40" s="17"/>
      <c r="E40" s="67">
        <v>450000</v>
      </c>
      <c r="F40" s="33">
        <f>E40</f>
        <v>450000</v>
      </c>
      <c r="G40" s="33">
        <f>F40</f>
        <v>450000</v>
      </c>
      <c r="H40" s="33">
        <f>G40</f>
        <v>450000</v>
      </c>
      <c r="I40" s="33">
        <f>H40</f>
        <v>450000</v>
      </c>
      <c r="J40" s="33">
        <f>I40</f>
        <v>450000</v>
      </c>
      <c r="L40"/>
      <c r="M40"/>
    </row>
    <row r="41" spans="1:14" ht="13" customHeight="1" outlineLevel="1" thickTop="1" x14ac:dyDescent="0.35">
      <c r="A41" s="14"/>
      <c r="B41" s="2"/>
      <c r="C41" s="4" t="s">
        <v>23</v>
      </c>
      <c r="D41" s="4"/>
      <c r="E41" s="19">
        <f t="shared" ref="E41" si="13">SUM(E33:E40)</f>
        <v>9170000</v>
      </c>
      <c r="F41" s="34">
        <f t="shared" ref="F41:J41" si="14">SUM(F33:F40)</f>
        <v>26542844.59924899</v>
      </c>
      <c r="G41" s="34">
        <f t="shared" si="14"/>
        <v>44459635.657566622</v>
      </c>
      <c r="H41" s="34">
        <f t="shared" si="14"/>
        <v>62921383.631979667</v>
      </c>
      <c r="I41" s="34">
        <f t="shared" si="14"/>
        <v>81913292.31776619</v>
      </c>
      <c r="J41" s="34">
        <f t="shared" si="14"/>
        <v>101417982.50080664</v>
      </c>
      <c r="L41"/>
      <c r="M41"/>
    </row>
    <row r="42" spans="1:14" ht="13.5" customHeight="1" outlineLevel="1" x14ac:dyDescent="0.35">
      <c r="A42" s="14"/>
      <c r="B42" s="2" t="s">
        <v>24</v>
      </c>
      <c r="C42" s="2"/>
      <c r="D42" s="2"/>
      <c r="E42" s="69">
        <v>650000</v>
      </c>
      <c r="F42" s="32">
        <f>F17 * F87</f>
        <v>713031.90322387195</v>
      </c>
      <c r="G42" s="32">
        <f>G17 * G87</f>
        <v>757847.23161456839</v>
      </c>
      <c r="H42" s="32">
        <f>H17 * H87</f>
        <v>801796.25096026552</v>
      </c>
      <c r="I42" s="32">
        <f>I17 * I87</f>
        <v>844956.68315258983</v>
      </c>
      <c r="J42" s="32">
        <f>J17 * J87</f>
        <v>887394.53936286608</v>
      </c>
      <c r="L42"/>
      <c r="M42"/>
    </row>
    <row r="43" spans="1:14" ht="13" customHeight="1" outlineLevel="1" x14ac:dyDescent="0.35">
      <c r="A43" s="14"/>
      <c r="B43" s="2" t="s">
        <v>25</v>
      </c>
      <c r="C43" s="2"/>
      <c r="D43" s="2"/>
      <c r="E43" s="69">
        <v>1500000</v>
      </c>
      <c r="F43" s="32">
        <f>E43</f>
        <v>1500000</v>
      </c>
      <c r="G43" s="32">
        <f>F43</f>
        <v>1500000</v>
      </c>
      <c r="H43" s="32">
        <f t="shared" ref="H43:J43" si="15">G43</f>
        <v>1500000</v>
      </c>
      <c r="I43" s="32">
        <f t="shared" si="15"/>
        <v>1500000</v>
      </c>
      <c r="J43" s="32">
        <f t="shared" si="15"/>
        <v>1500000</v>
      </c>
      <c r="L43"/>
      <c r="M43"/>
    </row>
    <row r="44" spans="1:14" ht="13" customHeight="1" outlineLevel="1" x14ac:dyDescent="0.35">
      <c r="A44" s="14"/>
      <c r="B44" s="3" t="s">
        <v>26</v>
      </c>
      <c r="C44" s="2"/>
      <c r="D44" s="2"/>
      <c r="E44" s="70">
        <v>0</v>
      </c>
      <c r="F44" s="32">
        <v>0</v>
      </c>
      <c r="G44" s="32">
        <v>0</v>
      </c>
      <c r="H44" s="32">
        <v>0</v>
      </c>
      <c r="I44" s="32">
        <v>0</v>
      </c>
      <c r="J44" s="32">
        <f>I44 + J68</f>
        <v>190000</v>
      </c>
      <c r="L44"/>
      <c r="M44"/>
    </row>
    <row r="45" spans="1:14" ht="13" customHeight="1" outlineLevel="1" x14ac:dyDescent="0.35">
      <c r="A45" s="14"/>
      <c r="B45" s="3" t="s">
        <v>27</v>
      </c>
      <c r="C45" s="2"/>
      <c r="D45" s="2"/>
      <c r="E45" s="70">
        <v>650000</v>
      </c>
      <c r="F45" s="32">
        <f>E45</f>
        <v>650000</v>
      </c>
      <c r="G45" s="32">
        <f>F45</f>
        <v>650000</v>
      </c>
      <c r="H45" s="32">
        <f>G45</f>
        <v>650000</v>
      </c>
      <c r="I45" s="32">
        <f>H45</f>
        <v>650000</v>
      </c>
      <c r="J45" s="32">
        <f>I45</f>
        <v>650000</v>
      </c>
      <c r="L45"/>
      <c r="M45"/>
    </row>
    <row r="46" spans="1:14" ht="13.5" customHeight="1" outlineLevel="1" thickBot="1" x14ac:dyDescent="0.4">
      <c r="A46" s="14"/>
      <c r="B46" s="29" t="s">
        <v>54</v>
      </c>
      <c r="C46" s="17"/>
      <c r="D46" s="17"/>
      <c r="E46" s="71">
        <v>4470000</v>
      </c>
      <c r="F46" s="33">
        <f>E46 + F28 - F96</f>
        <v>15931858.893296544</v>
      </c>
      <c r="G46" s="33">
        <f>F46 + G28 - G96</f>
        <v>27934277.274072476</v>
      </c>
      <c r="H46" s="33">
        <f>G46 + H28 - H96</f>
        <v>40461543.09370631</v>
      </c>
      <c r="I46" s="33">
        <f>H46 + I28 - I96</f>
        <v>53499353.867906034</v>
      </c>
      <c r="J46" s="33">
        <f>I46 + J28 - J96</f>
        <v>67030934.600587808</v>
      </c>
      <c r="L46"/>
      <c r="M46"/>
    </row>
    <row r="47" spans="1:14" ht="13" customHeight="1" outlineLevel="1" thickTop="1" x14ac:dyDescent="0.35">
      <c r="A47" s="14"/>
      <c r="B47" s="4"/>
      <c r="C47" s="4" t="s">
        <v>28</v>
      </c>
      <c r="D47" s="4"/>
      <c r="E47" s="19">
        <f>SUM(E42:E46)</f>
        <v>7270000</v>
      </c>
      <c r="F47" s="34">
        <f t="shared" ref="F47:J47" si="16">SUM(F42:F46)</f>
        <v>18794890.796520416</v>
      </c>
      <c r="G47" s="34">
        <f t="shared" si="16"/>
        <v>30842124.505687043</v>
      </c>
      <c r="H47" s="34">
        <f t="shared" si="16"/>
        <v>43413339.344666578</v>
      </c>
      <c r="I47" s="34">
        <f t="shared" si="16"/>
        <v>56494310.55105862</v>
      </c>
      <c r="J47" s="34">
        <f t="shared" si="16"/>
        <v>70258329.139950678</v>
      </c>
      <c r="L47"/>
      <c r="M47"/>
      <c r="N47" s="101"/>
    </row>
    <row r="48" spans="1:14" ht="15" customHeight="1" outlineLevel="1" x14ac:dyDescent="0.35">
      <c r="A48" s="14"/>
      <c r="B48" s="2"/>
      <c r="C48" s="16" t="s">
        <v>29</v>
      </c>
      <c r="D48" s="2"/>
      <c r="E48" s="20">
        <f>E41-E47</f>
        <v>1900000</v>
      </c>
      <c r="F48" s="35"/>
      <c r="G48" s="35"/>
      <c r="H48" s="35"/>
      <c r="I48" s="35"/>
      <c r="J48" s="35"/>
      <c r="L48"/>
      <c r="M48"/>
    </row>
    <row r="49" spans="1:13" ht="15" customHeight="1" outlineLevel="1" x14ac:dyDescent="0.35">
      <c r="A49" s="14"/>
      <c r="B49" s="2"/>
      <c r="C49" s="2"/>
      <c r="D49" s="2"/>
      <c r="E49" s="2"/>
      <c r="F49" s="2"/>
      <c r="G49" s="2"/>
      <c r="H49" s="2"/>
      <c r="I49" s="2"/>
      <c r="J49" s="2"/>
      <c r="L49"/>
      <c r="M49"/>
    </row>
    <row r="50" spans="1:13" ht="15" customHeight="1" outlineLevel="1" thickBot="1" x14ac:dyDescent="0.4">
      <c r="A50" s="14"/>
      <c r="B50" s="2"/>
      <c r="C50" s="2"/>
      <c r="D50" s="2"/>
      <c r="E50" s="2"/>
      <c r="F50" s="2"/>
      <c r="G50" s="2"/>
      <c r="H50" s="2"/>
      <c r="I50" s="2"/>
      <c r="J50" s="2"/>
      <c r="L50"/>
      <c r="M50"/>
    </row>
    <row r="51" spans="1:13" s="13" customFormat="1" ht="20" customHeight="1" outlineLevel="1" thickBot="1" x14ac:dyDescent="0.4">
      <c r="B51" s="77" t="s">
        <v>93</v>
      </c>
      <c r="C51" s="10"/>
      <c r="D51" s="11"/>
      <c r="E51" s="12"/>
      <c r="F51" s="95">
        <f>F15</f>
        <v>2025</v>
      </c>
      <c r="G51" s="95">
        <f>G15</f>
        <v>2026</v>
      </c>
      <c r="H51" s="95">
        <f>H15</f>
        <v>2027</v>
      </c>
      <c r="I51" s="95">
        <f>I15</f>
        <v>2028</v>
      </c>
      <c r="J51" s="95">
        <f>J15</f>
        <v>2029</v>
      </c>
      <c r="K51" s="3"/>
      <c r="L51"/>
      <c r="M51"/>
    </row>
    <row r="52" spans="1:13" ht="14.5" customHeight="1" outlineLevel="1" x14ac:dyDescent="0.35">
      <c r="A52" s="14"/>
      <c r="B52" s="4"/>
      <c r="C52" s="4"/>
      <c r="D52" s="2"/>
      <c r="E52" s="4"/>
      <c r="F52" s="4"/>
      <c r="G52" s="4"/>
      <c r="H52" s="4"/>
      <c r="I52" s="4"/>
      <c r="J52" s="4"/>
      <c r="L52"/>
      <c r="M52"/>
    </row>
    <row r="53" spans="1:13" ht="15" customHeight="1" outlineLevel="1" x14ac:dyDescent="0.35">
      <c r="A53" s="14"/>
      <c r="B53" s="2" t="str">
        <f>C28</f>
        <v>NET INCOME</v>
      </c>
      <c r="C53" s="2"/>
      <c r="D53" s="2"/>
      <c r="E53" s="2"/>
      <c r="F53" s="32">
        <f>F28</f>
        <v>11690832.794660831</v>
      </c>
      <c r="G53" s="32">
        <f>G28</f>
        <v>12242191.055351432</v>
      </c>
      <c r="H53" s="32">
        <f>H28</f>
        <v>12777523.387350591</v>
      </c>
      <c r="I53" s="32">
        <f>I28</f>
        <v>13298267.513896964</v>
      </c>
      <c r="J53" s="32">
        <f>J28</f>
        <v>13801901.529755972</v>
      </c>
      <c r="L53"/>
      <c r="M53"/>
    </row>
    <row r="54" spans="1:13" ht="15" customHeight="1" outlineLevel="1" x14ac:dyDescent="0.35">
      <c r="A54" s="15"/>
      <c r="B54" s="2" t="s">
        <v>30</v>
      </c>
      <c r="C54" s="2"/>
      <c r="D54" s="2"/>
      <c r="E54" s="2"/>
      <c r="F54" s="35">
        <f>F91+F94</f>
        <v>1521876.8145408162</v>
      </c>
      <c r="G54" s="35">
        <f t="shared" ref="G54:J54" si="17">G91+G94</f>
        <v>1803754.3193877551</v>
      </c>
      <c r="H54" s="35">
        <f t="shared" si="17"/>
        <v>2085632.5145408164</v>
      </c>
      <c r="I54" s="35">
        <f t="shared" si="17"/>
        <v>2367511.4000000004</v>
      </c>
      <c r="J54" s="35">
        <f t="shared" si="17"/>
        <v>2649390.9757653065</v>
      </c>
      <c r="L54"/>
      <c r="M54"/>
    </row>
    <row r="55" spans="1:13" ht="13" customHeight="1" outlineLevel="1" x14ac:dyDescent="0.35">
      <c r="A55" s="14"/>
      <c r="B55" s="2" t="str">
        <f>"(Increase)/decrease in "&amp;LOWER(B34)</f>
        <v>(Increase)/decrease in accounts receivable</v>
      </c>
      <c r="C55" s="2"/>
      <c r="D55" s="2"/>
      <c r="E55" s="2"/>
      <c r="F55" s="35">
        <f t="shared" ref="F55:J57" si="18">E34-F34</f>
        <v>-50425.522579097655</v>
      </c>
      <c r="G55" s="35">
        <f t="shared" si="18"/>
        <v>-35852.262712557218</v>
      </c>
      <c r="H55" s="35">
        <f t="shared" si="18"/>
        <v>-35159.215476557612</v>
      </c>
      <c r="I55" s="35">
        <f t="shared" si="18"/>
        <v>-34528.345753859379</v>
      </c>
      <c r="J55" s="35">
        <f t="shared" si="18"/>
        <v>-33950.284968221094</v>
      </c>
      <c r="L55"/>
      <c r="M55"/>
    </row>
    <row r="56" spans="1:13" ht="14.5" customHeight="1" outlineLevel="1" x14ac:dyDescent="0.35">
      <c r="A56" s="14"/>
      <c r="B56" s="2" t="str">
        <f>"(Increase)/decrease in "&amp;LOWER(B35)</f>
        <v>(Increase)/decrease in inventory</v>
      </c>
      <c r="C56" s="2"/>
      <c r="D56" s="2"/>
      <c r="E56" s="2"/>
      <c r="F56" s="35">
        <f t="shared" si="18"/>
        <v>-55758.991313425242</v>
      </c>
      <c r="G56" s="35">
        <f t="shared" si="18"/>
        <v>-39644.328961000778</v>
      </c>
      <c r="H56" s="35">
        <f t="shared" si="18"/>
        <v>-38877.978651962709</v>
      </c>
      <c r="I56" s="35">
        <f t="shared" si="18"/>
        <v>-38180.382323979167</v>
      </c>
      <c r="J56" s="35">
        <f t="shared" si="18"/>
        <v>-37541.180493706022</v>
      </c>
      <c r="L56"/>
      <c r="M56"/>
    </row>
    <row r="57" spans="1:13" ht="15" customHeight="1" outlineLevel="1" x14ac:dyDescent="0.35">
      <c r="A57" s="14"/>
      <c r="B57" s="2" t="str">
        <f>"(Increase)/decrease in "&amp;LOWER(B36)</f>
        <v>(Increase)/decrease in other current assets</v>
      </c>
      <c r="C57" s="2"/>
      <c r="D57" s="2"/>
      <c r="E57" s="2"/>
      <c r="F57" s="35">
        <f t="shared" si="18"/>
        <v>0</v>
      </c>
      <c r="G57" s="35">
        <f t="shared" si="18"/>
        <v>0</v>
      </c>
      <c r="H57" s="35">
        <f t="shared" si="18"/>
        <v>0</v>
      </c>
      <c r="I57" s="35">
        <f t="shared" si="18"/>
        <v>0</v>
      </c>
      <c r="J57" s="35">
        <f t="shared" si="18"/>
        <v>0</v>
      </c>
      <c r="L57"/>
      <c r="M57"/>
    </row>
    <row r="58" spans="1:13" ht="13" customHeight="1" outlineLevel="1" x14ac:dyDescent="0.35">
      <c r="A58" s="14"/>
      <c r="B58" s="2" t="str">
        <f>"(Increase)/decrease in "&amp;LOWER(B40)</f>
        <v>(Increase)/decrease in other long-term assets</v>
      </c>
      <c r="C58" s="2"/>
      <c r="D58" s="2"/>
      <c r="E58" s="2"/>
      <c r="F58" s="35">
        <f>E40-F40</f>
        <v>0</v>
      </c>
      <c r="G58" s="35">
        <f>F40-G40</f>
        <v>0</v>
      </c>
      <c r="H58" s="35">
        <f>G40-H40</f>
        <v>0</v>
      </c>
      <c r="I58" s="35">
        <f>H40-I40</f>
        <v>0</v>
      </c>
      <c r="J58" s="35">
        <f>I40-J40</f>
        <v>0</v>
      </c>
      <c r="L58"/>
      <c r="M58"/>
    </row>
    <row r="59" spans="1:13" ht="13" customHeight="1" outlineLevel="1" x14ac:dyDescent="0.35">
      <c r="A59" s="14"/>
      <c r="B59" s="2" t="str">
        <f>"Increase/(decrease) in "&amp;LOWER(B42)</f>
        <v>Increase/(decrease) in accounts payable</v>
      </c>
      <c r="C59" s="2"/>
      <c r="D59" s="2"/>
      <c r="E59" s="2"/>
      <c r="F59" s="35">
        <f t="shared" ref="F59:J60" si="19">F42-E42</f>
        <v>63031.903223871952</v>
      </c>
      <c r="G59" s="35">
        <f t="shared" si="19"/>
        <v>44815.328390696435</v>
      </c>
      <c r="H59" s="35">
        <f t="shared" si="19"/>
        <v>43949.019345697132</v>
      </c>
      <c r="I59" s="35">
        <f t="shared" si="19"/>
        <v>43160.432192324311</v>
      </c>
      <c r="J59" s="35">
        <f t="shared" si="19"/>
        <v>42437.856210276252</v>
      </c>
      <c r="L59"/>
      <c r="M59"/>
    </row>
    <row r="60" spans="1:13" ht="13" customHeight="1" outlineLevel="1" x14ac:dyDescent="0.35">
      <c r="A60" s="14"/>
      <c r="B60" s="2" t="str">
        <f>"Increase/(decrease) in "&amp;LOWER(B43)</f>
        <v>Increase/(decrease) in other liabilities</v>
      </c>
      <c r="C60" s="2"/>
      <c r="D60" s="2"/>
      <c r="E60" s="2"/>
      <c r="F60" s="35">
        <f t="shared" si="19"/>
        <v>0</v>
      </c>
      <c r="G60" s="35">
        <f t="shared" si="19"/>
        <v>0</v>
      </c>
      <c r="H60" s="35">
        <f t="shared" si="19"/>
        <v>0</v>
      </c>
      <c r="I60" s="35">
        <f t="shared" si="19"/>
        <v>0</v>
      </c>
      <c r="J60" s="35">
        <f t="shared" si="19"/>
        <v>0</v>
      </c>
      <c r="L60"/>
      <c r="M60"/>
    </row>
    <row r="61" spans="1:13" ht="13.5" customHeight="1" outlineLevel="1" thickBot="1" x14ac:dyDescent="0.4">
      <c r="A61" s="14"/>
      <c r="B61" s="17" t="str">
        <f>"Increase/(decrease) in "&amp;LOWER(B46)</f>
        <v>Increase/(decrease) in owner's equity</v>
      </c>
      <c r="C61" s="17"/>
      <c r="D61" s="17"/>
      <c r="E61" s="17"/>
      <c r="F61" s="36">
        <f>F45-E45</f>
        <v>0</v>
      </c>
      <c r="G61" s="36">
        <f t="shared" ref="G61:J61" si="20">G45-F45</f>
        <v>0</v>
      </c>
      <c r="H61" s="36">
        <f t="shared" si="20"/>
        <v>0</v>
      </c>
      <c r="I61" s="36">
        <f t="shared" si="20"/>
        <v>0</v>
      </c>
      <c r="J61" s="36">
        <f t="shared" si="20"/>
        <v>0</v>
      </c>
      <c r="L61"/>
      <c r="M61"/>
    </row>
    <row r="62" spans="1:13" ht="13" customHeight="1" outlineLevel="1" thickTop="1" x14ac:dyDescent="0.35">
      <c r="A62" s="14"/>
      <c r="B62" s="2"/>
      <c r="C62" s="4" t="s">
        <v>31</v>
      </c>
      <c r="D62" s="4"/>
      <c r="E62" s="4"/>
      <c r="F62" s="34">
        <f>SUM(F53:F61)</f>
        <v>13169556.998532996</v>
      </c>
      <c r="G62" s="34">
        <f t="shared" ref="G62:J62" si="21">SUM(G53:G61)</f>
        <v>14015264.111456325</v>
      </c>
      <c r="H62" s="34">
        <f t="shared" si="21"/>
        <v>14833067.727108583</v>
      </c>
      <c r="I62" s="34">
        <f t="shared" si="21"/>
        <v>15636230.61801145</v>
      </c>
      <c r="J62" s="34">
        <f t="shared" si="21"/>
        <v>16422238.896269627</v>
      </c>
      <c r="L62"/>
      <c r="M62"/>
    </row>
    <row r="63" spans="1:13" ht="13" customHeight="1" outlineLevel="1" x14ac:dyDescent="0.35">
      <c r="A63" s="14"/>
      <c r="B63" s="2"/>
      <c r="C63" s="2"/>
      <c r="D63" s="2"/>
      <c r="E63" s="2"/>
      <c r="F63" s="32"/>
      <c r="G63" s="32"/>
      <c r="H63" s="32"/>
      <c r="I63" s="32"/>
      <c r="J63" s="32"/>
      <c r="L63"/>
      <c r="M63"/>
    </row>
    <row r="64" spans="1:13" ht="13" customHeight="1" outlineLevel="1" x14ac:dyDescent="0.35">
      <c r="A64" s="14"/>
      <c r="B64" s="2" t="s">
        <v>32</v>
      </c>
      <c r="C64" s="2"/>
      <c r="D64" s="2"/>
      <c r="E64" s="2"/>
      <c r="F64" s="32">
        <f>F89</f>
        <v>2450003</v>
      </c>
      <c r="G64" s="32">
        <f t="shared" ref="G64:J64" si="22">G89</f>
        <v>2450006</v>
      </c>
      <c r="H64" s="32">
        <f t="shared" si="22"/>
        <v>2450009</v>
      </c>
      <c r="I64" s="32">
        <f t="shared" si="22"/>
        <v>2450012</v>
      </c>
      <c r="J64" s="32">
        <f t="shared" si="22"/>
        <v>2450015</v>
      </c>
      <c r="L64"/>
      <c r="M64"/>
    </row>
    <row r="65" spans="1:13" ht="13.5" customHeight="1" outlineLevel="1" thickBot="1" x14ac:dyDescent="0.4">
      <c r="A65" s="14"/>
      <c r="B65" s="17" t="s">
        <v>33</v>
      </c>
      <c r="C65" s="17"/>
      <c r="D65" s="17"/>
      <c r="E65" s="17"/>
      <c r="F65" s="33">
        <f>F93</f>
        <v>150000</v>
      </c>
      <c r="G65" s="33">
        <f t="shared" ref="G65:J65" si="23">G93</f>
        <v>150000</v>
      </c>
      <c r="H65" s="33">
        <f t="shared" si="23"/>
        <v>150000</v>
      </c>
      <c r="I65" s="33">
        <f t="shared" si="23"/>
        <v>150000</v>
      </c>
      <c r="J65" s="33">
        <f t="shared" si="23"/>
        <v>150000</v>
      </c>
      <c r="L65"/>
      <c r="M65"/>
    </row>
    <row r="66" spans="1:13" ht="13" customHeight="1" outlineLevel="1" thickTop="1" x14ac:dyDescent="0.35">
      <c r="A66" s="14"/>
      <c r="B66" s="2"/>
      <c r="C66" s="4" t="s">
        <v>34</v>
      </c>
      <c r="D66" s="4"/>
      <c r="E66" s="4"/>
      <c r="F66" s="34">
        <f>SUM(F64:F65)</f>
        <v>2600003</v>
      </c>
      <c r="G66" s="34">
        <f t="shared" ref="G66:J66" si="24">SUM(G64:G65)</f>
        <v>2600006</v>
      </c>
      <c r="H66" s="34">
        <f t="shared" si="24"/>
        <v>2600009</v>
      </c>
      <c r="I66" s="34">
        <f t="shared" si="24"/>
        <v>2600012</v>
      </c>
      <c r="J66" s="34">
        <f t="shared" si="24"/>
        <v>2600015</v>
      </c>
      <c r="L66"/>
      <c r="M66"/>
    </row>
    <row r="67" spans="1:13" ht="13" customHeight="1" outlineLevel="1" x14ac:dyDescent="0.35">
      <c r="A67" s="14"/>
      <c r="B67" s="2"/>
      <c r="C67" s="2"/>
      <c r="D67" s="2"/>
      <c r="E67" s="2"/>
      <c r="F67" s="32"/>
      <c r="G67" s="32"/>
      <c r="H67" s="32"/>
      <c r="I67" s="32"/>
      <c r="J67" s="32"/>
      <c r="L67"/>
      <c r="M67"/>
    </row>
    <row r="68" spans="1:13" ht="13" customHeight="1" outlineLevel="1" x14ac:dyDescent="0.35">
      <c r="A68" s="14"/>
      <c r="B68" s="2" t="s">
        <v>35</v>
      </c>
      <c r="C68" s="2"/>
      <c r="D68" s="2"/>
      <c r="E68" s="2"/>
      <c r="F68" s="72">
        <v>190000</v>
      </c>
      <c r="G68" s="72">
        <v>190000</v>
      </c>
      <c r="H68" s="72">
        <v>190000</v>
      </c>
      <c r="I68" s="72">
        <v>190000</v>
      </c>
      <c r="J68" s="72">
        <v>190000</v>
      </c>
      <c r="L68"/>
      <c r="M68"/>
    </row>
    <row r="69" spans="1:13" ht="13.5" customHeight="1" outlineLevel="1" thickBot="1" x14ac:dyDescent="0.4">
      <c r="A69" s="14"/>
      <c r="B69" s="17" t="s">
        <v>36</v>
      </c>
      <c r="C69" s="17"/>
      <c r="D69" s="17"/>
      <c r="E69" s="17"/>
      <c r="F69" s="24">
        <f>F96</f>
        <v>228973.90136428783</v>
      </c>
      <c r="G69" s="24">
        <f t="shared" ref="G69:J69" si="25">G96</f>
        <v>239772.67457550095</v>
      </c>
      <c r="H69" s="24">
        <f t="shared" si="25"/>
        <v>250257.56771675518</v>
      </c>
      <c r="I69" s="24">
        <f t="shared" si="25"/>
        <v>260456.73969724204</v>
      </c>
      <c r="J69" s="24">
        <f t="shared" si="25"/>
        <v>270320.79707420379</v>
      </c>
      <c r="L69"/>
      <c r="M69"/>
    </row>
    <row r="70" spans="1:13" ht="13" customHeight="1" outlineLevel="1" thickTop="1" x14ac:dyDescent="0.35">
      <c r="A70" s="14"/>
      <c r="C70" s="4" t="s">
        <v>37</v>
      </c>
      <c r="D70" s="2"/>
      <c r="E70" s="2"/>
      <c r="F70" s="23">
        <f>SUM(F68:F69)</f>
        <v>418973.90136428783</v>
      </c>
      <c r="G70" s="23">
        <f>SUM(G68:G69)</f>
        <v>429772.67457550095</v>
      </c>
      <c r="H70" s="23">
        <f>SUM(H68:H69)</f>
        <v>440257.56771675521</v>
      </c>
      <c r="I70" s="23">
        <f>SUM(I68:I69)</f>
        <v>450456.73969724204</v>
      </c>
      <c r="J70" s="23">
        <f>SUM(J68:J69)</f>
        <v>460320.79707420379</v>
      </c>
      <c r="L70"/>
      <c r="M70"/>
    </row>
    <row r="71" spans="1:13" ht="13" customHeight="1" outlineLevel="1" x14ac:dyDescent="0.35">
      <c r="A71" s="14"/>
      <c r="B71" s="2"/>
      <c r="C71" s="2"/>
      <c r="D71" s="2"/>
      <c r="E71" s="2"/>
      <c r="F71" s="37"/>
      <c r="G71" s="37"/>
      <c r="H71" s="37"/>
      <c r="I71" s="37"/>
      <c r="J71" s="37"/>
      <c r="L71"/>
      <c r="M71"/>
    </row>
    <row r="72" spans="1:13" ht="13" customHeight="1" outlineLevel="1" x14ac:dyDescent="0.35">
      <c r="A72" s="14"/>
      <c r="B72" s="2" t="s">
        <v>38</v>
      </c>
      <c r="D72" s="2"/>
      <c r="E72" s="2"/>
      <c r="F72" s="32">
        <f>F62+F66+F70</f>
        <v>16188533.899897283</v>
      </c>
      <c r="G72" s="32">
        <f t="shared" ref="G72:J72" si="26">G62+G66+G70</f>
        <v>17045042.786031827</v>
      </c>
      <c r="H72" s="32">
        <f t="shared" si="26"/>
        <v>17873334.294825338</v>
      </c>
      <c r="I72" s="32">
        <f t="shared" si="26"/>
        <v>18686699.357708693</v>
      </c>
      <c r="J72" s="32">
        <f t="shared" si="26"/>
        <v>19482574.693343829</v>
      </c>
      <c r="L72"/>
      <c r="M72"/>
    </row>
    <row r="73" spans="1:13" ht="15" customHeight="1" outlineLevel="1" thickBot="1" x14ac:dyDescent="0.4">
      <c r="A73" s="14"/>
      <c r="B73" s="17" t="s">
        <v>39</v>
      </c>
      <c r="C73" s="17"/>
      <c r="D73" s="17"/>
      <c r="E73" s="17"/>
      <c r="F73" s="33">
        <f>E33</f>
        <v>250000</v>
      </c>
      <c r="G73" s="33">
        <f>F33</f>
        <v>16438533.899897283</v>
      </c>
      <c r="H73" s="33">
        <f>G33</f>
        <v>33483576.685929112</v>
      </c>
      <c r="I73" s="33">
        <f>H33</f>
        <v>51356910.98075445</v>
      </c>
      <c r="J73" s="33">
        <f>I33</f>
        <v>70043610.338463143</v>
      </c>
      <c r="L73"/>
      <c r="M73"/>
    </row>
    <row r="74" spans="1:13" ht="13" customHeight="1" outlineLevel="1" thickTop="1" x14ac:dyDescent="0.35">
      <c r="A74" s="14"/>
      <c r="C74" s="4" t="s">
        <v>40</v>
      </c>
      <c r="D74" s="4"/>
      <c r="E74" s="4"/>
      <c r="F74" s="30">
        <f>SUM(F72:F73)</f>
        <v>16438533.899897283</v>
      </c>
      <c r="G74" s="30">
        <f>SUM(G72:G73)</f>
        <v>33483576.685929112</v>
      </c>
      <c r="H74" s="30">
        <f>SUM(H72:H73)</f>
        <v>51356910.98075445</v>
      </c>
      <c r="I74" s="30">
        <f>SUM(I72:I73)</f>
        <v>70043610.338463143</v>
      </c>
      <c r="J74" s="30">
        <f>SUM(J72:J73)</f>
        <v>89526185.031806976</v>
      </c>
      <c r="L74"/>
      <c r="M74"/>
    </row>
    <row r="75" spans="1:13" ht="13" customHeight="1" outlineLevel="1" x14ac:dyDescent="0.35">
      <c r="A75" s="14"/>
      <c r="B75" s="2"/>
      <c r="C75" s="2"/>
      <c r="D75" s="2"/>
      <c r="E75" s="2"/>
      <c r="F75" s="2"/>
      <c r="G75" s="2"/>
      <c r="H75" s="2"/>
      <c r="I75" s="2"/>
      <c r="J75" s="2"/>
      <c r="L75"/>
      <c r="M75"/>
    </row>
    <row r="76" spans="1:13" ht="15" thickBot="1" x14ac:dyDescent="0.4">
      <c r="A76" s="14"/>
      <c r="B76" s="2"/>
      <c r="C76" s="2"/>
      <c r="D76" s="2"/>
      <c r="E76" s="2"/>
      <c r="F76" s="2"/>
      <c r="G76" s="2"/>
      <c r="H76" s="2"/>
      <c r="I76" s="2"/>
      <c r="J76" s="2"/>
      <c r="L76"/>
      <c r="M76"/>
    </row>
    <row r="77" spans="1:13" s="13" customFormat="1" ht="20" customHeight="1" thickBot="1" x14ac:dyDescent="0.4">
      <c r="A77" s="9"/>
      <c r="B77" s="77" t="s">
        <v>92</v>
      </c>
      <c r="C77" s="10"/>
      <c r="D77" s="11"/>
      <c r="E77" s="12">
        <f t="shared" ref="E77:J77" si="27">E$15</f>
        <v>2024</v>
      </c>
      <c r="F77" s="95">
        <f t="shared" si="27"/>
        <v>2025</v>
      </c>
      <c r="G77" s="95">
        <f t="shared" si="27"/>
        <v>2026</v>
      </c>
      <c r="H77" s="95">
        <f t="shared" si="27"/>
        <v>2027</v>
      </c>
      <c r="I77" s="95">
        <f t="shared" si="27"/>
        <v>2028</v>
      </c>
      <c r="J77" s="95">
        <f t="shared" si="27"/>
        <v>2029</v>
      </c>
      <c r="K77" s="3"/>
      <c r="L77"/>
      <c r="M77"/>
    </row>
    <row r="78" spans="1:13" ht="15" customHeight="1" x14ac:dyDescent="0.35">
      <c r="A78" s="14"/>
      <c r="B78" s="4"/>
      <c r="C78" s="4"/>
      <c r="D78" s="2"/>
      <c r="E78" s="4"/>
      <c r="F78" s="4"/>
      <c r="G78" s="4"/>
      <c r="H78" s="4"/>
      <c r="I78" s="4"/>
      <c r="J78" s="4"/>
      <c r="L78"/>
      <c r="M78"/>
    </row>
    <row r="79" spans="1:13" ht="14.5" x14ac:dyDescent="0.35">
      <c r="A79" s="14"/>
      <c r="B79" s="2" t="s">
        <v>73</v>
      </c>
      <c r="C79" s="2"/>
      <c r="D79" s="109" t="str">
        <f>'Enterprise Valuation Method'!$C$9</f>
        <v>Base Forecast</v>
      </c>
      <c r="E79" s="22" t="s">
        <v>41</v>
      </c>
      <c r="F79" s="89">
        <v>9.6972158805956887E-2</v>
      </c>
      <c r="G79" s="89">
        <v>6.2851785716838637E-2</v>
      </c>
      <c r="H79" s="89">
        <v>5.7991924377773507E-2</v>
      </c>
      <c r="I79" s="89">
        <v>5.3829675731999815E-2</v>
      </c>
      <c r="J79" s="89">
        <v>5.0224889697230046E-2</v>
      </c>
      <c r="L79"/>
      <c r="M79"/>
    </row>
    <row r="80" spans="1:13" ht="14.5" x14ac:dyDescent="0.35">
      <c r="A80" s="14"/>
      <c r="B80" s="2" t="s">
        <v>42</v>
      </c>
      <c r="C80" s="2"/>
      <c r="D80" s="2"/>
      <c r="E80" s="22">
        <f>E18/E17</f>
        <v>0.60320689733969723</v>
      </c>
      <c r="F80" s="88">
        <f t="shared" ref="F80:J81" si="28">E80+$F117</f>
        <v>0.60320689733969723</v>
      </c>
      <c r="G80" s="88">
        <f t="shared" si="28"/>
        <v>0.60320689733969723</v>
      </c>
      <c r="H80" s="88">
        <f t="shared" si="28"/>
        <v>0.60320689733969723</v>
      </c>
      <c r="I80" s="88">
        <f t="shared" si="28"/>
        <v>0.60320689733969723</v>
      </c>
      <c r="J80" s="88">
        <f t="shared" si="28"/>
        <v>0.60320689733969723</v>
      </c>
      <c r="L80"/>
      <c r="M80"/>
    </row>
    <row r="81" spans="1:13" ht="14.5" x14ac:dyDescent="0.35">
      <c r="A81" s="14"/>
      <c r="B81" s="2" t="s">
        <v>43</v>
      </c>
      <c r="C81" s="2"/>
      <c r="D81" s="2"/>
      <c r="E81" s="22">
        <f>E20/E17</f>
        <v>0.19987041742615022</v>
      </c>
      <c r="F81" s="88">
        <f t="shared" si="28"/>
        <v>0.19987041742615022</v>
      </c>
      <c r="G81" s="88">
        <f t="shared" si="28"/>
        <v>0.19987041742615022</v>
      </c>
      <c r="H81" s="88">
        <f t="shared" si="28"/>
        <v>0.19987041742615022</v>
      </c>
      <c r="I81" s="88">
        <f t="shared" si="28"/>
        <v>0.19987041742615022</v>
      </c>
      <c r="J81" s="88">
        <f t="shared" si="28"/>
        <v>0.19987041742615022</v>
      </c>
      <c r="L81"/>
      <c r="M81"/>
    </row>
    <row r="82" spans="1:13" ht="14.5" x14ac:dyDescent="0.35">
      <c r="A82" s="14"/>
      <c r="B82" s="2"/>
      <c r="C82" s="2"/>
      <c r="D82" s="2"/>
      <c r="E82" s="8"/>
      <c r="F82" s="7"/>
      <c r="G82" s="88"/>
      <c r="H82" s="88"/>
      <c r="I82" s="88"/>
      <c r="J82" s="88"/>
      <c r="L82"/>
      <c r="M82"/>
    </row>
    <row r="83" spans="1:13" ht="14.5" x14ac:dyDescent="0.35">
      <c r="A83" s="14"/>
      <c r="B83" s="2" t="s">
        <v>44</v>
      </c>
      <c r="C83" s="2"/>
      <c r="D83" s="2"/>
      <c r="E83" s="22">
        <v>1.4999999999999999E-2</v>
      </c>
      <c r="F83" s="88">
        <f>E83+$F120</f>
        <v>1.4999999999999999E-2</v>
      </c>
      <c r="G83" s="88">
        <f>F83+$F120</f>
        <v>1.4999999999999999E-2</v>
      </c>
      <c r="H83" s="88">
        <f>G83+$F120</f>
        <v>1.4999999999999999E-2</v>
      </c>
      <c r="I83" s="88">
        <f>H83+$F120</f>
        <v>1.4999999999999999E-2</v>
      </c>
      <c r="J83" s="88">
        <f>I83+$F120</f>
        <v>1.4999999999999999E-2</v>
      </c>
      <c r="L83"/>
      <c r="M83"/>
    </row>
    <row r="84" spans="1:13" ht="14.5" x14ac:dyDescent="0.35">
      <c r="A84" s="14"/>
      <c r="B84" s="2"/>
      <c r="C84" s="2"/>
      <c r="D84" s="2"/>
      <c r="E84" s="8"/>
      <c r="F84" s="7"/>
      <c r="G84" s="88"/>
      <c r="H84" s="88"/>
      <c r="I84" s="88"/>
      <c r="J84" s="88"/>
      <c r="L84"/>
      <c r="M84"/>
    </row>
    <row r="85" spans="1:13" ht="14.5" x14ac:dyDescent="0.35">
      <c r="A85" s="14"/>
      <c r="B85" s="2" t="str">
        <f>B34&amp;" (% of sales)"</f>
        <v>Accounts receivable (% of sales)</v>
      </c>
      <c r="C85" s="2"/>
      <c r="D85" s="2"/>
      <c r="E85" s="26">
        <f>E34/E17</f>
        <v>8.3886106261632006E-3</v>
      </c>
      <c r="F85" s="88">
        <f t="shared" ref="F85:J87" si="29">E85+$F122</f>
        <v>8.3886106261632006E-3</v>
      </c>
      <c r="G85" s="88">
        <f t="shared" si="29"/>
        <v>8.3886106261632006E-3</v>
      </c>
      <c r="H85" s="88">
        <f t="shared" si="29"/>
        <v>8.3886106261632006E-3</v>
      </c>
      <c r="I85" s="88">
        <f t="shared" si="29"/>
        <v>8.3886106261632006E-3</v>
      </c>
      <c r="J85" s="88">
        <f t="shared" si="29"/>
        <v>8.3886106261632006E-3</v>
      </c>
      <c r="L85"/>
      <c r="M85"/>
    </row>
    <row r="86" spans="1:13" x14ac:dyDescent="0.35">
      <c r="A86" s="14"/>
      <c r="B86" s="2" t="str">
        <f>B35&amp;" (% of sales)"</f>
        <v>Inventory (% of sales)</v>
      </c>
      <c r="C86" s="2"/>
      <c r="D86" s="2"/>
      <c r="E86" s="26">
        <f>E35/E17</f>
        <v>9.2758675193150772E-3</v>
      </c>
      <c r="F86" s="88">
        <f t="shared" si="29"/>
        <v>9.2758675193150772E-3</v>
      </c>
      <c r="G86" s="88">
        <f t="shared" si="29"/>
        <v>9.2758675193150772E-3</v>
      </c>
      <c r="H86" s="88">
        <f t="shared" si="29"/>
        <v>9.2758675193150772E-3</v>
      </c>
      <c r="I86" s="88">
        <f t="shared" si="29"/>
        <v>9.2758675193150772E-3</v>
      </c>
      <c r="J86" s="88">
        <f t="shared" si="29"/>
        <v>9.2758675193150772E-3</v>
      </c>
      <c r="M86" s="14"/>
    </row>
    <row r="87" spans="1:13" x14ac:dyDescent="0.35">
      <c r="A87" s="14"/>
      <c r="B87" s="2" t="str">
        <f>B42&amp;" (% of sales)"</f>
        <v>Accounts payable (% of sales)</v>
      </c>
      <c r="C87" s="2"/>
      <c r="D87" s="2"/>
      <c r="E87" s="26">
        <f>E42/E17</f>
        <v>1.0485763282703999E-2</v>
      </c>
      <c r="F87" s="88">
        <f t="shared" si="29"/>
        <v>1.0485763282703999E-2</v>
      </c>
      <c r="G87" s="88">
        <f t="shared" si="29"/>
        <v>1.0485763282703999E-2</v>
      </c>
      <c r="H87" s="88">
        <f t="shared" si="29"/>
        <v>1.0485763282703999E-2</v>
      </c>
      <c r="I87" s="88">
        <f t="shared" si="29"/>
        <v>1.0485763282703999E-2</v>
      </c>
      <c r="J87" s="88">
        <f t="shared" si="29"/>
        <v>1.0485763282703999E-2</v>
      </c>
      <c r="M87" s="14"/>
    </row>
    <row r="88" spans="1:13" x14ac:dyDescent="0.35">
      <c r="A88" s="14"/>
      <c r="B88" s="2"/>
      <c r="C88" s="2"/>
      <c r="D88" s="2"/>
      <c r="E88" s="8"/>
      <c r="F88" s="7"/>
      <c r="G88" s="88"/>
      <c r="H88" s="88"/>
      <c r="I88" s="88"/>
      <c r="J88" s="88"/>
      <c r="M88" s="14"/>
    </row>
    <row r="89" spans="1:13" x14ac:dyDescent="0.35">
      <c r="A89" s="14"/>
      <c r="B89" s="2" t="s">
        <v>45</v>
      </c>
      <c r="C89" s="2"/>
      <c r="D89" s="2"/>
      <c r="E89" s="73">
        <v>2450000</v>
      </c>
      <c r="F89" s="23">
        <f>E89+$F126</f>
        <v>2450003</v>
      </c>
      <c r="G89" s="23">
        <f>F89+$F126</f>
        <v>2450006</v>
      </c>
      <c r="H89" s="23">
        <f>G89+$F126</f>
        <v>2450009</v>
      </c>
      <c r="I89" s="23">
        <f>H89+$F126</f>
        <v>2450012</v>
      </c>
      <c r="J89" s="23">
        <f>I89+$F126</f>
        <v>2450015</v>
      </c>
      <c r="M89" s="14"/>
    </row>
    <row r="90" spans="1:13" x14ac:dyDescent="0.35">
      <c r="A90" s="14"/>
      <c r="B90" s="2" t="s">
        <v>46</v>
      </c>
      <c r="C90" s="2"/>
      <c r="D90" s="2"/>
      <c r="E90" s="22">
        <f>E91/E89</f>
        <v>0.48979591836734693</v>
      </c>
      <c r="F90" s="88">
        <f>E90+$F127</f>
        <v>0.60484693877551021</v>
      </c>
      <c r="G90" s="88">
        <f>F90+$F127</f>
        <v>0.7198979591836735</v>
      </c>
      <c r="H90" s="88">
        <f>G90 + $F127</f>
        <v>0.83494897959183678</v>
      </c>
      <c r="I90" s="88">
        <f>H90 + $F127</f>
        <v>0.95000000000000007</v>
      </c>
      <c r="J90" s="88">
        <f>I90 + $F127</f>
        <v>1.0650510204081634</v>
      </c>
      <c r="M90" s="14"/>
    </row>
    <row r="91" spans="1:13" x14ac:dyDescent="0.35">
      <c r="A91" s="14"/>
      <c r="B91" s="2" t="s">
        <v>47</v>
      </c>
      <c r="C91" s="2"/>
      <c r="D91" s="2"/>
      <c r="E91" s="25">
        <f>E22</f>
        <v>1200000</v>
      </c>
      <c r="F91" s="23">
        <f>F90*F89</f>
        <v>1481876.8145408162</v>
      </c>
      <c r="G91" s="23">
        <f t="shared" ref="G91:J91" si="30">G90*G89</f>
        <v>1763754.3193877551</v>
      </c>
      <c r="H91" s="23">
        <f t="shared" si="30"/>
        <v>2045632.5145408164</v>
      </c>
      <c r="I91" s="23">
        <f t="shared" si="30"/>
        <v>2327511.4000000004</v>
      </c>
      <c r="J91" s="23">
        <f t="shared" si="30"/>
        <v>2609390.9757653065</v>
      </c>
      <c r="M91" s="14"/>
    </row>
    <row r="92" spans="1:13" x14ac:dyDescent="0.35">
      <c r="A92" s="14"/>
      <c r="B92" s="2"/>
      <c r="C92" s="2"/>
      <c r="D92" s="2"/>
      <c r="E92" s="8"/>
      <c r="F92" s="38"/>
      <c r="G92" s="39"/>
      <c r="H92" s="39"/>
      <c r="I92" s="39"/>
      <c r="J92" s="39"/>
      <c r="M92" s="14"/>
    </row>
    <row r="93" spans="1:13" x14ac:dyDescent="0.35">
      <c r="A93" s="14"/>
      <c r="B93" s="2" t="s">
        <v>48</v>
      </c>
      <c r="C93" s="2"/>
      <c r="D93" s="2"/>
      <c r="E93" s="73">
        <v>150000</v>
      </c>
      <c r="F93" s="32">
        <f>E93+$F130</f>
        <v>150000</v>
      </c>
      <c r="G93" s="32">
        <f>F93+$F130</f>
        <v>150000</v>
      </c>
      <c r="H93" s="32">
        <f>G93 + $F130</f>
        <v>150000</v>
      </c>
      <c r="I93" s="32">
        <f>H93 + $F130</f>
        <v>150000</v>
      </c>
      <c r="J93" s="32">
        <f>I93 + $F130</f>
        <v>150000</v>
      </c>
      <c r="M93" s="14"/>
    </row>
    <row r="94" spans="1:13" x14ac:dyDescent="0.35">
      <c r="A94" s="14"/>
      <c r="B94" s="2" t="s">
        <v>49</v>
      </c>
      <c r="C94" s="2"/>
      <c r="D94" s="2"/>
      <c r="E94" s="73">
        <v>40000</v>
      </c>
      <c r="F94" s="32">
        <f>E94+$F131</f>
        <v>40000</v>
      </c>
      <c r="G94" s="32">
        <f>F94+$F131</f>
        <v>40000</v>
      </c>
      <c r="H94" s="32">
        <f>G94+$F131</f>
        <v>40000</v>
      </c>
      <c r="I94" s="32">
        <f>H94+$F131</f>
        <v>40000</v>
      </c>
      <c r="J94" s="32">
        <f>I94+$F131</f>
        <v>40000</v>
      </c>
      <c r="M94" s="14"/>
    </row>
    <row r="95" spans="1:13" x14ac:dyDescent="0.35">
      <c r="A95" s="14"/>
      <c r="B95" s="2"/>
      <c r="C95" s="2"/>
      <c r="D95" s="2"/>
      <c r="E95" s="8"/>
      <c r="F95" s="38"/>
      <c r="G95" s="39"/>
      <c r="H95" s="39"/>
      <c r="I95" s="39"/>
      <c r="J95" s="39"/>
      <c r="M95" s="14"/>
    </row>
    <row r="96" spans="1:13" ht="13" customHeight="1" x14ac:dyDescent="0.35">
      <c r="A96" s="14"/>
      <c r="B96" s="3" t="s">
        <v>50</v>
      </c>
      <c r="D96" s="2"/>
      <c r="E96" s="74">
        <v>200000</v>
      </c>
      <c r="F96" s="40">
        <f>F97*F98</f>
        <v>228973.90136428783</v>
      </c>
      <c r="G96" s="40">
        <f t="shared" ref="G96:J96" si="31">G97*G98</f>
        <v>239772.67457550095</v>
      </c>
      <c r="H96" s="40">
        <f t="shared" si="31"/>
        <v>250257.56771675518</v>
      </c>
      <c r="I96" s="40">
        <f t="shared" si="31"/>
        <v>260456.73969724204</v>
      </c>
      <c r="J96" s="40">
        <f t="shared" si="31"/>
        <v>270320.79707420379</v>
      </c>
      <c r="M96" s="14"/>
    </row>
    <row r="97" spans="1:13" ht="13.5" customHeight="1" x14ac:dyDescent="0.35">
      <c r="A97" s="14"/>
      <c r="B97" s="3" t="s">
        <v>51</v>
      </c>
      <c r="D97" s="2"/>
      <c r="E97" s="31">
        <f t="shared" ref="E97:J97" si="32">E28</f>
        <v>10211498.100878499</v>
      </c>
      <c r="F97" s="32">
        <f t="shared" si="32"/>
        <v>11690832.794660831</v>
      </c>
      <c r="G97" s="32">
        <f t="shared" si="32"/>
        <v>12242191.055351432</v>
      </c>
      <c r="H97" s="32">
        <f t="shared" si="32"/>
        <v>12777523.387350591</v>
      </c>
      <c r="I97" s="32">
        <f t="shared" si="32"/>
        <v>13298267.513896964</v>
      </c>
      <c r="J97" s="32">
        <f t="shared" si="32"/>
        <v>13801901.529755972</v>
      </c>
      <c r="M97" s="14"/>
    </row>
    <row r="98" spans="1:13" x14ac:dyDescent="0.35">
      <c r="A98" s="14"/>
      <c r="B98" s="3" t="s">
        <v>52</v>
      </c>
      <c r="D98" s="2"/>
      <c r="E98" s="27">
        <f>E96/E97</f>
        <v>1.958576479417784E-2</v>
      </c>
      <c r="F98" s="90">
        <f>E98+$F135</f>
        <v>1.958576479417784E-2</v>
      </c>
      <c r="G98" s="90">
        <f>F98+$F135</f>
        <v>1.958576479417784E-2</v>
      </c>
      <c r="H98" s="90">
        <f>G98+$F135</f>
        <v>1.958576479417784E-2</v>
      </c>
      <c r="I98" s="90">
        <f>H98+$F135</f>
        <v>1.958576479417784E-2</v>
      </c>
      <c r="J98" s="90">
        <f>I98+$F135</f>
        <v>1.958576479417784E-2</v>
      </c>
      <c r="M98" s="14"/>
    </row>
    <row r="99" spans="1:13" x14ac:dyDescent="0.35">
      <c r="A99" s="14"/>
      <c r="B99" s="2"/>
      <c r="C99" s="2"/>
      <c r="D99" s="2"/>
      <c r="E99" s="8"/>
      <c r="F99" s="38"/>
      <c r="G99" s="39"/>
      <c r="H99" s="39"/>
      <c r="I99" s="39"/>
      <c r="J99" s="39"/>
      <c r="M99" s="14"/>
    </row>
    <row r="100" spans="1:13" x14ac:dyDescent="0.35">
      <c r="A100" s="14"/>
      <c r="B100" s="2" t="str">
        <f>IF($G$11=1,"Beginning ","Average ")&amp;"long-term debt balance"</f>
        <v>Average long-term debt balance</v>
      </c>
      <c r="C100" s="2"/>
      <c r="D100" s="2"/>
      <c r="E100" s="8"/>
      <c r="F100" s="40">
        <f>IF($G$11=1,E44,AVERAGE(E44:F44))</f>
        <v>0</v>
      </c>
      <c r="G100" s="40">
        <f t="shared" ref="G100:J100" si="33">IF($G$11=1,F44,AVERAGE(F44:G44))</f>
        <v>0</v>
      </c>
      <c r="H100" s="40">
        <f t="shared" si="33"/>
        <v>0</v>
      </c>
      <c r="I100" s="40">
        <f t="shared" si="33"/>
        <v>0</v>
      </c>
      <c r="J100" s="40">
        <f t="shared" si="33"/>
        <v>95000</v>
      </c>
      <c r="M100" s="14"/>
    </row>
    <row r="101" spans="1:13" x14ac:dyDescent="0.35">
      <c r="A101" s="14"/>
      <c r="B101" s="2" t="s">
        <v>53</v>
      </c>
      <c r="C101" s="2"/>
      <c r="D101" s="2"/>
      <c r="E101" s="75">
        <v>0.04</v>
      </c>
      <c r="F101" s="91">
        <f>E101</f>
        <v>0.04</v>
      </c>
      <c r="G101" s="90">
        <f>F101</f>
        <v>0.04</v>
      </c>
      <c r="H101" s="90">
        <f>G101</f>
        <v>0.04</v>
      </c>
      <c r="I101" s="90">
        <f>H101</f>
        <v>0.04</v>
      </c>
      <c r="J101" s="90">
        <f>I101</f>
        <v>0.04</v>
      </c>
      <c r="M101" s="14"/>
    </row>
    <row r="102" spans="1:13" ht="13.5" thickBot="1" x14ac:dyDescent="0.4">
      <c r="A102" s="14"/>
      <c r="B102" s="5"/>
      <c r="C102" s="5"/>
      <c r="D102" s="5"/>
      <c r="E102" s="96" t="s">
        <v>12</v>
      </c>
      <c r="F102" s="6">
        <f>F100*F101</f>
        <v>0</v>
      </c>
      <c r="G102" s="6">
        <f>G100*G101</f>
        <v>0</v>
      </c>
      <c r="H102" s="6">
        <f>H100*H101</f>
        <v>0</v>
      </c>
      <c r="I102" s="6">
        <f>I100*I101</f>
        <v>0</v>
      </c>
      <c r="J102" s="6">
        <f>J100*J101</f>
        <v>3800</v>
      </c>
      <c r="M102" s="14"/>
    </row>
    <row r="103" spans="1:13" ht="13.5" thickTop="1" x14ac:dyDescent="0.35">
      <c r="A103" s="14"/>
      <c r="B103" s="2"/>
      <c r="C103" s="2"/>
      <c r="D103" s="2"/>
      <c r="E103" s="2"/>
      <c r="F103" s="2"/>
      <c r="G103" s="2"/>
      <c r="H103" s="2"/>
      <c r="I103" s="2"/>
      <c r="J103" s="110" t="str">
        <f>"based on "&amp;IF($G$11=1,"beginning ","average ")&amp;" balance"</f>
        <v>based on average  balance</v>
      </c>
      <c r="K103" s="151" t="str">
        <f>"based on "&amp;IF($G$15=1,"beginning ","average ")&amp;" balance"</f>
        <v>based on average  balance</v>
      </c>
      <c r="M103" s="14"/>
    </row>
    <row r="104" spans="1:13" x14ac:dyDescent="0.35">
      <c r="A104" s="14"/>
      <c r="M104" s="14"/>
    </row>
    <row r="105" spans="1:13" x14ac:dyDescent="0.35">
      <c r="A105" s="14"/>
      <c r="M105" s="14"/>
    </row>
    <row r="106" spans="1:13" ht="14" customHeight="1" x14ac:dyDescent="0.35">
      <c r="A106" s="14"/>
      <c r="M106" s="14"/>
    </row>
    <row r="107" spans="1:13" ht="13" customHeight="1" x14ac:dyDescent="0.35">
      <c r="A107" s="14"/>
      <c r="M107" s="14"/>
    </row>
    <row r="108" spans="1:13" ht="13" customHeight="1" x14ac:dyDescent="0.35">
      <c r="A108" s="14"/>
      <c r="M108" s="14"/>
    </row>
    <row r="109" spans="1:13" ht="13" customHeight="1" x14ac:dyDescent="0.35"/>
    <row r="110" spans="1:13" ht="13.5" customHeight="1" x14ac:dyDescent="0.35"/>
    <row r="114" spans="4:9" ht="13" hidden="1" customHeight="1" outlineLevel="1" x14ac:dyDescent="0.35">
      <c r="D114" s="155" t="e">
        <f>'Enterprise Valuation Method'!#REF!-'Enterprise Valuation Method'!#REF!</f>
        <v>#REF!</v>
      </c>
      <c r="E114" s="145" t="e">
        <f>'Enterprise Valuation Method'!#REF!-'Enterprise Valuation Method'!#REF!</f>
        <v>#REF!</v>
      </c>
      <c r="F114" s="155" t="e">
        <f>'Enterprise Valuation Method'!#REF!-'Enterprise Valuation Method'!#REF!</f>
        <v>#REF!</v>
      </c>
      <c r="G114" s="155" t="e">
        <f>'Enterprise Valuation Method'!#REF!-'Enterprise Valuation Method'!#REF!</f>
        <v>#REF!</v>
      </c>
      <c r="H114" s="155" t="e">
        <f>'Enterprise Valuation Method'!#REF!-'Enterprise Valuation Method'!#REF!</f>
        <v>#REF!</v>
      </c>
      <c r="I114" s="155" t="e">
        <f>'Enterprise Valuation Method'!#REF!-'Enterprise Valuation Method'!#REF!</f>
        <v>#REF!</v>
      </c>
    </row>
    <row r="115" spans="4:9" ht="13" hidden="1" customHeight="1" outlineLevel="1" x14ac:dyDescent="0.35">
      <c r="F115" s="21"/>
      <c r="G115" s="21"/>
      <c r="H115" s="2"/>
    </row>
    <row r="116" spans="4:9" ht="13" hidden="1" customHeight="1" outlineLevel="1" x14ac:dyDescent="0.35">
      <c r="F116" s="76">
        <v>0</v>
      </c>
      <c r="G116" s="88"/>
      <c r="H116" s="88"/>
    </row>
    <row r="117" spans="4:9" ht="13" hidden="1" customHeight="1" outlineLevel="1" x14ac:dyDescent="0.35">
      <c r="F117" s="76">
        <v>0</v>
      </c>
      <c r="G117" s="88"/>
      <c r="H117" s="88"/>
    </row>
    <row r="118" spans="4:9" ht="13" hidden="1" customHeight="1" outlineLevel="1" x14ac:dyDescent="0.35">
      <c r="F118" s="76">
        <v>0</v>
      </c>
      <c r="G118" s="88"/>
      <c r="H118" s="88"/>
    </row>
    <row r="119" spans="4:9" ht="13" hidden="1" customHeight="1" outlineLevel="1" x14ac:dyDescent="0.35">
      <c r="F119" s="88"/>
      <c r="G119" s="88"/>
      <c r="H119" s="88"/>
    </row>
    <row r="120" spans="4:9" ht="13" hidden="1" customHeight="1" outlineLevel="1" x14ac:dyDescent="0.35">
      <c r="F120" s="76">
        <v>0</v>
      </c>
      <c r="G120" s="88"/>
      <c r="H120" s="88"/>
    </row>
    <row r="121" spans="4:9" ht="13" hidden="1" customHeight="1" outlineLevel="1" x14ac:dyDescent="0.35">
      <c r="F121" s="88"/>
      <c r="G121" s="7"/>
      <c r="H121" s="7"/>
    </row>
    <row r="122" spans="4:9" ht="13" hidden="1" customHeight="1" outlineLevel="1" x14ac:dyDescent="0.35">
      <c r="F122" s="76">
        <v>0</v>
      </c>
      <c r="G122" s="7"/>
      <c r="H122" s="92"/>
    </row>
    <row r="123" spans="4:9" ht="13" hidden="1" customHeight="1" outlineLevel="1" x14ac:dyDescent="0.35">
      <c r="F123" s="76">
        <v>0</v>
      </c>
      <c r="G123" s="7"/>
      <c r="H123" s="92"/>
    </row>
    <row r="124" spans="4:9" ht="13" hidden="1" customHeight="1" outlineLevel="1" x14ac:dyDescent="0.35">
      <c r="F124" s="76">
        <v>0</v>
      </c>
      <c r="G124" s="7"/>
      <c r="H124" s="7"/>
    </row>
    <row r="125" spans="4:9" ht="13" hidden="1" customHeight="1" outlineLevel="1" x14ac:dyDescent="0.35">
      <c r="F125" s="92"/>
      <c r="G125" s="88"/>
      <c r="H125" s="88"/>
    </row>
    <row r="126" spans="4:9" ht="13" hidden="1" customHeight="1" outlineLevel="1" x14ac:dyDescent="0.35">
      <c r="F126" s="76">
        <v>3</v>
      </c>
      <c r="G126" s="7"/>
      <c r="H126" s="93" t="str">
        <f>J77&amp;" level"</f>
        <v>2029 level</v>
      </c>
    </row>
    <row r="127" spans="4:9" ht="13" hidden="1" customHeight="1" outlineLevel="1" x14ac:dyDescent="0.35">
      <c r="F127" s="94">
        <f>(H127-E90)/4</f>
        <v>0.11505102040816326</v>
      </c>
      <c r="G127" s="7"/>
      <c r="H127" s="76">
        <v>0.95</v>
      </c>
    </row>
    <row r="128" spans="4:9" ht="13" hidden="1" customHeight="1" outlineLevel="1" x14ac:dyDescent="0.35">
      <c r="F128" s="88"/>
      <c r="G128" s="88"/>
      <c r="H128" s="88"/>
    </row>
    <row r="129" spans="6:8" ht="13" hidden="1" customHeight="1" outlineLevel="1" x14ac:dyDescent="0.35">
      <c r="F129" s="88"/>
      <c r="G129" s="88"/>
      <c r="H129" s="88"/>
    </row>
    <row r="130" spans="6:8" ht="13" hidden="1" customHeight="1" outlineLevel="1" x14ac:dyDescent="0.35">
      <c r="F130" s="76">
        <v>0</v>
      </c>
      <c r="G130" s="88"/>
      <c r="H130" s="88"/>
    </row>
    <row r="131" spans="6:8" ht="13" hidden="1" customHeight="1" outlineLevel="1" x14ac:dyDescent="0.35">
      <c r="F131" s="76">
        <v>0</v>
      </c>
      <c r="G131" s="88"/>
      <c r="H131" s="88"/>
    </row>
    <row r="132" spans="6:8" ht="13" hidden="1" customHeight="1" outlineLevel="1" x14ac:dyDescent="0.35">
      <c r="F132" s="88"/>
      <c r="G132" s="88"/>
      <c r="H132" s="88"/>
    </row>
    <row r="133" spans="6:8" ht="13" hidden="1" customHeight="1" outlineLevel="1" x14ac:dyDescent="0.35">
      <c r="F133" s="88"/>
      <c r="G133" s="88"/>
      <c r="H133" s="88"/>
    </row>
    <row r="134" spans="6:8" ht="13" hidden="1" customHeight="1" outlineLevel="1" x14ac:dyDescent="0.35">
      <c r="F134" s="88"/>
      <c r="G134" s="88"/>
      <c r="H134" s="88"/>
    </row>
    <row r="135" spans="6:8" ht="13" hidden="1" customHeight="1" outlineLevel="1" x14ac:dyDescent="0.35">
      <c r="F135" s="76">
        <v>0</v>
      </c>
      <c r="G135" s="88"/>
      <c r="H135" s="88"/>
    </row>
    <row r="136" spans="6:8" collapsed="1" x14ac:dyDescent="0.35"/>
  </sheetData>
  <sheetProtection selectLockedCells="1" selectUnlockedCells="1"/>
  <mergeCells count="4">
    <mergeCell ref="D12:E12"/>
    <mergeCell ref="A3:J3"/>
    <mergeCell ref="B4:J6"/>
    <mergeCell ref="A7:J8"/>
  </mergeCells>
  <conditionalFormatting sqref="E19 E28 G28:J28 F44:J47 F53:J53 F63:J67 F91:J91 F102:J102">
    <cfRule type="cellIs" dxfId="6" priority="7" stopIfTrue="1" operator="equal">
      <formula>0.000001</formula>
    </cfRule>
  </conditionalFormatting>
  <conditionalFormatting sqref="E21 E24:E26">
    <cfRule type="cellIs" dxfId="5" priority="4" stopIfTrue="1" operator="equal">
      <formula>0.000001</formula>
    </cfRule>
  </conditionalFormatting>
  <conditionalFormatting sqref="F17:J27">
    <cfRule type="cellIs" dxfId="4" priority="5" stopIfTrue="1" operator="equal">
      <formula>0.000001</formula>
    </cfRule>
  </conditionalFormatting>
  <conditionalFormatting sqref="F33:J42">
    <cfRule type="cellIs" dxfId="3" priority="2" stopIfTrue="1" operator="equal">
      <formula>0.000001</formula>
    </cfRule>
  </conditionalFormatting>
  <conditionalFormatting sqref="F69:J69">
    <cfRule type="cellIs" dxfId="2" priority="6" stopIfTrue="1" operator="equal">
      <formula>0.000001</formula>
    </cfRule>
  </conditionalFormatting>
  <conditionalFormatting sqref="F74:J74">
    <cfRule type="cellIs" dxfId="1" priority="3" stopIfTrue="1" operator="equal">
      <formula>0.000001</formula>
    </cfRule>
  </conditionalFormatting>
  <conditionalFormatting sqref="D114 F114:I114">
    <cfRule type="cellIs" dxfId="0" priority="1" stopIfTrue="1" operator="equal">
      <formula>0.000001</formula>
    </cfRule>
  </conditionalFormatting>
  <printOptions horizontalCentered="1"/>
  <pageMargins left="0.25" right="0.25" top="0.75" bottom="0.75" header="0.3" footer="0.3"/>
  <pageSetup scale="29" fitToWidth="3" fitToHeight="3" orientation="portrait" r:id="rId1"/>
  <headerFooter alignWithMargins="0">
    <oddFooter>&amp;L&amp;8COPYRIGHT © by Oakwood Solutions, Inc.&amp;R&amp;8For training purposes only!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46AF0-56A9-4C19-AA1A-4191A594FA43}">
  <sheetPr>
    <tabColor theme="0"/>
  </sheetPr>
  <dimension ref="A5:E15"/>
  <sheetViews>
    <sheetView showGridLines="0" zoomScale="70" zoomScaleNormal="70" workbookViewId="0">
      <selection activeCell="E30" sqref="E30"/>
    </sheetView>
  </sheetViews>
  <sheetFormatPr defaultRowHeight="14.5" x14ac:dyDescent="0.35"/>
  <cols>
    <col min="1" max="1" width="5.08984375" style="139" customWidth="1"/>
    <col min="2" max="2" width="19.08984375" style="248" customWidth="1"/>
    <col min="3" max="5" width="33.453125" style="248" customWidth="1"/>
    <col min="6" max="16384" width="8.7265625" style="139"/>
  </cols>
  <sheetData>
    <row r="5" spans="1:5" ht="18.5" x14ac:dyDescent="0.35">
      <c r="B5" s="252" t="s">
        <v>164</v>
      </c>
      <c r="C5" s="253"/>
      <c r="D5" s="253"/>
      <c r="E5" s="253"/>
    </row>
    <row r="7" spans="1:5" s="247" customFormat="1" ht="15.5" x14ac:dyDescent="0.35">
      <c r="B7" s="249" t="s">
        <v>140</v>
      </c>
      <c r="C7" s="249" t="s">
        <v>141</v>
      </c>
      <c r="D7" s="249" t="s">
        <v>142</v>
      </c>
      <c r="E7" s="249" t="s">
        <v>143</v>
      </c>
    </row>
    <row r="8" spans="1:5" ht="56" customHeight="1" x14ac:dyDescent="0.35">
      <c r="B8" s="250" t="s">
        <v>165</v>
      </c>
      <c r="C8" s="251" t="s">
        <v>148</v>
      </c>
      <c r="D8" s="251" t="s">
        <v>153</v>
      </c>
      <c r="E8" s="251" t="s">
        <v>154</v>
      </c>
    </row>
    <row r="9" spans="1:5" ht="56" customHeight="1" x14ac:dyDescent="0.35">
      <c r="A9" s="140"/>
      <c r="B9" s="250" t="s">
        <v>146</v>
      </c>
      <c r="C9" s="251" t="s">
        <v>149</v>
      </c>
      <c r="D9" s="251" t="s">
        <v>155</v>
      </c>
      <c r="E9" s="251" t="s">
        <v>190</v>
      </c>
    </row>
    <row r="10" spans="1:5" ht="56" customHeight="1" x14ac:dyDescent="0.35">
      <c r="A10" s="140"/>
      <c r="B10" s="250" t="s">
        <v>147</v>
      </c>
      <c r="C10" s="251" t="s">
        <v>150</v>
      </c>
      <c r="D10" s="251" t="s">
        <v>156</v>
      </c>
      <c r="E10" s="251" t="s">
        <v>157</v>
      </c>
    </row>
    <row r="11" spans="1:5" ht="56" customHeight="1" x14ac:dyDescent="0.35">
      <c r="A11" s="140"/>
      <c r="B11" s="250" t="s">
        <v>144</v>
      </c>
      <c r="C11" s="251" t="s">
        <v>151</v>
      </c>
      <c r="D11" s="251" t="s">
        <v>158</v>
      </c>
      <c r="E11" s="251" t="s">
        <v>159</v>
      </c>
    </row>
    <row r="12" spans="1:5" ht="56" customHeight="1" x14ac:dyDescent="0.35">
      <c r="A12" s="140"/>
      <c r="B12" s="250" t="s">
        <v>145</v>
      </c>
      <c r="C12" s="251" t="s">
        <v>191</v>
      </c>
      <c r="D12" s="251" t="s">
        <v>160</v>
      </c>
      <c r="E12" s="251" t="s">
        <v>161</v>
      </c>
    </row>
    <row r="13" spans="1:5" ht="56" customHeight="1" x14ac:dyDescent="0.35">
      <c r="A13" s="140"/>
      <c r="B13" s="250" t="s">
        <v>11</v>
      </c>
      <c r="C13" s="251" t="s">
        <v>152</v>
      </c>
      <c r="D13" s="251" t="s">
        <v>162</v>
      </c>
      <c r="E13" s="251" t="s">
        <v>163</v>
      </c>
    </row>
    <row r="14" spans="1:5" x14ac:dyDescent="0.35">
      <c r="A14" s="140"/>
    </row>
    <row r="15" spans="1:5" x14ac:dyDescent="0.35">
      <c r="A15" s="1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Enterprise Valuation Method</vt:lpstr>
      <vt:lpstr>EBITDA Method</vt:lpstr>
      <vt:lpstr>3 Linked Financial Statements</vt:lpstr>
      <vt:lpstr>LTIP Financial Metric Compariso</vt:lpstr>
      <vt:lpstr>'3 Linked Financial Statements'!Print_Area</vt:lpstr>
      <vt:lpstr>'EBITDA Method'!Print_Area</vt:lpstr>
      <vt:lpstr>'Enterprise Valuation Method'!Print_Area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KAREY WONG</cp:lastModifiedBy>
  <cp:lastPrinted>2025-05-01T00:28:45Z</cp:lastPrinted>
  <dcterms:created xsi:type="dcterms:W3CDTF">2025-04-15T15:55:05Z</dcterms:created>
  <dcterms:modified xsi:type="dcterms:W3CDTF">2025-05-07T19:54:02Z</dcterms:modified>
</cp:coreProperties>
</file>