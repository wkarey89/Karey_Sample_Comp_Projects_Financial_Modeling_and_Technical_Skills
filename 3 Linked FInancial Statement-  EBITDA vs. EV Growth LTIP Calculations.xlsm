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6F819F4A-EB7A-4F32-80DA-85EAAAD63342}" xr6:coauthVersionLast="47" xr6:coauthVersionMax="47" xr10:uidLastSave="{00000000-0000-0000-0000-000000000000}"/>
  <bookViews>
    <workbookView xWindow="12050" yWindow="2580" windowWidth="23820" windowHeight="17360" tabRatio="831" xr2:uid="{00000000-000D-0000-FFFF-FFFF00000000}"/>
  </bookViews>
  <sheets>
    <sheet name="3 Linked Financial Statements" sheetId="8" r:id="rId1"/>
    <sheet name="Enterprise Valuation Method" sheetId="6" r:id="rId2"/>
    <sheet name="EBITDA Method" sheetId="11" r:id="rId3"/>
    <sheet name="TDC Interactive Calculator" sheetId="13" r:id="rId4"/>
    <sheet name="LTIP Financial Metric Compariso" sheetId="12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2" hidden="1">#REF!</definedName>
    <definedName name="__IntlFixupTable" localSheetId="1" hidden="1">#REF!</definedName>
    <definedName name="__IntlFixupTable" localSheetId="3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CLEAN" hidden="1" xlm="1">#NAME?</definedName>
    <definedName name="_xleta.GROWTH" hidden="1" xlm="1">#NAME?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2" hidden="1">#REF!</definedName>
    <definedName name="AA.Report.Files" localSheetId="1" hidden="1">#REF!</definedName>
    <definedName name="AA.Report.Files" localSheetId="3" hidden="1">#REF!</definedName>
    <definedName name="AA.Report.Files" hidden="1">#REF!</definedName>
    <definedName name="AA.Reports.Available" localSheetId="2" hidden="1">#REF!</definedName>
    <definedName name="AA.Reports.Available" localSheetId="1" hidden="1">#REF!</definedName>
    <definedName name="AA.Reports.Available" localSheetId="3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2">#REF!</definedName>
    <definedName name="asd" localSheetId="1">#REF!</definedName>
    <definedName name="asd" localSheetId="3">#REF!</definedName>
    <definedName name="asd">#REF!</definedName>
    <definedName name="asd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2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3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2" hidden="1">#REF!</definedName>
    <definedName name="bb_N0U4QjY0QTlGRUQ3NEUxMU" localSheetId="1" hidden="1">#REF!</definedName>
    <definedName name="bb_N0U4QjY0QTlGRUQ3NEUxMU" localSheetId="3" hidden="1">#REF!</definedName>
    <definedName name="bb_N0U4QjY0QTlGRUQ3NEUxMU" hidden="1">#REF!</definedName>
    <definedName name="bla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2">_xlfn.LAMBDA(_xlpm.temp,5/9*(_xlpm.temp-32))</definedName>
    <definedName name="Celcius" comment="Convert Fahrenheit to Celcius" localSheetId="1">_xlfn.LAMBDA(_xlpm.temp,5/9*(_xlpm.temp-32))</definedName>
    <definedName name="Celcius" comment="Convert Fahrenheit to Celcius" localSheetId="3">_xlfn.LAMBDA(_xlpm.temp,5/9*(_xlpm.temp-32))</definedName>
    <definedName name="Celcius" comment="Convert Fahrenheit to Celcius">_xlfn.LAMBDA(_xlpm.temp,5/9*(_xlpm.temp-32))</definedName>
    <definedName name="CellLock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2" hidden="1">{#N/A,#N/A,TRUE,"Sheet16"}</definedName>
    <definedName name="data" localSheetId="1" hidden="1">{#N/A,#N/A,TRUE,"Sheet16"}</definedName>
    <definedName name="data" localSheetId="3" hidden="1">{#N/A,#N/A,TRUE,"Sheet16"}</definedName>
    <definedName name="data" hidden="1">{#N/A,#N/A,TRUE,"Sheet16"}</definedName>
    <definedName name="Data.Dump" localSheetId="0" hidden="1">OFFSET([0]!Data.Top.Left,1,0)</definedName>
    <definedName name="Data.Dump" localSheetId="2" hidden="1">OFFSET([0]!Data.Top.Left,1,0)</definedName>
    <definedName name="Data.Dump" localSheetId="1" hidden="1">OFFSET([0]!Data.Top.Left,1,0)</definedName>
    <definedName name="Data.Dump" localSheetId="3" hidden="1">OFFSET([0]!Data.Top.Left,1,0)</definedName>
    <definedName name="Data.Dump" hidden="1">OFFSET([0]!Data.Top.Left,1,0)</definedName>
    <definedName name="Data.Dump2" localSheetId="0" hidden="1">OFFSET([0]!Data.Top.Left,1,0)</definedName>
    <definedName name="Data.Dump2" localSheetId="2" hidden="1">OFFSET([0]!Data.Top.Left,1,0)</definedName>
    <definedName name="Data.Dump2" localSheetId="1" hidden="1">OFFSET([0]!Data.Top.Left,1,0)</definedName>
    <definedName name="Data.Dump2" localSheetId="3" hidden="1">OFFSET([0]!Data.Top.Left,1,0)</definedName>
    <definedName name="Data.Dump2" hidden="1">OFFSET([0]!Data.Top.Left,1,0)</definedName>
    <definedName name="Data.Dump3" localSheetId="0" hidden="1">OFFSET([0]!Data.Top.Left,1,0)</definedName>
    <definedName name="Data.Dump3" localSheetId="2" hidden="1">OFFSET([0]!Data.Top.Left,1,0)</definedName>
    <definedName name="Data.Dump3" localSheetId="1" hidden="1">OFFSET([0]!Data.Top.Left,1,0)</definedName>
    <definedName name="Data.Dump3" localSheetId="3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2" hidden="1">{#N/A,#N/A,TRUE,"Sheet16"}</definedName>
    <definedName name="data1" localSheetId="1" hidden="1">{#N/A,#N/A,TRUE,"Sheet16"}</definedName>
    <definedName name="data1" localSheetId="3" hidden="1">{#N/A,#N/A,TRUE,"Sheet16"}</definedName>
    <definedName name="data1" hidden="1">{#N/A,#N/A,TRUE,"Sheet16"}</definedName>
    <definedName name="data2">'[8]Account Info'!$A:$IV</definedName>
    <definedName name="Database.File" localSheetId="2" hidden="1">#REF!</definedName>
    <definedName name="Database.File" localSheetId="1" hidden="1">#REF!</definedName>
    <definedName name="Database.File" localSheetId="3" hidden="1">#REF!</definedName>
    <definedName name="Database.File" hidden="1">#REF!</definedName>
    <definedName name="DD">#REF!</definedName>
    <definedName name="DescriptionsMaster">#REF!</definedName>
    <definedName name="Discount_Rate" localSheetId="2">#REF!</definedName>
    <definedName name="Discount_Rate" localSheetId="1">#REF!</definedName>
    <definedName name="Discount_Rate" localSheetId="3">#REF!</definedName>
    <definedName name="Discount_Rate">#REF!</definedName>
    <definedName name="ds">#REF!</definedName>
    <definedName name="DT">#REF!</definedName>
    <definedName name="du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2" hidden="1">#REF!</definedName>
    <definedName name="File.Type" localSheetId="1" hidden="1">#REF!</definedName>
    <definedName name="File.Type" localSheetId="3" hidden="1">#REF!</definedName>
    <definedName name="File.Type" hidden="1">#REF!</definedName>
    <definedName name="Forecast" localSheetId="2">#REF!</definedName>
    <definedName name="Forecast" localSheetId="1">#REF!</definedName>
    <definedName name="Forecast" localSheetId="3">#REF!</definedName>
    <definedName name="Forecast">#REF!</definedName>
    <definedName name="Functions">#REF!</definedName>
    <definedName name="GAS">#REF!</definedName>
    <definedName name="GASWK">#REF!</definedName>
    <definedName name="g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2" hidden="1">{"'Leverage'!$B$2:$M$418"}</definedName>
    <definedName name="HTML_Control" localSheetId="1" hidden="1">{"'Leverage'!$B$2:$M$418"}</definedName>
    <definedName name="HTML_Control" localSheetId="3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2" hidden="1">41393.570150463</definedName>
    <definedName name="IQ_NAMES_REVISION_DATE_" localSheetId="1" hidden="1">41393.570150463</definedName>
    <definedName name="IQ_NAMES_REVISION_DATE_" localSheetId="3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2">#REF!</definedName>
    <definedName name="MonthNumber" localSheetId="1">#REF!</definedName>
    <definedName name="MonthNumber" localSheetId="3">#REF!</definedName>
    <definedName name="MonthNumber">#REF!</definedName>
    <definedName name="MonthsList" localSheetId="2">#REF!</definedName>
    <definedName name="MonthsList" localSheetId="1">#REF!</definedName>
    <definedName name="MonthsList" localSheetId="3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2">#REF!</definedName>
    <definedName name="none" localSheetId="1">#REF!</definedName>
    <definedName name="none" localSheetId="3">#REF!</definedName>
    <definedName name="none">#REF!</definedName>
    <definedName name="none2" localSheetId="2">#REF!</definedName>
    <definedName name="none2" localSheetId="1">#REF!</definedName>
    <definedName name="none2" localSheetId="3">#REF!</definedName>
    <definedName name="none2">#REF!</definedName>
    <definedName name="none3" localSheetId="2">#REF!</definedName>
    <definedName name="none3" localSheetId="1">#REF!</definedName>
    <definedName name="none3" localSheetId="3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2">#REF!</definedName>
    <definedName name="Number_of_Employees" localSheetId="1">#REF!</definedName>
    <definedName name="Number_of_Employees" localSheetId="3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0" hidden="1">OFFSET([0]!Data.Top.Left,1,0)</definedName>
    <definedName name="Ownership" localSheetId="2" hidden="1">OFFSET([0]!Data.Top.Left,1,0)</definedName>
    <definedName name="Ownership" localSheetId="1" hidden="1">OFFSET([0]!Data.Top.Left,1,0)</definedName>
    <definedName name="Ownership" localSheetId="3" hidden="1">OFFSET([0]!Data.Top.Left,1,0)</definedName>
    <definedName name="Ownership" hidden="1">OFFSET([0]!Data.Top.Left,1,0)</definedName>
    <definedName name="Ownership2" localSheetId="0" hidden="1">OFFSET([0]!Data.Top.Left,1,0)</definedName>
    <definedName name="Ownership2" localSheetId="2" hidden="1">OFFSET([0]!Data.Top.Left,1,0)</definedName>
    <definedName name="Ownership2" localSheetId="1" hidden="1">OFFSET([0]!Data.Top.Left,1,0)</definedName>
    <definedName name="Ownership2" localSheetId="3" hidden="1">OFFSET([0]!Data.Top.Left,1,0)</definedName>
    <definedName name="Ownership2" hidden="1">OFFSET([0]!Data.Top.Left,1,0)</definedName>
    <definedName name="Ownsership3" localSheetId="0" hidden="1">OFFSET([0]!Data.Top.Left,1,0)</definedName>
    <definedName name="Ownsership3" localSheetId="2" hidden="1">OFFSET([0]!Data.Top.Left,1,0)</definedName>
    <definedName name="Ownsership3" localSheetId="1" hidden="1">OFFSET([0]!Data.Top.Left,1,0)</definedName>
    <definedName name="Ownsership3" localSheetId="3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2" hidden="1">{#N/A,#N/A,TRUE,"Sheet16"}</definedName>
    <definedName name="Pitchbook" localSheetId="1" hidden="1">{#N/A,#N/A,TRUE,"Sheet16"}</definedName>
    <definedName name="Pitchbook" localSheetId="3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0">'3 Linked Financial Statements'!$A$1:$L$102</definedName>
    <definedName name="_xlnm.Print_Area" localSheetId="2">'EBITDA Method'!$A$1:$P$71</definedName>
    <definedName name="_xlnm.Print_Area" localSheetId="1">'Enterprise Valuation Method'!$A$1:$N$73</definedName>
    <definedName name="_xlnm.Print_Area" localSheetId="3">'TDC Interactive Calculator'!$A$1:$L$71</definedName>
    <definedName name="_xlnm.Print_Area">#REF!</definedName>
    <definedName name="PROFIT94">#REF!</definedName>
    <definedName name="PROFIT97">#REF!</definedName>
    <definedName name="PROFIT98">#REF!</definedName>
    <definedName name="q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2" hidden="1">#REF!</definedName>
    <definedName name="Show.Acct.Update.Warning" localSheetId="1" hidden="1">#REF!</definedName>
    <definedName name="Show.Acct.Update.Warning" localSheetId="3" hidden="1">#REF!</definedName>
    <definedName name="Show.Acct.Update.Warning" hidden="1">#REF!</definedName>
    <definedName name="Show.MDB.Update.Warning" localSheetId="2" hidden="1">#REF!</definedName>
    <definedName name="Show.MDB.Update.Warning" localSheetId="1" hidden="1">#REF!</definedName>
    <definedName name="Show.MDB.Update.Warning" localSheetId="3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2">#REF!</definedName>
    <definedName name="Step_1" localSheetId="1">#REF!</definedName>
    <definedName name="Step_1" localSheetId="3">#REF!</definedName>
    <definedName name="Step_1">#REF!</definedName>
    <definedName name="Step_2" localSheetId="2">#REF!</definedName>
    <definedName name="Step_2" localSheetId="1">#REF!</definedName>
    <definedName name="Step_2" localSheetId="3">#REF!</definedName>
    <definedName name="Step_2">#REF!</definedName>
    <definedName name="Step_3" localSheetId="2">#REF!</definedName>
    <definedName name="Step_3" localSheetId="1">#REF!</definedName>
    <definedName name="Step_3" localSheetId="3">#REF!</definedName>
    <definedName name="Step_3">#REF!</definedName>
    <definedName name="Step_4" localSheetId="2">#REF!</definedName>
    <definedName name="Step_4" localSheetId="1">#REF!</definedName>
    <definedName name="Step_4" localSheetId="3">#REF!</definedName>
    <definedName name="Step_4">#REF!</definedName>
    <definedName name="Step_5" localSheetId="2">#REF!</definedName>
    <definedName name="Step_5" localSheetId="1">#REF!</definedName>
    <definedName name="Step_5" localSheetId="3">#REF!</definedName>
    <definedName name="Step_5">#REF!</definedName>
    <definedName name="Step_6" localSheetId="2">#REF!</definedName>
    <definedName name="Step_6" localSheetId="1">#REF!</definedName>
    <definedName name="Step_6" localSheetId="3">#REF!</definedName>
    <definedName name="Step_6">#REF!</definedName>
    <definedName name="Step1" localSheetId="2">#REF!</definedName>
    <definedName name="Step1" localSheetId="1">#REF!</definedName>
    <definedName name="Step1" localSheetId="3">#REF!</definedName>
    <definedName name="Step1">#REF!</definedName>
    <definedName name="Step2" localSheetId="2">#REF!</definedName>
    <definedName name="Step2" localSheetId="1">#REF!</definedName>
    <definedName name="Step2" localSheetId="3">#REF!</definedName>
    <definedName name="Step2">#REF!</definedName>
    <definedName name="Step3" localSheetId="2">#REF!</definedName>
    <definedName name="Step3" localSheetId="1">#REF!</definedName>
    <definedName name="Step3" localSheetId="3">#REF!</definedName>
    <definedName name="Step3">#REF!</definedName>
    <definedName name="Step4" localSheetId="2">#REF!</definedName>
    <definedName name="Step4" localSheetId="1">#REF!</definedName>
    <definedName name="Step4" localSheetId="3">#REF!</definedName>
    <definedName name="Step4">#REF!</definedName>
    <definedName name="Step5" localSheetId="2">#REF!</definedName>
    <definedName name="Step5" localSheetId="1">#REF!</definedName>
    <definedName name="Step5" localSheetId="3">#REF!</definedName>
    <definedName name="Step5">#REF!</definedName>
    <definedName name="Step6" localSheetId="2">#REF!</definedName>
    <definedName name="Step6" localSheetId="1">#REF!</definedName>
    <definedName name="Step6" localSheetId="3">#REF!</definedName>
    <definedName name="Step6">#REF!</definedName>
    <definedName name="SUM">#REF!</definedName>
    <definedName name="t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2">#REF!</definedName>
    <definedName name="Topics" localSheetId="1">#REF!</definedName>
    <definedName name="Topics" localSheetId="3">#REF!</definedName>
    <definedName name="Topics">#REF!</definedName>
    <definedName name="TYP">#REF!</definedName>
    <definedName name="u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2" hidden="1">{#N/A,#N/A,TRUE,"Sheet16"}</definedName>
    <definedName name="wrn.SB_PRES." localSheetId="1" hidden="1">{#N/A,#N/A,TRUE,"Sheet16"}</definedName>
    <definedName name="wrn.SB_PRES." localSheetId="3" hidden="1">{#N/A,#N/A,TRUE,"Sheet16"}</definedName>
    <definedName name="wrn.SB_PRES." hidden="1">{#N/A,#N/A,TRUE,"Sheet16"}</definedName>
    <definedName name="wrn.דוח._.רווח._.והפסד.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3" l="1"/>
  <c r="E34" i="13"/>
  <c r="B34" i="13"/>
  <c r="B19" i="13"/>
  <c r="H13" i="13"/>
  <c r="E13" i="13"/>
  <c r="B13" i="13"/>
  <c r="B7" i="13"/>
  <c r="H44" i="13" s="1"/>
  <c r="L13" i="13"/>
  <c r="E40" i="13" s="1"/>
  <c r="L12" i="13"/>
  <c r="B40" i="13" s="1"/>
  <c r="L11" i="13"/>
  <c r="L10" i="13"/>
  <c r="H19" i="13" s="1"/>
  <c r="L9" i="13"/>
  <c r="E19" i="13" s="1"/>
  <c r="L7" i="13"/>
  <c r="E36" i="13" s="1"/>
  <c r="L6" i="13"/>
  <c r="B36" i="13" s="1"/>
  <c r="L5" i="13"/>
  <c r="L4" i="13"/>
  <c r="H15" i="13" s="1"/>
  <c r="H24" i="13" s="1"/>
  <c r="H25" i="13" s="1"/>
  <c r="L3" i="13"/>
  <c r="H36" i="13" s="1"/>
  <c r="L2" i="13"/>
  <c r="B15" i="13" s="1"/>
  <c r="H50" i="11"/>
  <c r="H49" i="11"/>
  <c r="J44" i="8"/>
  <c r="I47" i="6"/>
  <c r="K5" i="6"/>
  <c r="L5" i="6" s="1"/>
  <c r="M5" i="6" s="1"/>
  <c r="N5" i="6" s="1"/>
  <c r="D22" i="11"/>
  <c r="E22" i="11" s="1"/>
  <c r="F22" i="11" s="1"/>
  <c r="G22" i="11" s="1"/>
  <c r="H22" i="11" s="1"/>
  <c r="D19" i="11"/>
  <c r="E19" i="11" s="1"/>
  <c r="F19" i="11" s="1"/>
  <c r="G19" i="11" s="1"/>
  <c r="H19" i="11" s="1"/>
  <c r="C13" i="11"/>
  <c r="C17" i="11" s="1"/>
  <c r="C20" i="11" s="1"/>
  <c r="C23" i="11" s="1"/>
  <c r="C25" i="11" s="1"/>
  <c r="H9" i="11"/>
  <c r="G9" i="11"/>
  <c r="F9" i="11"/>
  <c r="E9" i="11"/>
  <c r="D9" i="11"/>
  <c r="D11" i="11" s="1"/>
  <c r="L3" i="11"/>
  <c r="M3" i="11" s="1"/>
  <c r="N3" i="11" s="1"/>
  <c r="O3" i="11" s="1"/>
  <c r="E15" i="13" l="1"/>
  <c r="E24" i="13" s="1"/>
  <c r="E25" i="13" s="1"/>
  <c r="B26" i="13"/>
  <c r="E23" i="13"/>
  <c r="B44" i="13"/>
  <c r="B23" i="13"/>
  <c r="H23" i="13"/>
  <c r="B37" i="13"/>
  <c r="B38" i="13" s="1"/>
  <c r="B41" i="13" s="1"/>
  <c r="B45" i="13"/>
  <c r="B46" i="13" s="1"/>
  <c r="E37" i="13"/>
  <c r="E38" i="13" s="1"/>
  <c r="E41" i="13" s="1"/>
  <c r="E45" i="13"/>
  <c r="E46" i="13" s="1"/>
  <c r="B16" i="13"/>
  <c r="B17" i="13" s="1"/>
  <c r="B20" i="13" s="1"/>
  <c r="B24" i="13"/>
  <c r="B25" i="13" s="1"/>
  <c r="E47" i="13"/>
  <c r="H45" i="13"/>
  <c r="H46" i="13" s="1"/>
  <c r="H37" i="13"/>
  <c r="H38" i="13" s="1"/>
  <c r="B47" i="13"/>
  <c r="H40" i="13"/>
  <c r="E26" i="13"/>
  <c r="E44" i="13"/>
  <c r="H16" i="13"/>
  <c r="H17" i="13" s="1"/>
  <c r="H20" i="13" s="1"/>
  <c r="H26" i="13"/>
  <c r="H27" i="13" s="1"/>
  <c r="H51" i="11"/>
  <c r="H52" i="11" s="1"/>
  <c r="I49" i="6"/>
  <c r="I50" i="6" s="1"/>
  <c r="D18" i="11"/>
  <c r="E18" i="11" s="1"/>
  <c r="F18" i="11" s="1"/>
  <c r="G18" i="11" s="1"/>
  <c r="H18" i="11" s="1"/>
  <c r="E11" i="11"/>
  <c r="D12" i="11"/>
  <c r="D13" i="11" s="1"/>
  <c r="D15" i="11"/>
  <c r="E27" i="13" l="1"/>
  <c r="E16" i="13"/>
  <c r="E17" i="13" s="1"/>
  <c r="E20" i="13" s="1"/>
  <c r="B27" i="13"/>
  <c r="B48" i="13"/>
  <c r="H41" i="13"/>
  <c r="H47" i="13"/>
  <c r="H48" i="13" s="1"/>
  <c r="E48" i="13"/>
  <c r="D17" i="11"/>
  <c r="B31" i="11" s="1"/>
  <c r="G41" i="11" s="1"/>
  <c r="F11" i="11"/>
  <c r="E15" i="11"/>
  <c r="E12" i="11"/>
  <c r="E13" i="11" s="1"/>
  <c r="D20" i="11" l="1"/>
  <c r="D23" i="11" s="1"/>
  <c r="D24" i="11" s="1"/>
  <c r="E17" i="11"/>
  <c r="E20" i="11" s="1"/>
  <c r="E23" i="11" s="1"/>
  <c r="E24" i="11" s="1"/>
  <c r="E25" i="11" s="1"/>
  <c r="G11" i="11"/>
  <c r="F12" i="11"/>
  <c r="F15" i="11"/>
  <c r="G15" i="11" l="1"/>
  <c r="G12" i="11"/>
  <c r="G13" i="11" s="1"/>
  <c r="H11" i="11"/>
  <c r="F13" i="11"/>
  <c r="F17" i="11" s="1"/>
  <c r="F20" i="11" s="1"/>
  <c r="F23" i="11" s="1"/>
  <c r="F24" i="11" l="1"/>
  <c r="F25" i="11" s="1"/>
  <c r="G17" i="11"/>
  <c r="G20" i="11" s="1"/>
  <c r="G23" i="11" s="1"/>
  <c r="H15" i="11"/>
  <c r="H12" i="11"/>
  <c r="H13" i="11" s="1"/>
  <c r="G24" i="11" l="1"/>
  <c r="G25" i="11" s="1"/>
  <c r="H17" i="11"/>
  <c r="H20" i="11" s="1"/>
  <c r="H23" i="11" s="1"/>
  <c r="H24" i="11" l="1"/>
  <c r="H25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100" i="8"/>
  <c r="G43" i="8"/>
  <c r="G60" i="8" s="1"/>
  <c r="F43" i="8"/>
  <c r="F60" i="8" s="1"/>
  <c r="F42" i="8"/>
  <c r="F59" i="8" s="1"/>
  <c r="E41" i="8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E48" i="8" l="1"/>
  <c r="H89" i="8"/>
  <c r="G64" i="8"/>
  <c r="H45" i="8"/>
  <c r="H43" i="8"/>
  <c r="F102" i="8"/>
  <c r="F25" i="8" s="1"/>
  <c r="G57" i="8"/>
  <c r="G100" i="8"/>
  <c r="G102" i="8" s="1"/>
  <c r="G25" i="8" s="1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E28" i="8" l="1"/>
  <c r="E97" i="8" s="1"/>
  <c r="E98" i="8" s="1"/>
  <c r="F98" i="8" s="1"/>
  <c r="G98" i="8" s="1"/>
  <c r="H98" i="8" s="1"/>
  <c r="I98" i="8" s="1"/>
  <c r="J98" i="8" s="1"/>
  <c r="G66" i="8"/>
  <c r="H60" i="8"/>
  <c r="I43" i="8"/>
  <c r="H61" i="8"/>
  <c r="I45" i="8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J100" i="8" l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I100" i="8" l="1"/>
  <c r="I102" i="8" s="1"/>
  <c r="I25" i="8" s="1"/>
  <c r="I90" i="8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 s="1"/>
  <c r="H12" i="6"/>
  <c r="G12" i="6"/>
  <c r="F12" i="6"/>
  <c r="E12" i="6"/>
  <c r="D12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 s="1"/>
  <c r="H22" i="8"/>
  <c r="H24" i="8" s="1"/>
  <c r="H26" i="8" s="1"/>
  <c r="H54" i="8"/>
  <c r="J90" i="8"/>
  <c r="J91" i="8" s="1"/>
  <c r="I91" i="8"/>
  <c r="I37" i="8" s="1"/>
  <c r="D14" i="6"/>
  <c r="D21" i="6" s="1"/>
  <c r="C16" i="6"/>
  <c r="C20" i="6" s="1"/>
  <c r="I59" i="6"/>
  <c r="I58" i="6" l="1"/>
  <c r="E14" i="6"/>
  <c r="E21" i="6" s="1"/>
  <c r="D23" i="6"/>
  <c r="J54" i="8"/>
  <c r="J22" i="8"/>
  <c r="J24" i="8" s="1"/>
  <c r="J26" i="8" s="1"/>
  <c r="F46" i="8"/>
  <c r="H27" i="8"/>
  <c r="H28" i="8" s="1"/>
  <c r="G97" i="8"/>
  <c r="G96" i="8" s="1"/>
  <c r="G69" i="8" s="1"/>
  <c r="G70" i="8" s="1"/>
  <c r="G53" i="8"/>
  <c r="G6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D18" i="6"/>
  <c r="C22" i="6"/>
  <c r="D15" i="6"/>
  <c r="G72" i="8" l="1"/>
  <c r="E18" i="6"/>
  <c r="F14" i="6"/>
  <c r="F21" i="6" s="1"/>
  <c r="E23" i="6"/>
  <c r="I60" i="6" s="1"/>
  <c r="I27" i="8"/>
  <c r="I28" i="8" s="1"/>
  <c r="H97" i="8"/>
  <c r="H96" i="8" s="1"/>
  <c r="H69" i="8" s="1"/>
  <c r="H70" i="8" s="1"/>
  <c r="H53" i="8"/>
  <c r="H62" i="8" s="1"/>
  <c r="G73" i="8"/>
  <c r="G74" i="8" s="1"/>
  <c r="G33" i="8" s="1"/>
  <c r="F41" i="8"/>
  <c r="G46" i="8"/>
  <c r="F47" i="8"/>
  <c r="J27" i="8"/>
  <c r="J28" i="8" s="1"/>
  <c r="E15" i="6"/>
  <c r="E16" i="6" s="1"/>
  <c r="D16" i="6"/>
  <c r="D20" i="6" s="1"/>
  <c r="D22" i="6" s="1"/>
  <c r="F18" i="6" l="1"/>
  <c r="G14" i="6"/>
  <c r="G21" i="6" s="1"/>
  <c r="F23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73" i="8"/>
  <c r="G41" i="8"/>
  <c r="H46" i="8"/>
  <c r="G47" i="8"/>
  <c r="E20" i="6"/>
  <c r="F15" i="6"/>
  <c r="E22" i="6" l="1"/>
  <c r="E24" i="6" s="1"/>
  <c r="E27" i="6" s="1"/>
  <c r="G18" i="6"/>
  <c r="H14" i="6"/>
  <c r="G23" i="6"/>
  <c r="I72" i="8"/>
  <c r="H74" i="8"/>
  <c r="H33" i="8" s="1"/>
  <c r="I73" i="8" s="1"/>
  <c r="I74" i="8" s="1"/>
  <c r="I33" i="8" s="1"/>
  <c r="J72" i="8"/>
  <c r="I46" i="8"/>
  <c r="H47" i="8"/>
  <c r="G15" i="6"/>
  <c r="G16" i="6" s="1"/>
  <c r="F16" i="6"/>
  <c r="F20" i="6" s="1"/>
  <c r="F22" i="6" s="1"/>
  <c r="H41" i="8" l="1"/>
  <c r="H23" i="6"/>
  <c r="H21" i="6"/>
  <c r="H18" i="6"/>
  <c r="J73" i="8"/>
  <c r="J74" i="8" s="1"/>
  <c r="J33" i="8" s="1"/>
  <c r="J41" i="8" s="1"/>
  <c r="I41" i="8"/>
  <c r="J46" i="8"/>
  <c r="J47" i="8" s="1"/>
  <c r="I47" i="8"/>
  <c r="G20" i="6"/>
  <c r="G22" i="6" s="1"/>
  <c r="H15" i="6"/>
  <c r="H16" i="6" s="1"/>
  <c r="H20" i="6" l="1"/>
  <c r="H22" i="6" s="1"/>
  <c r="D24" i="6" l="1"/>
  <c r="D27" i="6" s="1"/>
  <c r="D25" i="6" l="1"/>
  <c r="E25" i="6"/>
  <c r="C34" i="6" s="1"/>
  <c r="F24" i="6"/>
  <c r="F27" i="6" s="1"/>
  <c r="G24" i="6"/>
  <c r="G27" i="6" s="1"/>
  <c r="D26" i="6" l="1"/>
  <c r="E26" i="6"/>
  <c r="F25" i="6"/>
  <c r="F26" i="6" s="1"/>
  <c r="G25" i="6"/>
  <c r="G26" i="6" s="1"/>
  <c r="E28" i="6"/>
  <c r="D28" i="6"/>
  <c r="H24" i="6"/>
  <c r="H25" i="6" l="1"/>
  <c r="H26" i="6" s="1"/>
  <c r="H27" i="6"/>
  <c r="G28" i="6"/>
  <c r="F28" i="6"/>
  <c r="H29" i="6" l="1"/>
  <c r="F29" i="6"/>
  <c r="G29" i="6"/>
  <c r="E29" i="6"/>
  <c r="C33" i="6" s="1"/>
  <c r="D29" i="6"/>
  <c r="H28" i="6"/>
  <c r="C35" i="6" l="1"/>
  <c r="B41" i="6" l="1"/>
  <c r="B42" i="6" s="1"/>
  <c r="H40" i="6" l="1"/>
  <c r="I40" i="6" s="1"/>
  <c r="B40" i="6"/>
  <c r="I51" i="6" l="1"/>
  <c r="I61" i="6" s="1"/>
  <c r="I62" i="6" s="1"/>
  <c r="I52" i="6" l="1"/>
  <c r="D25" i="11" l="1"/>
  <c r="H41" i="11" s="1"/>
  <c r="H53" i="11" s="1"/>
  <c r="H54" i="11" s="1"/>
  <c r="B30" i="11" l="1"/>
  <c r="B32" i="11"/>
</calcChain>
</file>

<file path=xl/sharedStrings.xml><?xml version="1.0" encoding="utf-8"?>
<sst xmlns="http://schemas.openxmlformats.org/spreadsheetml/2006/main" count="328" uniqueCount="193">
  <si>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</si>
  <si>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</si>
  <si>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</si>
  <si>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</si>
  <si>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</si>
  <si>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</si>
  <si>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</si>
  <si>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</si>
  <si>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</si>
  <si>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</si>
  <si>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</si>
  <si>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</si>
  <si>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</si>
  <si>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</si>
  <si>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</si>
  <si>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</si>
  <si>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</si>
  <si>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</si>
  <si>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</si>
  <si>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</si>
  <si>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</si>
  <si>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</si>
  <si>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</si>
  <si>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</si>
  <si>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</si>
  <si>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</si>
  <si>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</si>
  <si>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</si>
  <si>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</si>
  <si>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</si>
  <si>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</si>
  <si>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</si>
  <si>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</si>
  <si>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</si>
  <si>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</si>
  <si>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</si>
  <si>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</si>
  <si>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</si>
  <si>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</si>
  <si>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</si>
  <si>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</si>
  <si>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</si>
  <si>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</si>
  <si>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</si>
  <si>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</si>
  <si>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</si>
  <si>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</si>
  <si>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</si>
  <si>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</si>
  <si>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</si>
  <si>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</si>
  <si>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</si>
  <si>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</si>
  <si>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</si>
  <si>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</si>
  <si>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</si>
  <si>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</si>
  <si>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</si>
  <si>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</si>
  <si>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</si>
  <si>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</si>
  <si>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</si>
  <si>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</si>
  <si>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</si>
  <si>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</si>
  <si>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</si>
  <si>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</si>
  <si>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</si>
  <si>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</si>
  <si>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</si>
  <si>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</si>
  <si>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</si>
  <si>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</si>
  <si>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</si>
  <si>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 xml:space="preserve">Starting Enterprise Value 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</si>
  <si>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</si>
  <si>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</si>
  <si>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</si>
  <si>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</si>
  <si>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</si>
  <si>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</si>
  <si>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</si>
  <si>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</si>
  <si>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Payout % of Target</t>
  </si>
  <si>
    <t>Proration %</t>
  </si>
  <si>
    <t>Rev Growth Rate</t>
  </si>
  <si>
    <t>Aggressive (+10%)</t>
  </si>
  <si>
    <t>Conservative (-25%)</t>
  </si>
  <si>
    <t>Full Year TDC</t>
  </si>
  <si>
    <t>Max Cap</t>
  </si>
  <si>
    <t>Attainment %</t>
  </si>
  <si>
    <t>Final LTIP Payout $M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</si>
  <si>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</si>
  <si>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</si>
  <si>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</si>
  <si>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</si>
  <si>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</si>
  <si>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</si>
  <si>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</si>
  <si>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</si>
  <si>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</si>
  <si>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</si>
  <si>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</si>
  <si>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</si>
  <si>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</si>
  <si>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</si>
  <si>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</si>
  <si>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t>EV Growth Goal $M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</si>
  <si>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</si>
  <si>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</si>
  <si>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</si>
  <si>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</si>
  <si>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</si>
  <si>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</si>
  <si>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Min Bonus Payout</t>
  </si>
  <si>
    <t>Target Bonus Payout</t>
  </si>
  <si>
    <t>Max Bonus Payout</t>
  </si>
  <si>
    <t>Below Threshold  Payout</t>
  </si>
  <si>
    <t>Min LTIP Payout</t>
  </si>
  <si>
    <t>Target LTIP Payout</t>
  </si>
  <si>
    <t>Max LTIP Payout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</si>
  <si>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</si>
  <si>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</si>
  <si>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</si>
  <si>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</si>
  <si>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</si>
  <si>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</si>
  <si>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t>Income taxes (1.5%)</t>
  </si>
  <si>
    <t>📄 TAB OVERVIEW 1 : Forecast Revenue, EBITDA, and Net Income</t>
  </si>
  <si>
    <t xml:space="preserve">		$225,419</t>
  </si>
  <si>
    <t xml:space="preserve"> Assumptions</t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</si>
  <si>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future Free Cash Flow, Terminal Value, and Enterprise Value using both the Discounted Cash Flow (DCF) and Gordon Growth methods.
👇Select a Revenue Growth Scenario (cell C10), Discount Rate, and Terminal Growth Rate to see valuation outputs dynamically update.</t>
    </r>
  </si>
  <si>
    <t>Final LTIP Payout $</t>
  </si>
  <si>
    <t>Growth Rate %</t>
  </si>
  <si>
    <t>Metric</t>
  </si>
  <si>
    <t>Definition</t>
  </si>
  <si>
    <t>Pros</t>
  </si>
  <si>
    <t xml:space="preserve">	Cons</t>
  </si>
  <si>
    <t>Revenue Growth</t>
  </si>
  <si>
    <t>Net Income</t>
  </si>
  <si>
    <t>Enterprise Value (EV) Growth</t>
  </si>
  <si>
    <t>Free Cash Flow (FCF)</t>
  </si>
  <si>
    <t>Earnings before interest, taxes, depreciation, and amortization.</t>
  </si>
  <si>
    <t>Increase in company value based on discounted cash flow (DCF) of future free cash flows and terminal value.</t>
  </si>
  <si>
    <t>Operating cash flow minus capital expenditures; measures real cash generated from operations.</t>
  </si>
  <si>
    <t>Total top-line sales growth, before costs or expenses.</t>
  </si>
  <si>
    <t>Earnings before interest and taxes; includes depreciation and amortization.</t>
  </si>
  <si>
    <t>Core profit metric; aligns with operational performance; not skewed by taxes or financing.</t>
  </si>
  <si>
    <t>Can be inflated short-term by cutting key spend; ignores capex needs.</t>
  </si>
  <si>
    <t>Ultimate value creation metric; aligns with company valuation for potential exit/IPO.</t>
  </si>
  <si>
    <t>Real measure of liquidity and long-term sustainability.</t>
  </si>
  <si>
    <t>Volatile due to capex timing; influenced by working capital shifts.</t>
  </si>
  <si>
    <t>Easy to understand and measure; encourages growth focus.</t>
  </si>
  <si>
    <t>Can incentivize growth at all costs without profit discipline.</t>
  </si>
  <si>
    <t>Standard GAAP metric; reflects final profitability.</t>
  </si>
  <si>
    <t>Not reflective of actual operating performance in private firms.</t>
  </si>
  <si>
    <t>Includes impact of asset investment through depreciation.</t>
  </si>
  <si>
    <t>Can be distorted by accounting rules; less clear than EBITDA.</t>
  </si>
  <si>
    <r>
      <t xml:space="preserve">📊 </t>
    </r>
    <r>
      <rPr>
        <b/>
        <sz val="14"/>
        <color theme="1"/>
        <rFont val="Calibri"/>
        <family val="2"/>
        <scheme val="minor"/>
      </rPr>
      <t>LTIP Financial Metric Comparison Table (Aligned to 3-Statement Financial Model)</t>
    </r>
  </si>
  <si>
    <t xml:space="preserve">EBITDA
</t>
  </si>
  <si>
    <t>Value Created</t>
  </si>
  <si>
    <r>
      <rPr>
        <b/>
        <i/>
        <sz val="10"/>
        <color theme="0"/>
        <rFont val="Calibri"/>
        <family val="2"/>
        <scheme val="minor"/>
      </rPr>
      <t xml:space="preserve">💡 Note: </t>
    </r>
    <r>
      <rPr>
        <i/>
        <sz val="10"/>
        <color theme="0"/>
        <rFont val="Calibri"/>
        <family val="2"/>
        <scheme val="minor"/>
      </rPr>
      <t>Projection based off of historical 2022- 2024 revenue data*</t>
    </r>
  </si>
  <si>
    <t>Final Total Direct Comp</t>
  </si>
  <si>
    <t>STI Target %</t>
  </si>
  <si>
    <t>STI Cash</t>
  </si>
  <si>
    <t>Prorated Based on Hire Date</t>
  </si>
  <si>
    <t>Enter Final Result Here</t>
  </si>
  <si>
    <t>Enterprise Value Created</t>
  </si>
  <si>
    <t>EBITDA Goal $M</t>
  </si>
  <si>
    <t>FY25 Actual EBITDA Result and Final LTI Payment</t>
  </si>
  <si>
    <t>FY25 EBITDA Performance Target</t>
  </si>
  <si>
    <t>Select Rev Growth Rate</t>
  </si>
  <si>
    <t>EBITDA $M</t>
  </si>
  <si>
    <t>EV Growth ($M)</t>
  </si>
  <si>
    <t>Final LTI Cash</t>
  </si>
  <si>
    <t>Unlevered Free Cash Flow (FCF)</t>
  </si>
  <si>
    <t>PV of Forecasted FCF</t>
  </si>
  <si>
    <t>Undiscounted Terminal (FV)</t>
  </si>
  <si>
    <t>Discounted Terminal Value (PV)</t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</si>
  <si>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 xml:space="preserve">Final payout reflects </t>
    </r>
    <r>
      <rPr>
        <b/>
        <i/>
        <sz val="9"/>
        <color rgb="FFFF0000"/>
        <rFont val="Calibri"/>
        <family val="2"/>
        <scheme val="minor"/>
      </rPr>
      <t>118.5%</t>
    </r>
    <r>
      <rPr>
        <i/>
        <sz val="9"/>
        <color rgb="FFFF0000"/>
        <rFont val="Calibri"/>
        <family val="2"/>
        <scheme val="minor"/>
      </rPr>
      <t xml:space="preserve"> of the</t>
    </r>
    <r>
      <rPr>
        <b/>
        <i/>
        <sz val="9"/>
        <color rgb="FFFF0000"/>
        <rFont val="Calibri"/>
        <family val="2"/>
        <scheme val="minor"/>
      </rPr>
      <t xml:space="preserve"> $200,000</t>
    </r>
    <r>
      <rPr>
        <i/>
        <sz val="9"/>
        <color rgb="FFFF0000"/>
        <rFont val="Calibri"/>
        <family val="2"/>
        <scheme val="minor"/>
      </rPr>
      <t xml:space="preserve"> LTIP target, based on EV growth attainment of </t>
    </r>
    <r>
      <rPr>
        <b/>
        <i/>
        <sz val="9"/>
        <color rgb="FFFF0000"/>
        <rFont val="Calibri"/>
        <family val="2"/>
        <scheme val="minor"/>
      </rPr>
      <t>104%</t>
    </r>
  </si>
  <si>
    <t>FY26 Actual Enterprise Value (EV) Growth and Final LTIP Payout</t>
  </si>
  <si>
    <t>📄 TAB OVERVIEW 1 : Forecast Enterprise Value Creation YOY</t>
  </si>
  <si>
    <t xml:space="preserve">Total Company Enterprise Value (EV) </t>
  </si>
  <si>
    <t>Requires modeling; doesn't translate to short-term ops performance.</t>
  </si>
  <si>
    <t>Profit after all costs, taxes, and interest — the bottom line of the income statement.</t>
  </si>
  <si>
    <t>(Used Gordon Growth Formula)</t>
  </si>
  <si>
    <t>('Used DCF Formula)</t>
  </si>
  <si>
    <t>FY26 EV Growth Performance Target</t>
  </si>
  <si>
    <r>
      <t>At</t>
    </r>
    <r>
      <rPr>
        <b/>
        <i/>
        <sz val="10"/>
        <color rgb="FFFF0000"/>
        <rFont val="Calibri"/>
        <family val="2"/>
        <scheme val="minor"/>
      </rPr>
      <t xml:space="preserve"> 100% </t>
    </r>
    <r>
      <rPr>
        <i/>
        <sz val="10"/>
        <color rgb="FFFF0000"/>
        <rFont val="Calibri"/>
        <family val="2"/>
        <scheme val="minor"/>
      </rPr>
      <t xml:space="preserve">target, the LTIP is </t>
    </r>
    <r>
      <rPr>
        <b/>
        <i/>
        <sz val="10"/>
        <color rgb="FFFF0000"/>
        <rFont val="Calibri"/>
        <family val="2"/>
        <scheme val="minor"/>
      </rPr>
      <t>$200,000</t>
    </r>
    <r>
      <rPr>
        <i/>
        <sz val="10"/>
        <color rgb="FFFF0000"/>
        <rFont val="Calibri"/>
        <family val="2"/>
        <scheme val="minor"/>
      </rPr>
      <t xml:space="preserve">. With a </t>
    </r>
    <r>
      <rPr>
        <b/>
        <i/>
        <sz val="10"/>
        <color rgb="FFFF0000"/>
        <rFont val="Calibri"/>
        <family val="2"/>
        <scheme val="minor"/>
      </rPr>
      <t>94.85%</t>
    </r>
    <r>
      <rPr>
        <i/>
        <sz val="10"/>
        <color rgb="FFFF0000"/>
        <rFont val="Calibri"/>
        <family val="2"/>
        <scheme val="minor"/>
      </rPr>
      <t xml:space="preserve"> attainment of the EBITDA goal, the payout is calculated at </t>
    </r>
    <r>
      <rPr>
        <b/>
        <i/>
        <sz val="10"/>
        <color rgb="FFFF0000"/>
        <rFont val="Calibri"/>
        <family val="2"/>
        <scheme val="minor"/>
      </rPr>
      <t>74.23% of the target,</t>
    </r>
    <r>
      <rPr>
        <i/>
        <sz val="10"/>
        <color rgb="FFFF0000"/>
        <rFont val="Calibri"/>
        <family val="2"/>
        <scheme val="minor"/>
      </rPr>
      <t xml:space="preserve"> resulting in a final payout of </t>
    </r>
    <r>
      <rPr>
        <b/>
        <i/>
        <sz val="10"/>
        <color rgb="FFFF0000"/>
        <rFont val="Calibri"/>
        <family val="2"/>
        <scheme val="minor"/>
      </rPr>
      <t>$148,469.</t>
    </r>
  </si>
  <si>
    <t>Company X</t>
  </si>
  <si>
    <r>
      <rPr>
        <b/>
        <i/>
        <sz val="10"/>
        <rFont val="Calibri"/>
        <family val="2"/>
        <scheme val="minor"/>
      </rPr>
      <t xml:space="preserve">Note: 
- </t>
    </r>
    <r>
      <rPr>
        <i/>
        <sz val="10"/>
        <rFont val="Calibri"/>
        <family val="2"/>
        <scheme val="minor"/>
      </rPr>
      <t xml:space="preserve">Any performance achievement </t>
    </r>
    <r>
      <rPr>
        <b/>
        <i/>
        <sz val="10"/>
        <rFont val="Calibri"/>
        <family val="2"/>
        <scheme val="minor"/>
      </rPr>
      <t xml:space="preserve">above 110% </t>
    </r>
    <r>
      <rPr>
        <i/>
        <sz val="10"/>
        <rFont val="Calibri"/>
        <family val="2"/>
        <scheme val="minor"/>
      </rPr>
      <t xml:space="preserve">will be </t>
    </r>
    <r>
      <rPr>
        <b/>
        <i/>
        <sz val="10"/>
        <rFont val="Calibri"/>
        <family val="2"/>
        <scheme val="minor"/>
      </rPr>
      <t xml:space="preserve">capped at a 150% payout </t>
    </r>
    <r>
      <rPr>
        <i/>
        <sz val="10"/>
        <rFont val="Calibri"/>
        <family val="2"/>
        <scheme val="minor"/>
      </rPr>
      <t xml:space="preserve">of annual LTIP target
- Achievement of </t>
    </r>
    <r>
      <rPr>
        <b/>
        <i/>
        <sz val="10"/>
        <rFont val="Calibri"/>
        <family val="2"/>
        <scheme val="minor"/>
      </rPr>
      <t>90%</t>
    </r>
    <r>
      <rPr>
        <i/>
        <sz val="10"/>
        <rFont val="Calibri"/>
        <family val="2"/>
        <scheme val="minor"/>
      </rPr>
      <t xml:space="preserve"> will result in</t>
    </r>
    <r>
      <rPr>
        <b/>
        <i/>
        <sz val="10"/>
        <rFont val="Calibri"/>
        <family val="2"/>
        <scheme val="minor"/>
      </rPr>
      <t xml:space="preserve"> 50% payout</t>
    </r>
    <r>
      <rPr>
        <i/>
        <sz val="10"/>
        <rFont val="Calibri"/>
        <family val="2"/>
        <scheme val="minor"/>
      </rPr>
      <t xml:space="preserve">
- Achievement</t>
    </r>
    <r>
      <rPr>
        <b/>
        <i/>
        <sz val="10"/>
        <rFont val="Calibri"/>
        <family val="2"/>
        <scheme val="minor"/>
      </rPr>
      <t xml:space="preserve"> below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 xml:space="preserve">or </t>
    </r>
    <r>
      <rPr>
        <b/>
        <i/>
        <sz val="10"/>
        <rFont val="Calibri"/>
        <family val="2"/>
        <scheme val="minor"/>
      </rPr>
      <t xml:space="preserve">target and max payout, </t>
    </r>
    <r>
      <rPr>
        <i/>
        <sz val="10"/>
        <rFont val="Calibri"/>
        <family val="2"/>
        <scheme val="minor"/>
      </rPr>
      <t>will be</t>
    </r>
    <r>
      <rPr>
        <b/>
        <i/>
        <sz val="10"/>
        <rFont val="Calibri"/>
        <family val="2"/>
        <scheme val="minor"/>
      </rPr>
      <t xml:space="preserve"> interpolated.</t>
    </r>
  </si>
  <si>
    <r>
      <t xml:space="preserve">Note: 
</t>
    </r>
    <r>
      <rPr>
        <i/>
        <sz val="10"/>
        <rFont val="Calibri"/>
        <family val="2"/>
        <scheme val="minor"/>
      </rPr>
      <t xml:space="preserve">- Any performance achievement </t>
    </r>
    <r>
      <rPr>
        <b/>
        <i/>
        <sz val="10"/>
        <rFont val="Calibri"/>
        <family val="2"/>
        <scheme val="minor"/>
      </rPr>
      <t>above 110%</t>
    </r>
    <r>
      <rPr>
        <i/>
        <sz val="10"/>
        <rFont val="Calibri"/>
        <family val="2"/>
        <scheme val="minor"/>
      </rPr>
      <t xml:space="preserve"> will be capped at a </t>
    </r>
    <r>
      <rPr>
        <b/>
        <i/>
        <sz val="10"/>
        <rFont val="Calibri"/>
        <family val="2"/>
        <scheme val="minor"/>
      </rPr>
      <t>150% payout</t>
    </r>
    <r>
      <rPr>
        <i/>
        <sz val="10"/>
        <rFont val="Calibri"/>
        <family val="2"/>
        <scheme val="minor"/>
      </rPr>
      <t xml:space="preserve"> of annual LTIP target
- Achievement of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50% payout</t>
    </r>
    <r>
      <rPr>
        <i/>
        <sz val="10"/>
        <rFont val="Calibri"/>
        <family val="2"/>
        <scheme val="minor"/>
      </rPr>
      <t xml:space="preserve">
- Achievement below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>or</t>
    </r>
    <r>
      <rPr>
        <b/>
        <i/>
        <sz val="10"/>
        <rFont val="Calibri"/>
        <family val="2"/>
        <scheme val="minor"/>
      </rPr>
      <t xml:space="preserve"> target and max payout</t>
    </r>
    <r>
      <rPr>
        <i/>
        <sz val="10"/>
        <rFont val="Calibri"/>
        <family val="2"/>
        <scheme val="minor"/>
      </rPr>
      <t xml:space="preserve">, will be </t>
    </r>
    <r>
      <rPr>
        <b/>
        <i/>
        <sz val="10"/>
        <rFont val="Calibri"/>
        <family val="2"/>
        <scheme val="minor"/>
      </rPr>
      <t>interpolated.</t>
    </r>
  </si>
  <si>
    <t>MIX &amp; MATCH INTERATIVE TDC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</si>
</sst>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%_);\(#,##0.0%\)"/>
    <numFmt numFmtId="165" formatCode="m/d/yyyy;@"/>
    <numFmt numFmtId="166" formatCode="#,##0.0_);\(#,##0.0\)"/>
    <numFmt numFmtId="167" formatCode="0&quot;A&quot;_)"/>
    <numFmt numFmtId="168" formatCode="0&quot;E&quot;_)"/>
    <numFmt numFmtId="169" formatCode="&quot;$&quot;#,##0.0_);\(&quot;$&quot;#,##0.0\)"/>
    <numFmt numFmtId="170" formatCode="0.0%_);\(0.0%\)"/>
    <numFmt numFmtId="171" formatCode="0%_);\(0%\)"/>
    <numFmt numFmtId="172" formatCode="#,##0%_);\(#,##0%\)"/>
    <numFmt numFmtId="173" formatCode="&quot;$&quot;#,##0"/>
    <numFmt numFmtId="174" formatCode="_(#,##0.0%_);\(#,##0.0%\);_(&quot;–&quot;_)_%;_(@_)_%"/>
    <numFmt numFmtId="175" formatCode="&quot;$&quot;#,##0.0"/>
    <numFmt numFmtId="176" formatCode="0.0%"/>
    <numFmt numFmtId="177" formatCode="&quot;$&quot;#,##0.00"/>
  </numFmts>
  <fonts count="76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CDF2FF"/>
        <bgColor rgb="FFFFFFFF"/>
      </patternFill>
    </fill>
    <fill>
      <patternFill patternType="solid">
        <fgColor rgb="FFFFF1C5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E1F7FF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medium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rgb="FFC00000"/>
      </left>
      <right style="medium">
        <color theme="1" tint="0.499984740745262"/>
      </right>
      <top/>
      <bottom/>
      <diagonal/>
    </border>
    <border>
      <left style="medium">
        <color rgb="FFC00000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30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8">
    <xf numFmtId="0" fontId="0" fillId="0" borderId="0" xfId="0"/>
    <xf numFmtId="0" fontId="10" fillId="0" borderId="0" xfId="2" applyFont="1" applyAlignment="1">
      <alignment horizontal="left" vertical="top"/>
    </xf>
    <xf numFmtId="0" fontId="11" fillId="0" borderId="0" xfId="4" applyFont="1" applyAlignment="1" applyProtection="1">
      <alignment horizontal="left" vertical="top"/>
      <protection hidden="1"/>
    </xf>
    <xf numFmtId="0" fontId="11" fillId="0" borderId="0" xfId="4" applyFont="1" applyAlignment="1">
      <alignment horizontal="left" vertical="top"/>
    </xf>
    <xf numFmtId="0" fontId="15" fillId="0" borderId="0" xfId="4" applyFont="1" applyAlignment="1" applyProtection="1">
      <alignment horizontal="left" vertical="top"/>
      <protection hidden="1"/>
    </xf>
    <xf numFmtId="0" fontId="15" fillId="0" borderId="6" xfId="4" applyFont="1" applyBorder="1" applyAlignment="1" applyProtection="1">
      <alignment horizontal="left" vertical="top"/>
      <protection hidden="1"/>
    </xf>
    <xf numFmtId="169" fontId="15" fillId="0" borderId="6" xfId="4" applyNumberFormat="1" applyFont="1" applyBorder="1" applyAlignment="1" applyProtection="1">
      <alignment horizontal="left" vertical="top"/>
      <protection hidden="1"/>
    </xf>
    <xf numFmtId="170" fontId="12" fillId="0" borderId="0" xfId="4" applyNumberFormat="1" applyFont="1" applyAlignment="1" applyProtection="1">
      <alignment horizontal="left" vertical="top"/>
      <protection hidden="1"/>
    </xf>
    <xf numFmtId="0" fontId="11" fillId="0" borderId="7" xfId="4" applyFont="1" applyBorder="1" applyAlignment="1" applyProtection="1">
      <alignment horizontal="left" vertical="top"/>
      <protection hidden="1"/>
    </xf>
    <xf numFmtId="0" fontId="17" fillId="0" borderId="0" xfId="2" applyFont="1" applyAlignment="1">
      <alignment horizontal="left" vertical="top"/>
    </xf>
    <xf numFmtId="0" fontId="18" fillId="4" borderId="0" xfId="4" applyFont="1" applyFill="1" applyAlignment="1" applyProtection="1">
      <alignment horizontal="left" vertical="top"/>
      <protection hidden="1"/>
    </xf>
    <xf numFmtId="0" fontId="19" fillId="4" borderId="0" xfId="4" applyFont="1" applyFill="1" applyAlignment="1">
      <alignment horizontal="left" vertical="top"/>
    </xf>
    <xf numFmtId="167" fontId="18" fillId="4" borderId="4" xfId="4" applyNumberFormat="1" applyFont="1" applyFill="1" applyBorder="1" applyAlignment="1">
      <alignment horizontal="left" vertical="top"/>
    </xf>
    <xf numFmtId="0" fontId="20" fillId="0" borderId="0" xfId="4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23" fillId="0" borderId="0" xfId="4" applyFont="1" applyAlignment="1" applyProtection="1">
      <alignment horizontal="left" vertical="top"/>
      <protection hidden="1"/>
    </xf>
    <xf numFmtId="0" fontId="11" fillId="0" borderId="8" xfId="4" applyFont="1" applyBorder="1" applyAlignment="1" applyProtection="1">
      <alignment horizontal="left" vertical="top"/>
      <protection hidden="1"/>
    </xf>
    <xf numFmtId="5" fontId="11" fillId="3" borderId="0" xfId="4" applyNumberFormat="1" applyFont="1" applyFill="1" applyAlignment="1" applyProtection="1">
      <alignment horizontal="left" vertical="top"/>
      <protection hidden="1"/>
    </xf>
    <xf numFmtId="5" fontId="15" fillId="0" borderId="0" xfId="4" applyNumberFormat="1" applyFont="1" applyAlignment="1" applyProtection="1">
      <alignment horizontal="left" vertical="top"/>
      <protection hidden="1"/>
    </xf>
    <xf numFmtId="5" fontId="23" fillId="0" borderId="0" xfId="4" applyNumberFormat="1" applyFont="1" applyAlignment="1" applyProtection="1">
      <alignment horizontal="left" vertical="top"/>
      <protection hidden="1"/>
    </xf>
    <xf numFmtId="171" fontId="11" fillId="0" borderId="0" xfId="4" applyNumberFormat="1" applyFont="1" applyAlignment="1" applyProtection="1">
      <alignment horizontal="left" vertical="top"/>
      <protection hidden="1"/>
    </xf>
    <xf numFmtId="172" fontId="11" fillId="0" borderId="7" xfId="4" applyNumberFormat="1" applyFont="1" applyBorder="1" applyAlignment="1" applyProtection="1">
      <alignment horizontal="left" vertical="top"/>
      <protection hidden="1"/>
    </xf>
    <xf numFmtId="173" fontId="11" fillId="0" borderId="0" xfId="4" applyNumberFormat="1" applyFont="1" applyAlignment="1" applyProtection="1">
      <alignment horizontal="left" vertical="top"/>
      <protection hidden="1"/>
    </xf>
    <xf numFmtId="173" fontId="11" fillId="0" borderId="8" xfId="4" applyNumberFormat="1" applyFont="1" applyBorder="1" applyAlignment="1" applyProtection="1">
      <alignment horizontal="left" vertical="top"/>
      <protection hidden="1"/>
    </xf>
    <xf numFmtId="5" fontId="11" fillId="0" borderId="7" xfId="4" applyNumberFormat="1" applyFont="1" applyBorder="1" applyAlignment="1" applyProtection="1">
      <alignment horizontal="left" vertical="top"/>
      <protection hidden="1"/>
    </xf>
    <xf numFmtId="9" fontId="11" fillId="3" borderId="7" xfId="1" applyFont="1" applyFill="1" applyBorder="1" applyAlignment="1" applyProtection="1">
      <alignment horizontal="left" vertical="top"/>
      <protection hidden="1"/>
    </xf>
    <xf numFmtId="171" fontId="11" fillId="3" borderId="7" xfId="4" applyNumberFormat="1" applyFont="1" applyFill="1" applyBorder="1" applyAlignment="1" applyProtection="1">
      <alignment horizontal="left" vertical="top"/>
      <protection hidden="1"/>
    </xf>
    <xf numFmtId="173" fontId="15" fillId="0" borderId="0" xfId="4" applyNumberFormat="1" applyFont="1" applyAlignment="1" applyProtection="1">
      <alignment horizontal="left" vertical="top"/>
      <protection hidden="1"/>
    </xf>
    <xf numFmtId="0" fontId="11" fillId="0" borderId="8" xfId="4" applyFont="1" applyBorder="1" applyAlignment="1">
      <alignment horizontal="left" vertical="top"/>
    </xf>
    <xf numFmtId="169" fontId="15" fillId="0" borderId="0" xfId="4" applyNumberFormat="1" applyFont="1" applyAlignment="1" applyProtection="1">
      <alignment horizontal="left" vertical="top"/>
      <protection hidden="1"/>
    </xf>
    <xf numFmtId="173" fontId="11" fillId="3" borderId="7" xfId="4" applyNumberFormat="1" applyFont="1" applyFill="1" applyBorder="1" applyAlignment="1">
      <alignment horizontal="left" vertical="top"/>
    </xf>
    <xf numFmtId="173" fontId="11" fillId="3" borderId="0" xfId="4" applyNumberFormat="1" applyFont="1" applyFill="1" applyAlignment="1" applyProtection="1">
      <alignment horizontal="left" vertical="top"/>
      <protection hidden="1"/>
    </xf>
    <xf numFmtId="173" fontId="11" fillId="3" borderId="8" xfId="4" applyNumberFormat="1" applyFont="1" applyFill="1" applyBorder="1" applyAlignment="1" applyProtection="1">
      <alignment horizontal="left" vertical="top"/>
      <protection hidden="1"/>
    </xf>
    <xf numFmtId="173" fontId="15" fillId="3" borderId="0" xfId="4" applyNumberFormat="1" applyFont="1" applyFill="1" applyAlignment="1" applyProtection="1">
      <alignment horizontal="left" vertical="top"/>
      <protection hidden="1"/>
    </xf>
    <xf numFmtId="173" fontId="23" fillId="3" borderId="0" xfId="4" applyNumberFormat="1" applyFont="1" applyFill="1" applyAlignment="1" applyProtection="1">
      <alignment horizontal="left" vertical="top"/>
      <protection hidden="1"/>
    </xf>
    <xf numFmtId="173" fontId="23" fillId="3" borderId="8" xfId="4" applyNumberFormat="1" applyFont="1" applyFill="1" applyBorder="1" applyAlignment="1" applyProtection="1">
      <alignment horizontal="left" vertical="top"/>
      <protection hidden="1"/>
    </xf>
    <xf numFmtId="37" fontId="11" fillId="3" borderId="0" xfId="4" applyNumberFormat="1" applyFont="1" applyFill="1" applyAlignment="1">
      <alignment horizontal="left" vertical="top"/>
    </xf>
    <xf numFmtId="171" fontId="12" fillId="3" borderId="0" xfId="4" applyNumberFormat="1" applyFont="1" applyFill="1" applyAlignment="1" applyProtection="1">
      <alignment horizontal="left" vertical="top"/>
      <protection hidden="1"/>
    </xf>
    <xf numFmtId="171" fontId="11" fillId="3" borderId="0" xfId="4" applyNumberFormat="1" applyFont="1" applyFill="1" applyAlignment="1" applyProtection="1">
      <alignment horizontal="left" vertical="top"/>
      <protection hidden="1"/>
    </xf>
    <xf numFmtId="5" fontId="23" fillId="3" borderId="0" xfId="4" applyNumberFormat="1" applyFont="1" applyFill="1" applyAlignment="1" applyProtection="1">
      <alignment horizontal="left" vertical="top"/>
      <protection hidden="1"/>
    </xf>
    <xf numFmtId="0" fontId="11" fillId="3" borderId="0" xfId="4" applyFont="1" applyFill="1" applyAlignment="1">
      <alignment horizontal="left" vertical="top"/>
    </xf>
    <xf numFmtId="0" fontId="11" fillId="3" borderId="0" xfId="4" applyFont="1" applyFill="1" applyAlignment="1" applyProtection="1">
      <alignment horizontal="left" vertical="top"/>
      <protection hidden="1"/>
    </xf>
    <xf numFmtId="0" fontId="15" fillId="3" borderId="0" xfId="4" applyFont="1" applyFill="1" applyAlignment="1" applyProtection="1">
      <alignment horizontal="left" vertical="top"/>
      <protection hidden="1"/>
    </xf>
    <xf numFmtId="0" fontId="28" fillId="0" borderId="0" xfId="5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4" fontId="11" fillId="2" borderId="15" xfId="3" applyNumberFormat="1" applyFont="1" applyFill="1" applyBorder="1" applyAlignment="1" applyProtection="1">
      <alignment horizontal="left" vertical="top"/>
      <protection locked="0"/>
    </xf>
    <xf numFmtId="0" fontId="11" fillId="2" borderId="16" xfId="4" applyFont="1" applyFill="1" applyBorder="1" applyAlignment="1">
      <alignment horizontal="left" vertical="top"/>
    </xf>
    <xf numFmtId="0" fontId="11" fillId="2" borderId="17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>
      <alignment horizontal="left" vertical="top"/>
    </xf>
    <xf numFmtId="0" fontId="14" fillId="2" borderId="1" xfId="4" applyFont="1" applyFill="1" applyBorder="1" applyAlignment="1">
      <alignment horizontal="left" vertical="top"/>
    </xf>
    <xf numFmtId="0" fontId="11" fillId="2" borderId="18" xfId="4" applyFont="1" applyFill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29" fillId="0" borderId="0" xfId="0" applyFont="1" applyAlignment="1">
      <alignment horizontal="left" vertical="top"/>
    </xf>
    <xf numFmtId="5" fontId="15" fillId="3" borderId="0" xfId="4" applyNumberFormat="1" applyFont="1" applyFill="1" applyAlignment="1" applyProtection="1">
      <alignment horizontal="left" vertical="top"/>
      <protection hidden="1"/>
    </xf>
    <xf numFmtId="0" fontId="35" fillId="0" borderId="0" xfId="0" applyFont="1" applyAlignment="1">
      <alignment vertical="top"/>
    </xf>
    <xf numFmtId="0" fontId="15" fillId="2" borderId="0" xfId="4" applyFont="1" applyFill="1" applyAlignment="1">
      <alignment horizontal="left" vertical="top"/>
    </xf>
    <xf numFmtId="0" fontId="11" fillId="2" borderId="0" xfId="4" applyFont="1" applyFill="1" applyAlignment="1">
      <alignment horizontal="left" vertical="top"/>
    </xf>
    <xf numFmtId="0" fontId="14" fillId="2" borderId="0" xfId="4" applyFont="1" applyFill="1" applyAlignment="1">
      <alignment horizontal="left" vertical="top"/>
    </xf>
    <xf numFmtId="0" fontId="33" fillId="0" borderId="0" xfId="0" applyFont="1" applyAlignment="1">
      <alignment vertical="top"/>
    </xf>
    <xf numFmtId="0" fontId="31" fillId="0" borderId="0" xfId="0" applyFont="1" applyAlignment="1">
      <alignment vertical="top"/>
    </xf>
    <xf numFmtId="0" fontId="33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173" fontId="22" fillId="6" borderId="8" xfId="4" applyNumberFormat="1" applyFont="1" applyFill="1" applyBorder="1" applyAlignment="1" applyProtection="1">
      <alignment horizontal="left" vertical="top"/>
      <protection hidden="1"/>
    </xf>
    <xf numFmtId="173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>
      <alignment horizontal="left" vertical="top"/>
    </xf>
    <xf numFmtId="5" fontId="22" fillId="6" borderId="8" xfId="4" applyNumberFormat="1" applyFont="1" applyFill="1" applyBorder="1" applyAlignment="1">
      <alignment horizontal="left" vertical="top"/>
    </xf>
    <xf numFmtId="173" fontId="22" fillId="6" borderId="0" xfId="4" applyNumberFormat="1" applyFont="1" applyFill="1" applyAlignment="1">
      <alignment horizontal="left" vertical="top"/>
    </xf>
    <xf numFmtId="173" fontId="22" fillId="6" borderId="7" xfId="4" applyNumberFormat="1" applyFont="1" applyFill="1" applyBorder="1" applyAlignment="1" applyProtection="1">
      <alignment horizontal="left" vertical="top"/>
      <protection hidden="1"/>
    </xf>
    <xf numFmtId="5" fontId="22" fillId="6" borderId="7" xfId="4" applyNumberFormat="1" applyFont="1" applyFill="1" applyBorder="1" applyAlignment="1">
      <alignment horizontal="left" vertical="top"/>
    </xf>
    <xf numFmtId="171" fontId="22" fillId="6" borderId="7" xfId="4" applyNumberFormat="1" applyFont="1" applyFill="1" applyBorder="1" applyAlignment="1">
      <alignment horizontal="left" vertical="top"/>
    </xf>
    <xf numFmtId="170" fontId="22" fillId="6" borderId="3" xfId="4" applyNumberFormat="1" applyFont="1" applyFill="1" applyBorder="1" applyAlignment="1" applyProtection="1">
      <alignment horizontal="left" vertical="top"/>
      <protection hidden="1"/>
    </xf>
    <xf numFmtId="0" fontId="47" fillId="4" borderId="0" xfId="4" applyFont="1" applyFill="1" applyAlignment="1" applyProtection="1">
      <alignment horizontal="left" vertical="top"/>
      <protection hidden="1"/>
    </xf>
    <xf numFmtId="0" fontId="44" fillId="8" borderId="10" xfId="4" applyFont="1" applyFill="1" applyBorder="1" applyAlignment="1" applyProtection="1">
      <alignment horizontal="left" vertical="top"/>
      <protection hidden="1"/>
    </xf>
    <xf numFmtId="0" fontId="11" fillId="8" borderId="5" xfId="4" applyFont="1" applyFill="1" applyBorder="1" applyAlignment="1" applyProtection="1">
      <alignment horizontal="left" vertical="top"/>
      <protection hidden="1"/>
    </xf>
    <xf numFmtId="173" fontId="22" fillId="8" borderId="5" xfId="4" applyNumberFormat="1" applyFont="1" applyFill="1" applyBorder="1" applyAlignment="1" applyProtection="1">
      <alignment horizontal="left" vertical="top"/>
      <protection hidden="1"/>
    </xf>
    <xf numFmtId="173" fontId="27" fillId="8" borderId="5" xfId="4" applyNumberFormat="1" applyFont="1" applyFill="1" applyBorder="1" applyAlignment="1" applyProtection="1">
      <alignment horizontal="left" vertical="top"/>
      <protection hidden="1"/>
    </xf>
    <xf numFmtId="173" fontId="15" fillId="8" borderId="5" xfId="4" applyNumberFormat="1" applyFont="1" applyFill="1" applyBorder="1" applyAlignment="1" applyProtection="1">
      <alignment horizontal="left" vertical="top"/>
      <protection hidden="1"/>
    </xf>
    <xf numFmtId="0" fontId="45" fillId="9" borderId="10" xfId="4" applyFont="1" applyFill="1" applyBorder="1" applyAlignment="1" applyProtection="1">
      <alignment horizontal="left" vertical="top"/>
      <protection hidden="1"/>
    </xf>
    <xf numFmtId="0" fontId="11" fillId="9" borderId="5" xfId="4" applyFont="1" applyFill="1" applyBorder="1" applyAlignment="1" applyProtection="1">
      <alignment horizontal="left" vertical="top"/>
      <protection hidden="1"/>
    </xf>
    <xf numFmtId="5" fontId="27" fillId="9" borderId="5" xfId="4" applyNumberFormat="1" applyFont="1" applyFill="1" applyBorder="1" applyAlignment="1" applyProtection="1">
      <alignment horizontal="left" vertical="top"/>
      <protection hidden="1"/>
    </xf>
    <xf numFmtId="5" fontId="15" fillId="9" borderId="5" xfId="4" applyNumberFormat="1" applyFont="1" applyFill="1" applyBorder="1" applyAlignment="1" applyProtection="1">
      <alignment horizontal="left" vertical="top"/>
      <protection hidden="1"/>
    </xf>
    <xf numFmtId="173" fontId="22" fillId="3" borderId="0" xfId="4" applyNumberFormat="1" applyFont="1" applyFill="1" applyAlignment="1" applyProtection="1">
      <alignment horizontal="left" vertical="top"/>
      <protection hidden="1"/>
    </xf>
    <xf numFmtId="170" fontId="11" fillId="0" borderId="0" xfId="4" applyNumberFormat="1" applyFont="1" applyAlignment="1" applyProtection="1">
      <alignment horizontal="left" vertical="top"/>
      <protection hidden="1"/>
    </xf>
    <xf numFmtId="170" fontId="22" fillId="6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>
      <alignment horizontal="left" vertical="top"/>
    </xf>
    <xf numFmtId="170" fontId="11" fillId="0" borderId="0" xfId="4" applyNumberFormat="1" applyFont="1" applyAlignment="1">
      <alignment horizontal="left" vertical="top"/>
    </xf>
    <xf numFmtId="170" fontId="15" fillId="0" borderId="0" xfId="4" applyNumberFormat="1" applyFont="1" applyAlignment="1">
      <alignment horizontal="left" vertical="top"/>
    </xf>
    <xf numFmtId="170" fontId="11" fillId="0" borderId="3" xfId="4" applyNumberFormat="1" applyFont="1" applyBorder="1" applyAlignment="1" applyProtection="1">
      <alignment horizontal="left" vertical="top"/>
      <protection hidden="1"/>
    </xf>
    <xf numFmtId="168" fontId="18" fillId="10" borderId="5" xfId="4" applyNumberFormat="1" applyFont="1" applyFill="1" applyBorder="1" applyAlignment="1">
      <alignment horizontal="left" vertical="top"/>
    </xf>
    <xf numFmtId="0" fontId="15" fillId="0" borderId="11" xfId="4" applyFont="1" applyBorder="1" applyAlignment="1" applyProtection="1">
      <alignment horizontal="left" vertical="top"/>
      <protection hidden="1"/>
    </xf>
    <xf numFmtId="0" fontId="40" fillId="3" borderId="0" xfId="4" applyFont="1" applyFill="1" applyAlignment="1" applyProtection="1">
      <alignment horizontal="left" vertical="top"/>
      <protection hidden="1"/>
    </xf>
    <xf numFmtId="0" fontId="39" fillId="0" borderId="0" xfId="0" applyFont="1" applyAlignment="1">
      <alignment vertical="top"/>
    </xf>
    <xf numFmtId="0" fontId="39" fillId="3" borderId="0" xfId="4" applyFont="1" applyFill="1" applyAlignment="1" applyProtection="1">
      <alignment horizontal="left" vertical="top"/>
      <protection hidden="1"/>
    </xf>
    <xf numFmtId="171" fontId="40" fillId="3" borderId="0" xfId="4" applyNumberFormat="1" applyFont="1" applyFill="1" applyAlignment="1" applyProtection="1">
      <alignment horizontal="left" vertical="top"/>
      <protection hidden="1"/>
    </xf>
    <xf numFmtId="10" fontId="11" fillId="0" borderId="0" xfId="4" applyNumberFormat="1" applyFont="1" applyAlignment="1">
      <alignment horizontal="left" vertical="top"/>
    </xf>
    <xf numFmtId="164" fontId="11" fillId="2" borderId="12" xfId="3" applyNumberFormat="1" applyFont="1" applyFill="1" applyBorder="1" applyAlignment="1" applyProtection="1">
      <alignment horizontal="left" vertical="top"/>
      <protection locked="0"/>
    </xf>
    <xf numFmtId="0" fontId="15" fillId="2" borderId="13" xfId="4" applyFont="1" applyFill="1" applyBorder="1" applyAlignment="1">
      <alignment horizontal="left" vertical="top"/>
    </xf>
    <xf numFmtId="165" fontId="11" fillId="3" borderId="13" xfId="4" applyNumberFormat="1" applyFont="1" applyFill="1" applyBorder="1" applyAlignment="1" applyProtection="1">
      <alignment horizontal="left" vertical="top"/>
      <protection hidden="1"/>
    </xf>
    <xf numFmtId="166" fontId="13" fillId="2" borderId="13" xfId="4" applyNumberFormat="1" applyFont="1" applyFill="1" applyBorder="1" applyAlignment="1" applyProtection="1">
      <alignment horizontal="left" vertical="top"/>
      <protection locked="0"/>
    </xf>
    <xf numFmtId="0" fontId="14" fillId="2" borderId="13" xfId="4" applyFont="1" applyFill="1" applyBorder="1" applyAlignment="1" applyProtection="1">
      <alignment horizontal="left" vertical="top"/>
      <protection hidden="1"/>
    </xf>
    <xf numFmtId="166" fontId="13" fillId="2" borderId="14" xfId="4" applyNumberFormat="1" applyFont="1" applyFill="1" applyBorder="1" applyAlignment="1" applyProtection="1">
      <alignment horizontal="left" vertical="top"/>
      <protection locked="0"/>
    </xf>
    <xf numFmtId="0" fontId="27" fillId="3" borderId="0" xfId="0" applyFont="1" applyFill="1" applyAlignment="1">
      <alignment horizontal="left" vertical="top"/>
    </xf>
    <xf numFmtId="0" fontId="24" fillId="0" borderId="0" xfId="4" applyFont="1" applyAlignment="1" applyProtection="1">
      <alignment horizontal="left" vertical="top"/>
      <protection hidden="1"/>
    </xf>
    <xf numFmtId="171" fontId="52" fillId="0" borderId="0" xfId="4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3" fillId="0" borderId="0" xfId="1" applyNumberFormat="1" applyFont="1" applyBorder="1" applyAlignment="1">
      <alignment horizontal="left" vertical="top"/>
    </xf>
    <xf numFmtId="0" fontId="37" fillId="0" borderId="0" xfId="0" applyFont="1" applyAlignment="1">
      <alignment vertical="top"/>
    </xf>
    <xf numFmtId="0" fontId="17" fillId="0" borderId="0" xfId="2" applyFont="1" applyBorder="1" applyAlignment="1">
      <alignment horizontal="left" vertical="top"/>
    </xf>
    <xf numFmtId="173" fontId="33" fillId="0" borderId="0" xfId="0" applyNumberFormat="1" applyFont="1" applyAlignment="1">
      <alignment horizontal="left" vertical="top"/>
    </xf>
    <xf numFmtId="0" fontId="21" fillId="0" borderId="0" xfId="2" applyFont="1" applyBorder="1" applyAlignment="1">
      <alignment horizontal="left" vertical="top"/>
    </xf>
    <xf numFmtId="0" fontId="22" fillId="0" borderId="0" xfId="2" applyFont="1" applyBorder="1" applyAlignment="1">
      <alignment horizontal="left" vertical="top"/>
    </xf>
    <xf numFmtId="173" fontId="11" fillId="0" borderId="0" xfId="0" applyNumberFormat="1" applyFont="1" applyAlignment="1">
      <alignment horizontal="left" vertical="top"/>
    </xf>
    <xf numFmtId="173" fontId="33" fillId="0" borderId="0" xfId="1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3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3" fillId="0" borderId="22" xfId="0" applyFont="1" applyBorder="1" applyAlignment="1">
      <alignment vertical="top"/>
    </xf>
    <xf numFmtId="0" fontId="33" fillId="0" borderId="23" xfId="0" applyFont="1" applyBorder="1" applyAlignment="1">
      <alignment vertical="top"/>
    </xf>
    <xf numFmtId="0" fontId="16" fillId="3" borderId="0" xfId="4" applyFont="1" applyFill="1" applyAlignment="1" applyProtection="1">
      <alignment horizontal="left" vertical="top"/>
      <protection hidden="1"/>
    </xf>
    <xf numFmtId="0" fontId="20" fillId="3" borderId="0" xfId="4" applyFont="1" applyFill="1" applyAlignment="1" applyProtection="1">
      <alignment horizontal="left" vertical="top"/>
      <protection hidden="1"/>
    </xf>
    <xf numFmtId="0" fontId="58" fillId="0" borderId="0" xfId="4" applyFont="1" applyAlignment="1">
      <alignment vertical="top" wrapText="1"/>
    </xf>
    <xf numFmtId="9" fontId="11" fillId="5" borderId="19" xfId="6" applyNumberFormat="1" applyFont="1" applyFill="1" applyBorder="1" applyAlignment="1">
      <alignment horizontal="center" vertical="top"/>
    </xf>
    <xf numFmtId="173" fontId="11" fillId="0" borderId="21" xfId="0" applyNumberFormat="1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52" fillId="0" borderId="0" xfId="0" applyFont="1" applyAlignment="1">
      <alignment vertical="top" wrapText="1"/>
    </xf>
    <xf numFmtId="176" fontId="11" fillId="3" borderId="0" xfId="1" applyNumberFormat="1" applyFont="1" applyFill="1" applyBorder="1" applyAlignment="1">
      <alignment horizontal="left" vertical="top"/>
    </xf>
    <xf numFmtId="176" fontId="33" fillId="3" borderId="0" xfId="1" applyNumberFormat="1" applyFont="1" applyFill="1" applyAlignment="1">
      <alignment horizontal="left" vertical="top"/>
    </xf>
    <xf numFmtId="0" fontId="51" fillId="0" borderId="37" xfId="0" applyFont="1" applyBorder="1" applyAlignment="1">
      <alignment vertical="top"/>
    </xf>
    <xf numFmtId="0" fontId="45" fillId="0" borderId="19" xfId="0" applyFont="1" applyBorder="1" applyAlignment="1">
      <alignment vertical="top"/>
    </xf>
    <xf numFmtId="10" fontId="11" fillId="18" borderId="37" xfId="6" applyNumberFormat="1" applyFont="1" applyFill="1" applyBorder="1" applyAlignment="1">
      <alignment horizontal="center" vertical="top"/>
    </xf>
    <xf numFmtId="10" fontId="11" fillId="19" borderId="19" xfId="6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2" xfId="6" applyNumberFormat="1" applyFont="1" applyFill="1" applyBorder="1" applyAlignment="1">
      <alignment horizontal="center" vertical="top"/>
    </xf>
    <xf numFmtId="0" fontId="48" fillId="0" borderId="31" xfId="0" applyFont="1" applyBorder="1" applyAlignment="1">
      <alignment vertical="top"/>
    </xf>
    <xf numFmtId="0" fontId="4" fillId="0" borderId="0" xfId="0" applyFont="1"/>
    <xf numFmtId="9" fontId="11" fillId="0" borderId="0" xfId="1" applyFont="1" applyAlignment="1">
      <alignment horizontal="left" vertical="top"/>
    </xf>
    <xf numFmtId="175" fontId="15" fillId="22" borderId="30" xfId="1" applyNumberFormat="1" applyFont="1" applyFill="1" applyBorder="1" applyAlignment="1">
      <alignment horizontal="left" vertical="top"/>
    </xf>
    <xf numFmtId="5" fontId="15" fillId="9" borderId="30" xfId="4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6" fontId="33" fillId="0" borderId="0" xfId="1" applyNumberFormat="1" applyFont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9" fontId="11" fillId="3" borderId="0" xfId="1" applyFont="1" applyFill="1" applyBorder="1" applyAlignment="1">
      <alignment horizontal="left" vertical="top"/>
    </xf>
    <xf numFmtId="0" fontId="38" fillId="0" borderId="0" xfId="4" applyFont="1" applyAlignment="1">
      <alignment horizontal="left" vertical="top"/>
    </xf>
    <xf numFmtId="0" fontId="33" fillId="0" borderId="0" xfId="0" applyFont="1"/>
    <xf numFmtId="0" fontId="48" fillId="14" borderId="10" xfId="4" applyFont="1" applyFill="1" applyBorder="1" applyAlignment="1" applyProtection="1">
      <alignment horizontal="left" vertical="top"/>
      <protection hidden="1"/>
    </xf>
    <xf numFmtId="0" fontId="11" fillId="14" borderId="5" xfId="4" applyFont="1" applyFill="1" applyBorder="1" applyAlignment="1" applyProtection="1">
      <alignment horizontal="left" vertical="top"/>
      <protection hidden="1"/>
    </xf>
    <xf numFmtId="5" fontId="15" fillId="14" borderId="5" xfId="4" applyNumberFormat="1" applyFont="1" applyFill="1" applyBorder="1" applyAlignment="1" applyProtection="1">
      <alignment horizontal="left" vertical="top"/>
      <protection hidden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61" fillId="0" borderId="0" xfId="4" applyFont="1" applyAlignment="1">
      <alignment horizontal="left" vertical="top" wrapText="1"/>
    </xf>
    <xf numFmtId="0" fontId="35" fillId="0" borderId="0" xfId="0" applyFont="1"/>
    <xf numFmtId="0" fontId="59" fillId="0" borderId="0" xfId="0" applyFont="1"/>
    <xf numFmtId="176" fontId="33" fillId="3" borderId="0" xfId="1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1" applyFont="1" applyFill="1" applyAlignment="1">
      <alignment horizontal="left" vertical="top"/>
    </xf>
    <xf numFmtId="0" fontId="59" fillId="0" borderId="0" xfId="4" applyFont="1" applyAlignment="1">
      <alignment horizontal="left" vertical="top"/>
    </xf>
    <xf numFmtId="0" fontId="33" fillId="3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77" fontId="33" fillId="0" borderId="0" xfId="0" applyNumberFormat="1" applyFont="1" applyAlignment="1">
      <alignment horizontal="left" vertical="top"/>
    </xf>
    <xf numFmtId="175" fontId="32" fillId="5" borderId="0" xfId="1" applyNumberFormat="1" applyFont="1" applyFill="1" applyBorder="1" applyAlignment="1">
      <alignment horizontal="left" vertical="top"/>
    </xf>
    <xf numFmtId="9" fontId="20" fillId="0" borderId="0" xfId="1" applyFont="1" applyAlignment="1">
      <alignment horizontal="left" vertical="top"/>
    </xf>
    <xf numFmtId="173" fontId="22" fillId="6" borderId="41" xfId="0" applyNumberFormat="1" applyFont="1" applyFill="1" applyBorder="1" applyAlignment="1">
      <alignment horizontal="left" vertical="top"/>
    </xf>
    <xf numFmtId="173" fontId="22" fillId="6" borderId="43" xfId="0" applyNumberFormat="1" applyFont="1" applyFill="1" applyBorder="1" applyAlignment="1">
      <alignment horizontal="left" vertical="top"/>
    </xf>
    <xf numFmtId="173" fontId="63" fillId="6" borderId="41" xfId="0" applyNumberFormat="1" applyFont="1" applyFill="1" applyBorder="1" applyAlignment="1">
      <alignment horizontal="left" vertical="top"/>
    </xf>
    <xf numFmtId="14" fontId="22" fillId="6" borderId="41" xfId="0" applyNumberFormat="1" applyFont="1" applyFill="1" applyBorder="1" applyAlignment="1">
      <alignment horizontal="left" vertical="top"/>
    </xf>
    <xf numFmtId="9" fontId="24" fillId="6" borderId="41" xfId="1" applyFont="1" applyFill="1" applyBorder="1" applyAlignment="1">
      <alignment horizontal="left" vertical="top"/>
    </xf>
    <xf numFmtId="9" fontId="22" fillId="6" borderId="41" xfId="1" applyFont="1" applyFill="1" applyBorder="1" applyAlignment="1">
      <alignment horizontal="left" vertical="top"/>
    </xf>
    <xf numFmtId="0" fontId="62" fillId="3" borderId="26" xfId="0" applyFont="1" applyFill="1" applyBorder="1" applyAlignment="1">
      <alignment horizontal="left"/>
    </xf>
    <xf numFmtId="0" fontId="62" fillId="3" borderId="0" xfId="0" applyFont="1" applyFill="1" applyAlignment="1">
      <alignment horizontal="left"/>
    </xf>
    <xf numFmtId="171" fontId="24" fillId="3" borderId="0" xfId="4" applyNumberFormat="1" applyFont="1" applyFill="1" applyAlignment="1" applyProtection="1">
      <alignment horizontal="left" vertical="top"/>
      <protection hidden="1"/>
    </xf>
    <xf numFmtId="0" fontId="25" fillId="0" borderId="0" xfId="0" applyFont="1" applyAlignment="1">
      <alignment vertical="top"/>
    </xf>
    <xf numFmtId="0" fontId="25" fillId="0" borderId="21" xfId="0" applyFont="1" applyBorder="1" applyAlignment="1">
      <alignment vertical="top"/>
    </xf>
    <xf numFmtId="173" fontId="22" fillId="6" borderId="47" xfId="0" applyNumberFormat="1" applyFont="1" applyFill="1" applyBorder="1" applyAlignment="1">
      <alignment horizontal="left" vertical="top"/>
    </xf>
    <xf numFmtId="0" fontId="27" fillId="3" borderId="48" xfId="0" applyFont="1" applyFill="1" applyBorder="1" applyAlignment="1">
      <alignment vertical="top"/>
    </xf>
    <xf numFmtId="173" fontId="11" fillId="3" borderId="49" xfId="0" applyNumberFormat="1" applyFont="1" applyFill="1" applyBorder="1" applyAlignment="1">
      <alignment horizontal="left" vertical="top"/>
    </xf>
    <xf numFmtId="173" fontId="33" fillId="3" borderId="50" xfId="0" applyNumberFormat="1" applyFont="1" applyFill="1" applyBorder="1" applyAlignment="1">
      <alignment horizontal="left" vertical="top"/>
    </xf>
    <xf numFmtId="173" fontId="33" fillId="3" borderId="51" xfId="0" applyNumberFormat="1" applyFont="1" applyFill="1" applyBorder="1" applyAlignment="1">
      <alignment horizontal="left" vertical="top"/>
    </xf>
    <xf numFmtId="0" fontId="33" fillId="0" borderId="0" xfId="0" applyFont="1" applyAlignment="1">
      <alignment horizontal="left" vertical="top" indent="3"/>
    </xf>
    <xf numFmtId="0" fontId="66" fillId="0" borderId="0" xfId="0" applyFont="1" applyAlignment="1">
      <alignment vertical="top"/>
    </xf>
    <xf numFmtId="0" fontId="59" fillId="0" borderId="0" xfId="0" applyFont="1" applyAlignment="1">
      <alignment vertical="top"/>
    </xf>
    <xf numFmtId="0" fontId="24" fillId="0" borderId="0" xfId="0" applyFont="1" applyAlignment="1">
      <alignment vertical="top"/>
    </xf>
    <xf numFmtId="9" fontId="22" fillId="30" borderId="37" xfId="6" applyNumberFormat="1" applyFont="1" applyFill="1" applyBorder="1" applyAlignment="1">
      <alignment horizontal="center" vertical="top"/>
    </xf>
    <xf numFmtId="9" fontId="22" fillId="21" borderId="19" xfId="6" applyNumberFormat="1" applyFont="1" applyFill="1" applyBorder="1" applyAlignment="1">
      <alignment horizontal="center" vertical="top"/>
    </xf>
    <xf numFmtId="177" fontId="11" fillId="18" borderId="40" xfId="1" applyNumberFormat="1" applyFont="1" applyFill="1" applyBorder="1" applyAlignment="1" applyProtection="1">
      <alignment horizontal="center" vertical="top"/>
    </xf>
    <xf numFmtId="177" fontId="11" fillId="5" borderId="37" xfId="1" applyNumberFormat="1" applyFont="1" applyFill="1" applyBorder="1" applyAlignment="1" applyProtection="1">
      <alignment horizontal="center" vertical="top"/>
    </xf>
    <xf numFmtId="176" fontId="52" fillId="0" borderId="0" xfId="1" applyNumberFormat="1" applyFont="1" applyBorder="1" applyAlignment="1">
      <alignment horizontal="center"/>
    </xf>
    <xf numFmtId="0" fontId="11" fillId="0" borderId="0" xfId="4" applyFont="1" applyAlignment="1">
      <alignment horizontal="left" vertical="top" indent="9"/>
    </xf>
    <xf numFmtId="0" fontId="53" fillId="0" borderId="0" xfId="0" applyFont="1" applyAlignment="1">
      <alignment horizontal="left" vertical="top" indent="9"/>
    </xf>
    <xf numFmtId="0" fontId="33" fillId="0" borderId="0" xfId="0" applyFont="1" applyAlignment="1">
      <alignment horizontal="left" vertical="top" indent="9"/>
    </xf>
    <xf numFmtId="0" fontId="11" fillId="0" borderId="0" xfId="4" applyFont="1" applyAlignment="1" applyProtection="1">
      <alignment horizontal="left" vertical="top" indent="9"/>
      <protection hidden="1"/>
    </xf>
    <xf numFmtId="0" fontId="29" fillId="0" borderId="0" xfId="0" applyFont="1" applyAlignment="1">
      <alignment horizontal="left" vertical="top" indent="3"/>
    </xf>
    <xf numFmtId="0" fontId="11" fillId="0" borderId="0" xfId="4" applyFont="1" applyAlignment="1">
      <alignment horizontal="left" vertical="top" indent="3"/>
    </xf>
    <xf numFmtId="0" fontId="11" fillId="3" borderId="0" xfId="4" applyFont="1" applyFill="1" applyAlignment="1">
      <alignment horizontal="left" vertical="top" indent="3"/>
    </xf>
    <xf numFmtId="9" fontId="22" fillId="6" borderId="43" xfId="0" applyNumberFormat="1" applyFont="1" applyFill="1" applyBorder="1" applyAlignment="1">
      <alignment horizontal="left" vertical="top"/>
    </xf>
    <xf numFmtId="10" fontId="11" fillId="18" borderId="19" xfId="6" applyNumberFormat="1" applyFont="1" applyFill="1" applyBorder="1" applyAlignment="1">
      <alignment horizontal="center" vertical="top"/>
    </xf>
    <xf numFmtId="0" fontId="47" fillId="4" borderId="24" xfId="0" applyFont="1" applyFill="1" applyBorder="1" applyAlignment="1">
      <alignment vertical="top"/>
    </xf>
    <xf numFmtId="0" fontId="47" fillId="4" borderId="42" xfId="0" applyFont="1" applyFill="1" applyBorder="1" applyAlignment="1">
      <alignment horizontal="center" vertical="top"/>
    </xf>
    <xf numFmtId="0" fontId="43" fillId="11" borderId="27" xfId="0" applyFont="1" applyFill="1" applyBorder="1" applyAlignment="1">
      <alignment horizontal="center" vertical="top"/>
    </xf>
    <xf numFmtId="0" fontId="43" fillId="11" borderId="25" xfId="0" applyFont="1" applyFill="1" applyBorder="1" applyAlignment="1">
      <alignment horizontal="center" vertical="top"/>
    </xf>
    <xf numFmtId="0" fontId="65" fillId="0" borderId="53" xfId="0" applyFont="1" applyBorder="1" applyAlignment="1">
      <alignment horizontal="right" vertical="top"/>
    </xf>
    <xf numFmtId="0" fontId="33" fillId="0" borderId="54" xfId="0" applyFont="1" applyBorder="1" applyAlignment="1">
      <alignment vertical="top"/>
    </xf>
    <xf numFmtId="0" fontId="27" fillId="0" borderId="53" xfId="0" applyFont="1" applyBorder="1" applyAlignment="1">
      <alignment horizontal="left" vertical="top"/>
    </xf>
    <xf numFmtId="176" fontId="33" fillId="3" borderId="55" xfId="0" applyNumberFormat="1" applyFont="1" applyFill="1" applyBorder="1" applyAlignment="1">
      <alignment horizontal="left" vertical="top"/>
    </xf>
    <xf numFmtId="6" fontId="33" fillId="0" borderId="56" xfId="0" applyNumberFormat="1" applyFont="1" applyBorder="1" applyAlignment="1">
      <alignment horizontal="left" vertical="top"/>
    </xf>
    <xf numFmtId="0" fontId="41" fillId="0" borderId="53" xfId="0" applyFont="1" applyBorder="1" applyAlignment="1">
      <alignment horizontal="right" vertical="top"/>
    </xf>
    <xf numFmtId="6" fontId="42" fillId="0" borderId="55" xfId="0" applyNumberFormat="1" applyFont="1" applyBorder="1" applyAlignment="1">
      <alignment horizontal="left" vertical="top"/>
    </xf>
    <xf numFmtId="0" fontId="41" fillId="0" borderId="57" xfId="0" applyFont="1" applyBorder="1" applyAlignment="1">
      <alignment horizontal="right" vertical="top"/>
    </xf>
    <xf numFmtId="6" fontId="33" fillId="3" borderId="55" xfId="0" applyNumberFormat="1" applyFont="1" applyFill="1" applyBorder="1" applyAlignment="1">
      <alignment horizontal="left" vertical="top"/>
    </xf>
    <xf numFmtId="176" fontId="11" fillId="3" borderId="55" xfId="0" applyNumberFormat="1" applyFont="1" applyFill="1" applyBorder="1" applyAlignment="1">
      <alignment horizontal="left" vertical="top"/>
    </xf>
    <xf numFmtId="6" fontId="33" fillId="0" borderId="55" xfId="0" applyNumberFormat="1" applyFont="1" applyBorder="1" applyAlignment="1">
      <alignment horizontal="left" vertical="top"/>
    </xf>
    <xf numFmtId="0" fontId="33" fillId="0" borderId="57" xfId="0" applyFont="1" applyBorder="1" applyAlignment="1">
      <alignment vertical="top"/>
    </xf>
    <xf numFmtId="0" fontId="33" fillId="0" borderId="58" xfId="0" applyFont="1" applyBorder="1" applyAlignment="1">
      <alignment vertical="top"/>
    </xf>
    <xf numFmtId="6" fontId="11" fillId="3" borderId="55" xfId="0" applyNumberFormat="1" applyFont="1" applyFill="1" applyBorder="1" applyAlignment="1">
      <alignment horizontal="left" vertical="top"/>
    </xf>
    <xf numFmtId="0" fontId="36" fillId="20" borderId="61" xfId="6" applyFont="1" applyFill="1" applyBorder="1" applyAlignment="1">
      <alignment horizontal="center" wrapText="1"/>
    </xf>
    <xf numFmtId="0" fontId="36" fillId="20" borderId="62" xfId="6" applyFont="1" applyFill="1" applyBorder="1" applyAlignment="1">
      <alignment horizontal="center" wrapText="1"/>
    </xf>
    <xf numFmtId="0" fontId="36" fillId="20" borderId="63" xfId="6" applyFont="1" applyFill="1" applyBorder="1" applyAlignment="1">
      <alignment horizontal="center" wrapText="1"/>
    </xf>
    <xf numFmtId="0" fontId="36" fillId="20" borderId="64" xfId="6" applyFont="1" applyFill="1" applyBorder="1" applyAlignment="1">
      <alignment horizontal="center" wrapText="1"/>
    </xf>
    <xf numFmtId="6" fontId="41" fillId="3" borderId="58" xfId="0" applyNumberFormat="1" applyFont="1" applyFill="1" applyBorder="1" applyAlignment="1">
      <alignment horizontal="left" vertical="top"/>
    </xf>
    <xf numFmtId="6" fontId="41" fillId="3" borderId="55" xfId="0" applyNumberFormat="1" applyFont="1" applyFill="1" applyBorder="1" applyAlignment="1">
      <alignment horizontal="left" vertical="top"/>
    </xf>
    <xf numFmtId="177" fontId="66" fillId="22" borderId="30" xfId="1" applyNumberFormat="1" applyFont="1" applyFill="1" applyBorder="1" applyAlignment="1">
      <alignment horizontal="center" vertical="top"/>
    </xf>
    <xf numFmtId="173" fontId="22" fillId="6" borderId="46" xfId="0" applyNumberFormat="1" applyFont="1" applyFill="1" applyBorder="1" applyAlignment="1">
      <alignment horizontal="left" vertical="top"/>
    </xf>
    <xf numFmtId="0" fontId="27" fillId="3" borderId="59" xfId="0" applyFont="1" applyFill="1" applyBorder="1" applyAlignment="1">
      <alignment vertical="top"/>
    </xf>
    <xf numFmtId="173" fontId="11" fillId="3" borderId="74" xfId="0" applyNumberFormat="1" applyFont="1" applyFill="1" applyBorder="1" applyAlignment="1">
      <alignment horizontal="left" vertical="top"/>
    </xf>
    <xf numFmtId="173" fontId="11" fillId="3" borderId="60" xfId="0" applyNumberFormat="1" applyFont="1" applyFill="1" applyBorder="1" applyAlignment="1">
      <alignment horizontal="left" vertical="top"/>
    </xf>
    <xf numFmtId="0" fontId="4" fillId="0" borderId="75" xfId="0" applyFont="1" applyBorder="1" applyAlignment="1">
      <alignment vertical="top"/>
    </xf>
    <xf numFmtId="0" fontId="52" fillId="0" borderId="35" xfId="0" applyFont="1" applyBorder="1" applyAlignment="1">
      <alignment horizontal="right"/>
    </xf>
    <xf numFmtId="0" fontId="4" fillId="0" borderId="0" xfId="0" applyFont="1" applyAlignment="1">
      <alignment wrapText="1"/>
    </xf>
    <xf numFmtId="173" fontId="53" fillId="0" borderId="0" xfId="0" applyNumberFormat="1" applyFont="1" applyAlignment="1">
      <alignment horizontal="left" vertical="top"/>
    </xf>
    <xf numFmtId="1" fontId="46" fillId="6" borderId="13" xfId="4" applyNumberFormat="1" applyFont="1" applyFill="1" applyBorder="1" applyAlignment="1" applyProtection="1">
      <alignment horizontal="center" vertical="top"/>
      <protection hidden="1"/>
    </xf>
    <xf numFmtId="0" fontId="69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69" fillId="2" borderId="2" xfId="0" applyFont="1" applyFill="1" applyBorder="1" applyAlignment="1">
      <alignment horizontal="left" vertical="top" wrapText="1"/>
    </xf>
    <xf numFmtId="0" fontId="68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70" fillId="0" borderId="0" xfId="0" applyFont="1" applyAlignment="1">
      <alignment horizontal="left" vertical="top"/>
    </xf>
    <xf numFmtId="0" fontId="70" fillId="0" borderId="0" xfId="0" applyFont="1" applyAlignment="1">
      <alignment horizontal="left" vertical="top" wrapText="1"/>
    </xf>
    <xf numFmtId="0" fontId="55" fillId="0" borderId="0" xfId="0" applyFont="1" applyAlignment="1">
      <alignment vertical="top"/>
    </xf>
    <xf numFmtId="0" fontId="55" fillId="0" borderId="21" xfId="0" applyFont="1" applyBorder="1" applyAlignment="1">
      <alignment vertical="top"/>
    </xf>
    <xf numFmtId="0" fontId="55" fillId="0" borderId="0" xfId="0" applyFont="1" applyAlignment="1">
      <alignment horizontal="left" vertical="top"/>
    </xf>
    <xf numFmtId="10" fontId="39" fillId="0" borderId="0" xfId="0" applyNumberFormat="1" applyFont="1" applyAlignment="1">
      <alignment vertical="top"/>
    </xf>
    <xf numFmtId="0" fontId="27" fillId="0" borderId="0" xfId="0" applyFont="1" applyAlignment="1">
      <alignment vertical="top"/>
    </xf>
    <xf numFmtId="177" fontId="66" fillId="34" borderId="30" xfId="1" applyNumberFormat="1" applyFont="1" applyFill="1" applyBorder="1" applyAlignment="1">
      <alignment horizontal="center" vertical="top"/>
    </xf>
    <xf numFmtId="173" fontId="66" fillId="33" borderId="78" xfId="0" applyNumberFormat="1" applyFont="1" applyFill="1" applyBorder="1" applyAlignment="1">
      <alignment horizontal="left" vertical="top"/>
    </xf>
    <xf numFmtId="0" fontId="27" fillId="3" borderId="0" xfId="0" applyFont="1" applyFill="1" applyAlignment="1">
      <alignment horizontal="right" vertical="center"/>
    </xf>
    <xf numFmtId="6" fontId="11" fillId="3" borderId="80" xfId="0" applyNumberFormat="1" applyFont="1" applyFill="1" applyBorder="1" applyAlignment="1">
      <alignment horizontal="left" vertical="top"/>
    </xf>
    <xf numFmtId="0" fontId="27" fillId="0" borderId="81" xfId="0" applyFont="1" applyBorder="1" applyAlignment="1">
      <alignment horizontal="left" vertical="top"/>
    </xf>
    <xf numFmtId="176" fontId="11" fillId="3" borderId="7" xfId="0" applyNumberFormat="1" applyFont="1" applyFill="1" applyBorder="1" applyAlignment="1">
      <alignment horizontal="left" vertical="top"/>
    </xf>
    <xf numFmtId="6" fontId="33" fillId="0" borderId="7" xfId="0" applyNumberFormat="1" applyFont="1" applyBorder="1" applyAlignment="1">
      <alignment horizontal="left" vertical="top"/>
    </xf>
    <xf numFmtId="6" fontId="33" fillId="0" borderId="82" xfId="0" applyNumberFormat="1" applyFont="1" applyBorder="1" applyAlignment="1">
      <alignment horizontal="left" vertical="top"/>
    </xf>
    <xf numFmtId="0" fontId="41" fillId="0" borderId="83" xfId="0" applyFont="1" applyBorder="1" applyAlignment="1">
      <alignment horizontal="right" vertical="top"/>
    </xf>
    <xf numFmtId="6" fontId="41" fillId="3" borderId="84" xfId="0" applyNumberFormat="1" applyFont="1" applyFill="1" applyBorder="1" applyAlignment="1">
      <alignment horizontal="left" vertical="top"/>
    </xf>
    <xf numFmtId="173" fontId="34" fillId="3" borderId="0" xfId="0" applyNumberFormat="1" applyFont="1" applyFill="1" applyAlignment="1">
      <alignment horizontal="left" vertical="top"/>
    </xf>
    <xf numFmtId="6" fontId="33" fillId="3" borderId="80" xfId="0" applyNumberFormat="1" applyFont="1" applyFill="1" applyBorder="1" applyAlignment="1">
      <alignment horizontal="left" vertical="top"/>
    </xf>
    <xf numFmtId="176" fontId="33" fillId="3" borderId="7" xfId="0" applyNumberFormat="1" applyFont="1" applyFill="1" applyBorder="1" applyAlignment="1">
      <alignment horizontal="left" vertical="top"/>
    </xf>
    <xf numFmtId="6" fontId="42" fillId="0" borderId="7" xfId="0" applyNumberFormat="1" applyFont="1" applyBorder="1" applyAlignment="1">
      <alignment horizontal="left" vertical="top"/>
    </xf>
    <xf numFmtId="6" fontId="27" fillId="32" borderId="82" xfId="0" applyNumberFormat="1" applyFont="1" applyFill="1" applyBorder="1" applyAlignment="1">
      <alignment horizontal="left" vertical="top"/>
    </xf>
    <xf numFmtId="6" fontId="42" fillId="3" borderId="84" xfId="0" applyNumberFormat="1" applyFont="1" applyFill="1" applyBorder="1" applyAlignment="1">
      <alignment horizontal="left" vertical="top"/>
    </xf>
    <xf numFmtId="0" fontId="41" fillId="0" borderId="88" xfId="0" applyFont="1" applyBorder="1" applyAlignment="1">
      <alignment horizontal="right" vertical="top"/>
    </xf>
    <xf numFmtId="173" fontId="50" fillId="3" borderId="0" xfId="0" applyNumberFormat="1" applyFont="1" applyFill="1" applyAlignment="1">
      <alignment horizontal="left" vertical="top"/>
    </xf>
    <xf numFmtId="173" fontId="49" fillId="3" borderId="0" xfId="0" applyNumberFormat="1" applyFont="1" applyFill="1" applyAlignment="1">
      <alignment horizontal="left" vertical="top"/>
    </xf>
    <xf numFmtId="173" fontId="50" fillId="3" borderId="0" xfId="0" applyNumberFormat="1" applyFont="1" applyFill="1" applyAlignment="1">
      <alignment vertical="top"/>
    </xf>
    <xf numFmtId="0" fontId="27" fillId="0" borderId="79" xfId="0" applyFont="1" applyBorder="1" applyAlignment="1">
      <alignment vertical="top"/>
    </xf>
    <xf numFmtId="0" fontId="27" fillId="0" borderId="87" xfId="0" applyFont="1" applyBorder="1" applyAlignment="1">
      <alignment vertical="top"/>
    </xf>
    <xf numFmtId="0" fontId="27" fillId="0" borderId="81" xfId="0" applyFont="1" applyBorder="1" applyAlignment="1">
      <alignment vertical="top"/>
    </xf>
    <xf numFmtId="0" fontId="41" fillId="0" borderId="81" xfId="0" applyFont="1" applyBorder="1" applyAlignment="1">
      <alignment vertical="top"/>
    </xf>
    <xf numFmtId="0" fontId="41" fillId="0" borderId="0" xfId="0" applyFont="1" applyAlignment="1">
      <alignment vertical="top"/>
    </xf>
    <xf numFmtId="0" fontId="41" fillId="0" borderId="83" xfId="0" applyFont="1" applyBorder="1" applyAlignment="1">
      <alignment vertical="top"/>
    </xf>
    <xf numFmtId="0" fontId="41" fillId="0" borderId="88" xfId="0" applyFont="1" applyBorder="1" applyAlignment="1">
      <alignment vertical="top"/>
    </xf>
    <xf numFmtId="0" fontId="50" fillId="0" borderId="0" xfId="0" applyFont="1" applyAlignment="1">
      <alignment vertical="top" wrapText="1"/>
    </xf>
    <xf numFmtId="174" fontId="22" fillId="6" borderId="44" xfId="0" applyNumberFormat="1" applyFont="1" applyFill="1" applyBorder="1" applyAlignment="1">
      <alignment vertical="top"/>
    </xf>
    <xf numFmtId="174" fontId="22" fillId="6" borderId="45" xfId="0" applyNumberFormat="1" applyFont="1" applyFill="1" applyBorder="1" applyAlignment="1">
      <alignment vertical="top"/>
    </xf>
    <xf numFmtId="0" fontId="43" fillId="11" borderId="0" xfId="0" applyFont="1" applyFill="1" applyAlignment="1">
      <alignment vertical="top"/>
    </xf>
    <xf numFmtId="1" fontId="22" fillId="6" borderId="44" xfId="0" applyNumberFormat="1" applyFont="1" applyFill="1" applyBorder="1" applyAlignment="1">
      <alignment vertical="top"/>
    </xf>
    <xf numFmtId="1" fontId="22" fillId="6" borderId="45" xfId="0" applyNumberFormat="1" applyFont="1" applyFill="1" applyBorder="1" applyAlignment="1">
      <alignment vertical="top"/>
    </xf>
    <xf numFmtId="173" fontId="66" fillId="14" borderId="59" xfId="0" applyNumberFormat="1" applyFont="1" applyFill="1" applyBorder="1" applyAlignment="1">
      <alignment vertical="top"/>
    </xf>
    <xf numFmtId="173" fontId="66" fillId="14" borderId="60" xfId="0" applyNumberFormat="1" applyFont="1" applyFill="1" applyBorder="1" applyAlignment="1">
      <alignment vertical="top"/>
    </xf>
    <xf numFmtId="173" fontId="34" fillId="3" borderId="76" xfId="0" applyNumberFormat="1" applyFont="1" applyFill="1" applyBorder="1" applyAlignment="1">
      <alignment vertical="top"/>
    </xf>
    <xf numFmtId="173" fontId="34" fillId="3" borderId="77" xfId="0" applyNumberFormat="1" applyFont="1" applyFill="1" applyBorder="1" applyAlignment="1">
      <alignment vertical="top"/>
    </xf>
    <xf numFmtId="173" fontId="50" fillId="3" borderId="38" xfId="0" applyNumberFormat="1" applyFont="1" applyFill="1" applyBorder="1" applyAlignment="1">
      <alignment vertical="top"/>
    </xf>
    <xf numFmtId="173" fontId="50" fillId="3" borderId="39" xfId="0" applyNumberFormat="1" applyFont="1" applyFill="1" applyBorder="1" applyAlignment="1">
      <alignment vertical="top"/>
    </xf>
    <xf numFmtId="173" fontId="34" fillId="3" borderId="0" xfId="0" applyNumberFormat="1" applyFont="1" applyFill="1" applyAlignment="1">
      <alignment vertical="top"/>
    </xf>
    <xf numFmtId="173" fontId="49" fillId="3" borderId="0" xfId="0" applyNumberFormat="1" applyFont="1" applyFill="1" applyAlignment="1">
      <alignment vertical="top"/>
    </xf>
    <xf numFmtId="0" fontId="34" fillId="0" borderId="0" xfId="0" applyFont="1" applyAlignment="1">
      <alignment vertical="top" wrapText="1"/>
    </xf>
    <xf numFmtId="0" fontId="64" fillId="0" borderId="0" xfId="0" applyFont="1" applyAlignment="1">
      <alignment vertical="top"/>
    </xf>
    <xf numFmtId="0" fontId="27" fillId="37" borderId="59" xfId="0" applyFont="1" applyFill="1" applyBorder="1" applyAlignment="1">
      <alignment vertical="top"/>
    </xf>
    <xf numFmtId="173" fontId="11" fillId="37" borderId="73" xfId="0" applyNumberFormat="1" applyFont="1" applyFill="1" applyBorder="1" applyAlignment="1">
      <alignment horizontal="left" vertical="top"/>
    </xf>
    <xf numFmtId="173" fontId="33" fillId="37" borderId="73" xfId="0" applyNumberFormat="1" applyFont="1" applyFill="1" applyBorder="1" applyAlignment="1">
      <alignment horizontal="left" vertical="top"/>
    </xf>
    <xf numFmtId="173" fontId="33" fillId="37" borderId="60" xfId="0" applyNumberFormat="1" applyFont="1" applyFill="1" applyBorder="1" applyAlignment="1">
      <alignment horizontal="left" vertical="top"/>
    </xf>
    <xf numFmtId="0" fontId="74" fillId="0" borderId="0" xfId="0" quotePrefix="1" applyFont="1" applyAlignment="1">
      <alignment horizontal="left" vertical="top" wrapText="1" indent="1"/>
    </xf>
    <xf numFmtId="0" fontId="75" fillId="0" borderId="0" xfId="0" quotePrefix="1" applyFont="1" applyAlignment="1">
      <alignment horizontal="left" vertical="top" indent="1"/>
    </xf>
    <xf numFmtId="0" fontId="60" fillId="0" borderId="0" xfId="0" applyFont="1" applyAlignment="1">
      <alignment horizontal="left" vertical="top" indent="6"/>
    </xf>
    <xf numFmtId="0" fontId="27" fillId="3" borderId="10" xfId="0" applyFont="1" applyFill="1" applyBorder="1" applyAlignment="1">
      <alignment vertical="top"/>
    </xf>
    <xf numFmtId="173" fontId="11" fillId="3" borderId="5" xfId="0" applyNumberFormat="1" applyFont="1" applyFill="1" applyBorder="1" applyAlignment="1">
      <alignment horizontal="left" vertical="top"/>
    </xf>
    <xf numFmtId="173" fontId="33" fillId="3" borderId="5" xfId="0" applyNumberFormat="1" applyFont="1" applyFill="1" applyBorder="1" applyAlignment="1">
      <alignment horizontal="left" vertical="top"/>
    </xf>
    <xf numFmtId="173" fontId="33" fillId="3" borderId="96" xfId="0" applyNumberFormat="1" applyFont="1" applyFill="1" applyBorder="1" applyAlignment="1">
      <alignment horizontal="left" vertical="top"/>
    </xf>
    <xf numFmtId="0" fontId="49" fillId="3" borderId="0" xfId="0" applyFont="1" applyFill="1" applyAlignment="1">
      <alignment vertical="top"/>
    </xf>
    <xf numFmtId="0" fontId="53" fillId="0" borderId="0" xfId="0" applyFont="1" applyAlignment="1">
      <alignment vertical="top"/>
    </xf>
    <xf numFmtId="173" fontId="11" fillId="3" borderId="97" xfId="0" applyNumberFormat="1" applyFont="1" applyFill="1" applyBorder="1" applyAlignment="1">
      <alignment horizontal="left" vertical="top"/>
    </xf>
    <xf numFmtId="173" fontId="51" fillId="35" borderId="78" xfId="0" applyNumberFormat="1" applyFont="1" applyFill="1" applyBorder="1" applyAlignment="1">
      <alignment vertical="top"/>
    </xf>
    <xf numFmtId="173" fontId="45" fillId="36" borderId="78" xfId="0" applyNumberFormat="1" applyFont="1" applyFill="1" applyBorder="1" applyAlignment="1">
      <alignment horizontal="left" vertical="top"/>
    </xf>
    <xf numFmtId="0" fontId="29" fillId="0" borderId="0" xfId="0" applyFont="1" applyAlignment="1">
      <alignment horizontal="left" vertical="top" indent="7"/>
    </xf>
    <xf numFmtId="0" fontId="60" fillId="0" borderId="0" xfId="0" applyFont="1" applyAlignment="1">
      <alignment horizontal="left" vertical="top" indent="6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0" fontId="52" fillId="3" borderId="87" xfId="0" applyFont="1" applyFill="1" applyBorder="1" applyAlignment="1">
      <alignment horizontal="left" vertical="top" wrapText="1"/>
    </xf>
    <xf numFmtId="0" fontId="52" fillId="3" borderId="88" xfId="0" applyFont="1" applyFill="1" applyBorder="1" applyAlignment="1">
      <alignment horizontal="left" vertical="top" wrapText="1"/>
    </xf>
    <xf numFmtId="0" fontId="33" fillId="24" borderId="0" xfId="0" applyFont="1" applyFill="1" applyAlignment="1">
      <alignment horizontal="left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9" fontId="11" fillId="18" borderId="90" xfId="1" applyFont="1" applyFill="1" applyBorder="1" applyAlignment="1">
      <alignment horizontal="center" vertical="center"/>
    </xf>
    <xf numFmtId="9" fontId="11" fillId="18" borderId="91" xfId="1" applyFont="1" applyFill="1" applyBorder="1" applyAlignment="1">
      <alignment horizontal="center" vertical="center"/>
    </xf>
    <xf numFmtId="9" fontId="11" fillId="18" borderId="92" xfId="1" applyFont="1" applyFill="1" applyBorder="1" applyAlignment="1">
      <alignment horizontal="center" vertical="center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43" fillId="11" borderId="93" xfId="4" applyFont="1" applyFill="1" applyBorder="1" applyAlignment="1">
      <alignment horizontal="center" vertical="top" wrapText="1"/>
    </xf>
    <xf numFmtId="0" fontId="43" fillId="11" borderId="94" xfId="4" applyFont="1" applyFill="1" applyBorder="1" applyAlignment="1">
      <alignment horizontal="center" vertical="top" wrapText="1"/>
    </xf>
    <xf numFmtId="0" fontId="43" fillId="11" borderId="95" xfId="4" applyFont="1" applyFill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5" fillId="3" borderId="87" xfId="0" applyFont="1" applyFill="1" applyBorder="1" applyAlignment="1">
      <alignment horizontal="left" vertical="top" wrapText="1"/>
    </xf>
    <xf numFmtId="0" fontId="25" fillId="3" borderId="0" xfId="0" applyFont="1" applyFill="1" applyAlignment="1">
      <alignment horizontal="left" vertical="top" wrapText="1"/>
    </xf>
    <xf numFmtId="0" fontId="56" fillId="15" borderId="59" xfId="0" applyFont="1" applyFill="1" applyBorder="1" applyAlignment="1">
      <alignment horizontal="center"/>
    </xf>
    <xf numFmtId="0" fontId="56" fillId="15" borderId="60" xfId="0" applyFont="1" applyFill="1" applyBorder="1" applyAlignment="1">
      <alignment horizontal="center"/>
    </xf>
    <xf numFmtId="0" fontId="56" fillId="27" borderId="59" xfId="0" applyFont="1" applyFill="1" applyBorder="1" applyAlignment="1">
      <alignment horizontal="center"/>
    </xf>
    <xf numFmtId="0" fontId="56" fillId="27" borderId="60" xfId="0" applyFont="1" applyFill="1" applyBorder="1" applyAlignment="1">
      <alignment horizontal="center"/>
    </xf>
    <xf numFmtId="0" fontId="56" fillId="29" borderId="59" xfId="0" applyFont="1" applyFill="1" applyBorder="1" applyAlignment="1">
      <alignment horizontal="center"/>
    </xf>
    <xf numFmtId="0" fontId="56" fillId="29" borderId="60" xfId="0" applyFont="1" applyFill="1" applyBorder="1" applyAlignment="1">
      <alignment horizontal="center"/>
    </xf>
    <xf numFmtId="0" fontId="29" fillId="0" borderId="0" xfId="0" applyFont="1" applyAlignment="1">
      <alignment horizontal="left" vertical="top" indent="3"/>
    </xf>
    <xf numFmtId="0" fontId="43" fillId="25" borderId="0" xfId="0" applyFont="1" applyFill="1" applyAlignment="1">
      <alignment horizontal="center" wrapText="1"/>
    </xf>
    <xf numFmtId="0" fontId="43" fillId="26" borderId="0" xfId="0" applyFont="1" applyFill="1" applyAlignment="1">
      <alignment horizontal="center" wrapText="1"/>
    </xf>
    <xf numFmtId="0" fontId="47" fillId="28" borderId="0" xfId="0" applyFont="1" applyFill="1" applyAlignment="1">
      <alignment horizontal="center" vertical="top" wrapText="1"/>
    </xf>
    <xf numFmtId="0" fontId="56" fillId="31" borderId="59" xfId="0" applyFont="1" applyFill="1" applyBorder="1" applyAlignment="1">
      <alignment horizontal="center"/>
    </xf>
    <xf numFmtId="0" fontId="56" fillId="31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 wrapText="1"/>
    </xf>
    <xf numFmtId="0" fontId="54" fillId="7" borderId="60" xfId="0" applyFont="1" applyFill="1" applyBorder="1" applyAlignment="1">
      <alignment horizontal="center" wrapText="1"/>
    </xf>
    <xf numFmtId="0" fontId="54" fillId="17" borderId="59" xfId="0" applyFont="1" applyFill="1" applyBorder="1" applyAlignment="1">
      <alignment horizontal="center"/>
    </xf>
    <xf numFmtId="0" fontId="54" fillId="17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/>
    </xf>
    <xf numFmtId="0" fontId="54" fillId="7" borderId="60" xfId="0" applyFont="1" applyFill="1" applyBorder="1" applyAlignment="1">
      <alignment horizontal="center"/>
    </xf>
    <xf numFmtId="0" fontId="67" fillId="11" borderId="28" xfId="0" applyFont="1" applyFill="1" applyBorder="1" applyAlignment="1">
      <alignment horizontal="center" vertical="top" wrapText="1"/>
    </xf>
    <xf numFmtId="0" fontId="67" fillId="11" borderId="33" xfId="0" applyFont="1" applyFill="1" applyBorder="1" applyAlignment="1">
      <alignment horizontal="center" vertical="top" wrapText="1"/>
    </xf>
    <xf numFmtId="0" fontId="67" fillId="11" borderId="29" xfId="0" applyFont="1" applyFill="1" applyBorder="1" applyAlignment="1">
      <alignment horizontal="center" vertical="top" wrapText="1"/>
    </xf>
    <xf numFmtId="0" fontId="67" fillId="11" borderId="34" xfId="0" applyFont="1" applyFill="1" applyBorder="1" applyAlignment="1">
      <alignment horizontal="center" vertical="top" wrapText="1"/>
    </xf>
    <xf numFmtId="0" fontId="67" fillId="11" borderId="35" xfId="0" applyFont="1" applyFill="1" applyBorder="1" applyAlignment="1">
      <alignment horizontal="center" vertical="top" wrapText="1"/>
    </xf>
    <xf numFmtId="0" fontId="67" fillId="11" borderId="36" xfId="0" applyFont="1" applyFill="1" applyBorder="1" applyAlignment="1">
      <alignment horizontal="center" vertical="top" wrapText="1"/>
    </xf>
    <xf numFmtId="0" fontId="43" fillId="13" borderId="0" xfId="0" applyFont="1" applyFill="1" applyAlignment="1">
      <alignment horizontal="center" wrapText="1"/>
    </xf>
    <xf numFmtId="0" fontId="43" fillId="11" borderId="24" xfId="4" applyFont="1" applyFill="1" applyBorder="1" applyAlignment="1">
      <alignment horizontal="center" vertical="top" wrapText="1"/>
    </xf>
    <xf numFmtId="0" fontId="43" fillId="11" borderId="27" xfId="4" applyFont="1" applyFill="1" applyBorder="1" applyAlignment="1">
      <alignment horizontal="center" vertical="top" wrapText="1"/>
    </xf>
    <xf numFmtId="0" fontId="43" fillId="11" borderId="25" xfId="4" applyFont="1" applyFill="1" applyBorder="1" applyAlignment="1">
      <alignment horizontal="center" vertical="top" wrapText="1"/>
    </xf>
    <xf numFmtId="0" fontId="43" fillId="11" borderId="28" xfId="4" applyFont="1" applyFill="1" applyBorder="1" applyAlignment="1">
      <alignment horizontal="center" vertical="top" wrapText="1"/>
    </xf>
    <xf numFmtId="0" fontId="43" fillId="11" borderId="33" xfId="4" applyFont="1" applyFill="1" applyBorder="1" applyAlignment="1">
      <alignment horizontal="center" vertical="top" wrapText="1"/>
    </xf>
    <xf numFmtId="0" fontId="43" fillId="11" borderId="29" xfId="4" applyFont="1" applyFill="1" applyBorder="1" applyAlignment="1">
      <alignment horizontal="center" vertical="top" wrapText="1"/>
    </xf>
    <xf numFmtId="10" fontId="15" fillId="18" borderId="68" xfId="1" applyNumberFormat="1" applyFont="1" applyFill="1" applyBorder="1" applyAlignment="1">
      <alignment horizontal="center" vertical="center"/>
    </xf>
    <xf numFmtId="10" fontId="15" fillId="18" borderId="52" xfId="1" applyNumberFormat="1" applyFont="1" applyFill="1" applyBorder="1" applyAlignment="1">
      <alignment horizontal="center" vertical="center"/>
    </xf>
    <xf numFmtId="10" fontId="15" fillId="18" borderId="72" xfId="1" applyNumberFormat="1" applyFont="1" applyFill="1" applyBorder="1" applyAlignment="1">
      <alignment horizontal="center" vertical="center"/>
    </xf>
    <xf numFmtId="0" fontId="36" fillId="0" borderId="20" xfId="0" applyFont="1" applyBorder="1" applyAlignment="1">
      <alignment horizontal="left" vertical="top" wrapText="1"/>
    </xf>
    <xf numFmtId="0" fontId="36" fillId="0" borderId="0" xfId="0" applyFont="1" applyAlignment="1">
      <alignment horizontal="left" vertical="top" wrapText="1"/>
    </xf>
    <xf numFmtId="1" fontId="22" fillId="6" borderId="44" xfId="0" applyNumberFormat="1" applyFont="1" applyFill="1" applyBorder="1" applyAlignment="1">
      <alignment horizontal="left" vertical="top"/>
    </xf>
    <xf numFmtId="1" fontId="22" fillId="6" borderId="45" xfId="0" applyNumberFormat="1" applyFont="1" applyFill="1" applyBorder="1" applyAlignment="1">
      <alignment horizontal="left" vertical="top"/>
    </xf>
    <xf numFmtId="0" fontId="52" fillId="0" borderId="35" xfId="0" applyFont="1" applyBorder="1" applyAlignment="1">
      <alignment horizontal="right"/>
    </xf>
    <xf numFmtId="0" fontId="29" fillId="0" borderId="0" xfId="0" applyFont="1" applyAlignment="1">
      <alignment horizontal="left" vertical="top" indent="7"/>
    </xf>
    <xf numFmtId="0" fontId="43" fillId="12" borderId="0" xfId="0" applyFont="1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165" fontId="11" fillId="3" borderId="0" xfId="4" applyNumberFormat="1" applyFont="1" applyFill="1" applyAlignment="1" applyProtection="1">
      <alignment horizontal="left" vertical="top"/>
      <protection hidden="1"/>
    </xf>
    <xf numFmtId="0" fontId="33" fillId="0" borderId="0" xfId="0" applyFont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33" fillId="6" borderId="12" xfId="0" applyFont="1" applyFill="1" applyBorder="1" applyAlignment="1">
      <alignment horizontal="left" vertical="top" wrapText="1"/>
    </xf>
    <xf numFmtId="0" fontId="33" fillId="6" borderId="13" xfId="0" applyFont="1" applyFill="1" applyBorder="1" applyAlignment="1">
      <alignment horizontal="left" vertical="top" wrapText="1"/>
    </xf>
    <xf numFmtId="0" fontId="33" fillId="6" borderId="14" xfId="0" applyFont="1" applyFill="1" applyBorder="1" applyAlignment="1">
      <alignment horizontal="left" vertical="top" wrapText="1"/>
    </xf>
    <xf numFmtId="0" fontId="33" fillId="6" borderId="17" xfId="0" applyFont="1" applyFill="1" applyBorder="1" applyAlignment="1">
      <alignment horizontal="left" vertical="top" wrapText="1"/>
    </xf>
    <xf numFmtId="0" fontId="33" fillId="6" borderId="1" xfId="0" applyFont="1" applyFill="1" applyBorder="1" applyAlignment="1">
      <alignment horizontal="left" vertical="top" wrapText="1"/>
    </xf>
    <xf numFmtId="0" fontId="33" fillId="6" borderId="18" xfId="0" applyFont="1" applyFill="1" applyBorder="1" applyAlignment="1">
      <alignment horizontal="left" vertical="top" wrapText="1"/>
    </xf>
    <xf numFmtId="0" fontId="43" fillId="11" borderId="24" xfId="0" applyFont="1" applyFill="1" applyBorder="1" applyAlignment="1">
      <alignment horizontal="center" vertical="top" wrapText="1"/>
    </xf>
    <xf numFmtId="0" fontId="43" fillId="11" borderId="27" xfId="0" applyFont="1" applyFill="1" applyBorder="1" applyAlignment="1">
      <alignment horizontal="center" vertical="top" wrapText="1"/>
    </xf>
    <xf numFmtId="0" fontId="43" fillId="11" borderId="25" xfId="0" applyFont="1" applyFill="1" applyBorder="1" applyAlignment="1">
      <alignment horizontal="center" vertical="top" wrapText="1"/>
    </xf>
  </cellXfs>
  <cellStyles count="17">
    <cellStyle name="1JZirpolo" xfId="2" xr:uid="{1863FF7C-8F40-4FAC-8594-9DB3C1C575D3}"/>
    <cellStyle name="Comma 2" xfId="12" xr:uid="{BB956023-388B-44A6-9805-A81621E6C59C}"/>
    <cellStyle name="Comma 3" xfId="16" xr:uid="{F1AC19F6-1C4C-45FF-B027-17536B8E3242}"/>
    <cellStyle name="Currency 2" xfId="7" xr:uid="{6BFEEE34-4C18-4734-B7EF-83BCB765A342}"/>
    <cellStyle name="Currency 3" xfId="10" xr:uid="{38DCED1B-6060-4826-A38E-ABB189468DBD}"/>
    <cellStyle name="Currency 4" xfId="15" xr:uid="{3F85E902-2258-4382-AAFC-91CFA8578146}"/>
    <cellStyle name="Heading 1 2" xfId="5" xr:uid="{5C2D2434-F625-4ECC-9723-6D5BD012DBE3}"/>
    <cellStyle name="Normal" xfId="0" builtinId="0"/>
    <cellStyle name="Normal 2" xfId="4" xr:uid="{BE039FD1-824B-42FB-ADFA-4B305C37A941}"/>
    <cellStyle name="Normal 3" xfId="6" xr:uid="{ED78B140-6F55-4387-B1C2-362C94212FBD}"/>
    <cellStyle name="Normal 4" xfId="8" xr:uid="{62CB970F-4120-4B4F-8B9F-16DFFFED3FD0}"/>
    <cellStyle name="Normal 5" xfId="9" xr:uid="{7ECEF410-C427-41A0-9662-719981430526}"/>
    <cellStyle name="Normal 6" xfId="14" xr:uid="{78E44006-0424-4896-AB11-5EF12BF4A7F8}"/>
    <cellStyle name="Percent" xfId="1" builtinId="5"/>
    <cellStyle name="Percent 2" xfId="3" xr:uid="{70688175-4FD2-4DD0-858C-4A9B7D8D73E3}"/>
    <cellStyle name="Percent 3" xfId="11" xr:uid="{ADDAB927-C8EB-4037-80CA-4F966A96204C}"/>
    <cellStyle name="Percent 4" xfId="13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CDF2FF"/>
      <color rgb="FFE1F7FF"/>
      <color rgb="FFF1EFF5"/>
      <color rgb="FFFFF1C5"/>
      <color rgb="FFFFF7FD"/>
      <color rgb="FFFEDAFE"/>
      <color rgb="FFFFFFE5"/>
      <color rgb="FFDCFBFC"/>
      <color rgb="FFFDE3FB"/>
      <color rgb="FFE7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microsoft.com/office/2006/relationships/vbaProject" Target="vbaProject.bin"/><Relationship Id="rId10" Type="http://schemas.openxmlformats.org/officeDocument/2006/relationships/externalLink" Target="externalLinks/externalLink5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6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13.emf"/><Relationship Id="rId5" Type="http://schemas.openxmlformats.org/officeDocument/2006/relationships/image" Target="../media/image21.emf"/><Relationship Id="rId10" Type="http://schemas.openxmlformats.org/officeDocument/2006/relationships/image" Target="../media/image25.emf"/><Relationship Id="rId4" Type="http://schemas.openxmlformats.org/officeDocument/2006/relationships/image" Target="../media/image20.emf"/><Relationship Id="rId9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14.emf"/><Relationship Id="rId3" Type="http://schemas.openxmlformats.org/officeDocument/2006/relationships/image" Target="../media/image33.emf"/><Relationship Id="rId7" Type="http://schemas.openxmlformats.org/officeDocument/2006/relationships/image" Target="../media/image29.emf"/><Relationship Id="rId12" Type="http://schemas.openxmlformats.org/officeDocument/2006/relationships/image" Target="../media/image1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1.emf"/><Relationship Id="rId10" Type="http://schemas.openxmlformats.org/officeDocument/2006/relationships/image" Target="../media/image24.emf"/><Relationship Id="rId4" Type="http://schemas.openxmlformats.org/officeDocument/2006/relationships/image" Target="../media/image3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</xdr:row>
      <xdr:rowOff>117929</xdr:rowOff>
    </xdr:from>
    <xdr:to>
      <xdr:col>18</xdr:col>
      <xdr:colOff>296041</xdr:colOff>
      <xdr:row>30</xdr:row>
      <xdr:rowOff>190680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947DA5-3AAE-DD33-9FEA-4FBDB3989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3714" y="2485572"/>
          <a:ext cx="6083613" cy="3492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37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37</xdr:row>
          <xdr:rowOff>12700</xdr:rowOff>
        </xdr:from>
        <xdr:to>
          <xdr:col>14</xdr:col>
          <xdr:colOff>0</xdr:colOff>
          <xdr:row>38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14</xdr:col>
          <xdr:colOff>0</xdr:colOff>
          <xdr:row>41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6350</xdr:rowOff>
        </xdr:from>
        <xdr:to>
          <xdr:col>14</xdr:col>
          <xdr:colOff>0</xdr:colOff>
          <xdr:row>41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12700</xdr:rowOff>
        </xdr:from>
        <xdr:to>
          <xdr:col>14</xdr:col>
          <xdr:colOff>0</xdr:colOff>
          <xdr:row>41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6</xdr:col>
      <xdr:colOff>172832</xdr:colOff>
      <xdr:row>33</xdr:row>
      <xdr:rowOff>76437</xdr:rowOff>
    </xdr:from>
    <xdr:to>
      <xdr:col>6</xdr:col>
      <xdr:colOff>562902</xdr:colOff>
      <xdr:row>36</xdr:row>
      <xdr:rowOff>49223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5893354" y="675222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177800</xdr:rowOff>
        </xdr:from>
        <xdr:to>
          <xdr:col>14</xdr:col>
          <xdr:colOff>0</xdr:colOff>
          <xdr:row>16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1400629</xdr:colOff>
      <xdr:row>28</xdr:row>
      <xdr:rowOff>165652</xdr:rowOff>
    </xdr:from>
    <xdr:to>
      <xdr:col>4</xdr:col>
      <xdr:colOff>259522</xdr:colOff>
      <xdr:row>32</xdr:row>
      <xdr:rowOff>90714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F7D33A3-C801-46BD-9FA4-18FB8483849D}"/>
            </a:ext>
          </a:extLst>
        </xdr:cNvPr>
        <xdr:cNvCxnSpPr/>
      </xdr:nvCxnSpPr>
      <xdr:spPr>
        <a:xfrm flipV="1">
          <a:off x="1792672" y="5797826"/>
          <a:ext cx="2641285" cy="775410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1306286</xdr:colOff>
      <xdr:row>24</xdr:row>
      <xdr:rowOff>143565</xdr:rowOff>
    </xdr:from>
    <xdr:to>
      <xdr:col>4</xdr:col>
      <xdr:colOff>171174</xdr:colOff>
      <xdr:row>33</xdr:row>
      <xdr:rowOff>90714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FFACDE1-EED8-40C5-8E5B-02F2FBF8E2C0}"/>
            </a:ext>
          </a:extLst>
        </xdr:cNvPr>
        <xdr:cNvCxnSpPr/>
      </xdr:nvCxnSpPr>
      <xdr:spPr>
        <a:xfrm flipV="1">
          <a:off x="1698329" y="5013739"/>
          <a:ext cx="2647280" cy="1752758"/>
        </a:xfrm>
        <a:prstGeom prst="straightConnector1">
          <a:avLst/>
        </a:prstGeom>
        <a:ln>
          <a:solidFill>
            <a:srgbClr val="7030A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1212850</xdr:colOff>
      <xdr:row>35</xdr:row>
      <xdr:rowOff>0</xdr:rowOff>
    </xdr:from>
    <xdr:to>
      <xdr:col>2</xdr:col>
      <xdr:colOff>44450</xdr:colOff>
      <xdr:row>40</xdr:row>
      <xdr:rowOff>127000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5ADADF5-317E-41F3-BB39-E0F7DCE2CECB}"/>
            </a:ext>
          </a:extLst>
        </xdr:cNvPr>
        <xdr:cNvCxnSpPr/>
      </xdr:nvCxnSpPr>
      <xdr:spPr>
        <a:xfrm flipV="1">
          <a:off x="1606550" y="7448550"/>
          <a:ext cx="844550" cy="1231900"/>
        </a:xfrm>
        <a:prstGeom prst="straightConnector1">
          <a:avLst/>
        </a:prstGeom>
        <a:ln>
          <a:solidFill>
            <a:srgbClr val="0070C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882788</xdr:colOff>
      <xdr:row>41</xdr:row>
      <xdr:rowOff>106064</xdr:rowOff>
    </xdr:from>
    <xdr:to>
      <xdr:col>8</xdr:col>
      <xdr:colOff>884430</xdr:colOff>
      <xdr:row>50</xdr:row>
      <xdr:rowOff>88729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A80605A-0A1F-4DC3-B04D-2B61B0D65F3E}"/>
            </a:ext>
          </a:extLst>
        </xdr:cNvPr>
        <xdr:cNvCxnSpPr/>
      </xdr:nvCxnSpPr>
      <xdr:spPr>
        <a:xfrm flipH="1" flipV="1">
          <a:off x="8204614" y="8477021"/>
          <a:ext cx="1642" cy="147353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12700</xdr:rowOff>
        </xdr:from>
        <xdr:to>
          <xdr:col>16</xdr:col>
          <xdr:colOff>0</xdr:colOff>
          <xdr:row>35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16</xdr:col>
          <xdr:colOff>0</xdr:colOff>
          <xdr:row>49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6350</xdr:rowOff>
        </xdr:from>
        <xdr:to>
          <xdr:col>16</xdr:col>
          <xdr:colOff>0</xdr:colOff>
          <xdr:row>49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12700</xdr:rowOff>
        </xdr:from>
        <xdr:to>
          <xdr:col>16</xdr:col>
          <xdr:colOff>0</xdr:colOff>
          <xdr:row>49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1352550</xdr:colOff>
      <xdr:row>16</xdr:row>
      <xdr:rowOff>158750</xdr:rowOff>
    </xdr:from>
    <xdr:to>
      <xdr:col>2</xdr:col>
      <xdr:colOff>984250</xdr:colOff>
      <xdr:row>30</xdr:row>
      <xdr:rowOff>120650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1746250" y="3702050"/>
          <a:ext cx="1644650" cy="2692400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659423</xdr:colOff>
      <xdr:row>42</xdr:row>
      <xdr:rowOff>117231</xdr:rowOff>
    </xdr:from>
    <xdr:to>
      <xdr:col>7</xdr:col>
      <xdr:colOff>669192</xdr:colOff>
      <xdr:row>52</xdr:row>
      <xdr:rowOff>83038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62B90E3-088F-48EB-B2C8-F01A139A3455}"/>
            </a:ext>
          </a:extLst>
        </xdr:cNvPr>
        <xdr:cNvCxnSpPr/>
      </xdr:nvCxnSpPr>
      <xdr:spPr>
        <a:xfrm flipV="1">
          <a:off x="4830885" y="8132885"/>
          <a:ext cx="9769" cy="184638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222250</xdr:colOff>
      <xdr:row>34</xdr:row>
      <xdr:rowOff>190500</xdr:rowOff>
    </xdr:from>
    <xdr:to>
      <xdr:col>5</xdr:col>
      <xdr:colOff>612320</xdr:colOff>
      <xdr:row>37</xdr:row>
      <xdr:rowOff>89846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FD6C332B-30D0-4A4D-9BF7-8BB4535842A5}"/>
            </a:ext>
          </a:extLst>
        </xdr:cNvPr>
        <xdr:cNvSpPr/>
      </xdr:nvSpPr>
      <xdr:spPr>
        <a:xfrm>
          <a:off x="5162550" y="698500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4337" name="ComboBox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52FAF4E6-3F03-47B7-96DC-3D8D127FD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1758950</xdr:colOff>
          <xdr:row>12</xdr:row>
          <xdr:rowOff>184150</xdr:rowOff>
        </xdr:from>
        <xdr:to>
          <xdr:col>1</xdr:col>
          <xdr:colOff>2051050</xdr:colOff>
          <xdr:row>13</xdr:row>
          <xdr:rowOff>190500</xdr:rowOff>
        </xdr:to>
        <xdr:sp macro="" textlink="">
          <xdr:nvSpPr>
            <xdr:cNvPr id="14338" name="ComboBox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AA279D75-709A-4B3A-99FF-68A71D7D2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12</xdr:row>
          <xdr:rowOff>184150</xdr:rowOff>
        </xdr:from>
        <xdr:to>
          <xdr:col>4</xdr:col>
          <xdr:colOff>2051050</xdr:colOff>
          <xdr:row>13</xdr:row>
          <xdr:rowOff>190500</xdr:rowOff>
        </xdr:to>
        <xdr:sp macro="" textlink="">
          <xdr:nvSpPr>
            <xdr:cNvPr id="14339" name="ComboBox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E77AD85E-3352-4CE2-A7FA-39B3E6C62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1758950</xdr:colOff>
          <xdr:row>12</xdr:row>
          <xdr:rowOff>184150</xdr:rowOff>
        </xdr:from>
        <xdr:to>
          <xdr:col>7</xdr:col>
          <xdr:colOff>2051050</xdr:colOff>
          <xdr:row>13</xdr:row>
          <xdr:rowOff>190500</xdr:rowOff>
        </xdr:to>
        <xdr:sp macro="" textlink="">
          <xdr:nvSpPr>
            <xdr:cNvPr id="14340" name="ComboBox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C0809D0A-48DF-4FBA-805A-E0C795E95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1758950</xdr:colOff>
          <xdr:row>33</xdr:row>
          <xdr:rowOff>184150</xdr:rowOff>
        </xdr:from>
        <xdr:to>
          <xdr:col>1</xdr:col>
          <xdr:colOff>2051050</xdr:colOff>
          <xdr:row>34</xdr:row>
          <xdr:rowOff>190500</xdr:rowOff>
        </xdr:to>
        <xdr:sp macro="" textlink="">
          <xdr:nvSpPr>
            <xdr:cNvPr id="14341" name="ComboBox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7A58DB40-9EF3-4034-837B-17F19EEC1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33</xdr:row>
          <xdr:rowOff>184150</xdr:rowOff>
        </xdr:from>
        <xdr:to>
          <xdr:col>4</xdr:col>
          <xdr:colOff>2051050</xdr:colOff>
          <xdr:row>34</xdr:row>
          <xdr:rowOff>190500</xdr:rowOff>
        </xdr:to>
        <xdr:sp macro="" textlink="">
          <xdr:nvSpPr>
            <xdr:cNvPr id="14342" name="ComboBox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791CCB2F-3D82-4D09-8756-84821154B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1758950</xdr:colOff>
          <xdr:row>33</xdr:row>
          <xdr:rowOff>184150</xdr:rowOff>
        </xdr:from>
        <xdr:to>
          <xdr:col>7</xdr:col>
          <xdr:colOff>2051050</xdr:colOff>
          <xdr:row>34</xdr:row>
          <xdr:rowOff>190500</xdr:rowOff>
        </xdr:to>
        <xdr:sp macro="" textlink="">
          <xdr:nvSpPr>
            <xdr:cNvPr id="14343" name="ComboBox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769BC63E-E6EB-4220-BB99-E16FE484D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17</xdr:row>
          <xdr:rowOff>12700</xdr:rowOff>
        </xdr:from>
        <xdr:to>
          <xdr:col>2</xdr:col>
          <xdr:colOff>12700</xdr:colOff>
          <xdr:row>18</xdr:row>
          <xdr:rowOff>6350</xdr:rowOff>
        </xdr:to>
        <xdr:sp macro="" textlink="">
          <xdr:nvSpPr>
            <xdr:cNvPr id="14344" name="ComboBox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7D2B4A36-4C45-48D2-854E-8BF487A70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17</xdr:row>
          <xdr:rowOff>12700</xdr:rowOff>
        </xdr:from>
        <xdr:to>
          <xdr:col>5</xdr:col>
          <xdr:colOff>12700</xdr:colOff>
          <xdr:row>18</xdr:row>
          <xdr:rowOff>6350</xdr:rowOff>
        </xdr:to>
        <xdr:sp macro="" textlink="">
          <xdr:nvSpPr>
            <xdr:cNvPr id="14345" name="ComboBox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F0F8B063-CEED-4612-81DF-29A5CAA0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24</xdr:row>
          <xdr:rowOff>12700</xdr:rowOff>
        </xdr:from>
        <xdr:to>
          <xdr:col>8</xdr:col>
          <xdr:colOff>12700</xdr:colOff>
          <xdr:row>25</xdr:row>
          <xdr:rowOff>6350</xdr:rowOff>
        </xdr:to>
        <xdr:sp macro="" textlink="">
          <xdr:nvSpPr>
            <xdr:cNvPr id="14346" name="ComboBox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B95EAD56-A031-41F2-B5C8-590DB8EDF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1746250</xdr:colOff>
          <xdr:row>38</xdr:row>
          <xdr:rowOff>0</xdr:rowOff>
        </xdr:from>
        <xdr:to>
          <xdr:col>7</xdr:col>
          <xdr:colOff>2000250</xdr:colOff>
          <xdr:row>39</xdr:row>
          <xdr:rowOff>25400</xdr:rowOff>
        </xdr:to>
        <xdr:sp macro="" textlink="">
          <xdr:nvSpPr>
            <xdr:cNvPr id="14347" name="ComboBox13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674C735A-C942-4F82-943C-6EE2269E4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38</xdr:row>
          <xdr:rowOff>6350</xdr:rowOff>
        </xdr:from>
        <xdr:to>
          <xdr:col>2</xdr:col>
          <xdr:colOff>6350</xdr:colOff>
          <xdr:row>39</xdr:row>
          <xdr:rowOff>19050</xdr:rowOff>
        </xdr:to>
        <xdr:sp macro="" textlink="">
          <xdr:nvSpPr>
            <xdr:cNvPr id="14348" name="ComboBox11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84F5DF09-A722-4EBF-B94D-24BD08CA6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38</xdr:row>
          <xdr:rowOff>12700</xdr:rowOff>
        </xdr:from>
        <xdr:to>
          <xdr:col>4</xdr:col>
          <xdr:colOff>2038350</xdr:colOff>
          <xdr:row>39</xdr:row>
          <xdr:rowOff>31750</xdr:rowOff>
        </xdr:to>
        <xdr:sp macro="" textlink="">
          <xdr:nvSpPr>
            <xdr:cNvPr id="14349" name="ComboBox12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2407DB96-3CA1-4F60-863B-A3DD76277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24" Type="http://schemas.openxmlformats.org/officeDocument/2006/relationships/control" Target="../activeX/activeX11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10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17.emf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24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27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1.emf"/><Relationship Id="rId7" Type="http://schemas.openxmlformats.org/officeDocument/2006/relationships/image" Target="../media/image13.emf"/><Relationship Id="rId12" Type="http://schemas.openxmlformats.org/officeDocument/2006/relationships/control" Target="../activeX/activeX31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35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24.emf"/><Relationship Id="rId24" Type="http://schemas.openxmlformats.org/officeDocument/2006/relationships/control" Target="../activeX/activeX37.xml"/><Relationship Id="rId5" Type="http://schemas.openxmlformats.org/officeDocument/2006/relationships/image" Target="../media/image14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9.xml"/><Relationship Id="rId10" Type="http://schemas.openxmlformats.org/officeDocument/2006/relationships/control" Target="../activeX/activeX30.xml"/><Relationship Id="rId19" Type="http://schemas.openxmlformats.org/officeDocument/2006/relationships/image" Target="../media/image30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3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rgb="FFFFFF00"/>
  </sheetPr>
  <dimension ref="A1:N136"/>
  <sheetViews>
    <sheetView showGridLines="0" tabSelected="1" topLeftCell="B1" zoomScale="70" zoomScaleNormal="70" workbookViewId="0">
      <pane ySplit="15" topLeftCell="A16" activePane="bottomLeft" state="frozen"/>
      <selection activeCell="W43" sqref="W43:AN72"/>
      <selection pane="bottomLeft" activeCell="N47" sqref="N47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111</v>
      </c>
      <c r="M1" s="57"/>
    </row>
    <row r="2" spans="1:13" ht="15" customHeight="1" x14ac:dyDescent="0.35">
      <c r="A2" s="139"/>
      <c r="M2" s="139"/>
    </row>
    <row r="3" spans="1:13" ht="14.5" customHeight="1" x14ac:dyDescent="0.35">
      <c r="A3" s="377" t="s">
        <v>112</v>
      </c>
      <c r="B3" s="377"/>
      <c r="C3" s="377"/>
      <c r="D3" s="377"/>
      <c r="E3" s="377"/>
      <c r="F3" s="377"/>
      <c r="G3" s="377"/>
      <c r="H3" s="377"/>
      <c r="I3" s="377"/>
      <c r="J3" s="377"/>
      <c r="M3" s="3"/>
    </row>
    <row r="4" spans="1:13" ht="28" customHeight="1" x14ac:dyDescent="0.35">
      <c r="A4" s="65"/>
      <c r="B4" s="378" t="s">
        <v>113</v>
      </c>
      <c r="C4" s="378"/>
      <c r="D4" s="378"/>
      <c r="E4" s="378"/>
      <c r="F4" s="378"/>
      <c r="G4" s="378"/>
      <c r="H4" s="378"/>
      <c r="I4" s="378"/>
      <c r="J4" s="378"/>
      <c r="M4" s="65"/>
    </row>
    <row r="5" spans="1:13" x14ac:dyDescent="0.35">
      <c r="A5" s="65"/>
      <c r="B5" s="378"/>
      <c r="C5" s="378"/>
      <c r="D5" s="378"/>
      <c r="E5" s="378"/>
      <c r="F5" s="378"/>
      <c r="G5" s="378"/>
      <c r="H5" s="378"/>
      <c r="I5" s="378"/>
      <c r="J5" s="378"/>
      <c r="M5" s="65"/>
    </row>
    <row r="6" spans="1:13" ht="13.5" thickBot="1" x14ac:dyDescent="0.4">
      <c r="A6" s="65"/>
      <c r="B6" s="378"/>
      <c r="C6" s="378"/>
      <c r="D6" s="378"/>
      <c r="E6" s="378"/>
      <c r="F6" s="378"/>
      <c r="G6" s="378"/>
      <c r="H6" s="378"/>
      <c r="I6" s="378"/>
      <c r="J6" s="378"/>
      <c r="M6" s="65"/>
    </row>
    <row r="7" spans="1:13" ht="16" customHeight="1" x14ac:dyDescent="0.35">
      <c r="A7" s="379" t="s">
        <v>97</v>
      </c>
      <c r="B7" s="380"/>
      <c r="C7" s="380"/>
      <c r="D7" s="380"/>
      <c r="E7" s="380"/>
      <c r="F7" s="380"/>
      <c r="G7" s="380"/>
      <c r="H7" s="380"/>
      <c r="I7" s="380"/>
      <c r="J7" s="381"/>
      <c r="M7" s="65"/>
    </row>
    <row r="8" spans="1:13" ht="12" customHeight="1" thickBot="1" x14ac:dyDescent="0.4">
      <c r="A8" s="382"/>
      <c r="B8" s="383"/>
      <c r="C8" s="383"/>
      <c r="D8" s="383"/>
      <c r="E8" s="383"/>
      <c r="F8" s="383"/>
      <c r="G8" s="383"/>
      <c r="H8" s="383"/>
      <c r="I8" s="383"/>
      <c r="J8" s="384"/>
      <c r="M8" s="3"/>
    </row>
    <row r="9" spans="1:13" ht="15" customHeight="1" x14ac:dyDescent="0.35">
      <c r="A9" s="3"/>
      <c r="M9" s="3"/>
    </row>
    <row r="10" spans="1:13" s="140" customFormat="1" ht="11" customHeight="1" thickBot="1" x14ac:dyDescent="0.4">
      <c r="K10" s="3"/>
    </row>
    <row r="11" spans="1:13" ht="13" customHeight="1" x14ac:dyDescent="0.35">
      <c r="A11" s="56"/>
      <c r="B11" s="102"/>
      <c r="C11" s="103" t="s">
        <v>0</v>
      </c>
      <c r="D11" s="104" t="s">
        <v>189</v>
      </c>
      <c r="E11" s="104"/>
      <c r="F11" s="105" t="s">
        <v>1</v>
      </c>
      <c r="G11" s="238">
        <v>2</v>
      </c>
      <c r="H11" s="106" t="str">
        <f>IF(G11=1," Beginning"," Average")&amp;" balance"</f>
        <v xml:space="preserve"> Average balance</v>
      </c>
      <c r="I11" s="105"/>
      <c r="J11" s="107"/>
      <c r="M11" s="56"/>
    </row>
    <row r="12" spans="1:13" ht="15.5" customHeight="1" x14ac:dyDescent="0.35">
      <c r="A12" s="56"/>
      <c r="B12" s="49"/>
      <c r="C12" s="60" t="s">
        <v>2</v>
      </c>
      <c r="D12" s="376">
        <v>45657</v>
      </c>
      <c r="E12" s="376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7" t="s">
        <v>95</v>
      </c>
      <c r="C15" s="10"/>
      <c r="D15" s="11"/>
      <c r="E15" s="12">
        <f>YEAR($D$12)</f>
        <v>2024</v>
      </c>
      <c r="F15" s="95">
        <f t="shared" ref="F15:J15" si="0">E15+1</f>
        <v>2025</v>
      </c>
      <c r="G15" s="95">
        <f>F15+1</f>
        <v>2026</v>
      </c>
      <c r="H15" s="95">
        <f t="shared" si="0"/>
        <v>2027</v>
      </c>
      <c r="I15" s="95">
        <f t="shared" si="0"/>
        <v>2028</v>
      </c>
      <c r="J15" s="95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78" t="s">
        <v>63</v>
      </c>
      <c r="D17" s="79"/>
      <c r="E17" s="80">
        <v>61988811.160000004</v>
      </c>
      <c r="F17" s="81">
        <f>E17*(1+F79)</f>
        <v>68000000</v>
      </c>
      <c r="G17" s="82">
        <f>F17*(1+G79)</f>
        <v>72273921.428745031</v>
      </c>
      <c r="H17" s="82">
        <f>G17*(1+H79)</f>
        <v>76465225.214725956</v>
      </c>
      <c r="I17" s="82">
        <f>H17*(1+I79)</f>
        <v>80581323.492808998</v>
      </c>
      <c r="J17" s="82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7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68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3" t="s">
        <v>8</v>
      </c>
      <c r="D21" s="84"/>
      <c r="E21" s="85">
        <f t="shared" ref="E21:J21" si="2">E19-E20</f>
        <v>12207003.1481</v>
      </c>
      <c r="F21" s="146">
        <f t="shared" si="2"/>
        <v>13390742.595922371</v>
      </c>
      <c r="G21" s="86">
        <f t="shared" si="2"/>
        <v>14232374.68015063</v>
      </c>
      <c r="H21" s="86">
        <f t="shared" si="2"/>
        <v>15057737.476318065</v>
      </c>
      <c r="I21" s="86">
        <f t="shared" si="2"/>
        <v>15868290.601925852</v>
      </c>
      <c r="J21" s="86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68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7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7">
        <v>600000</v>
      </c>
      <c r="F25" s="33">
        <f>F102</f>
        <v>0</v>
      </c>
      <c r="G25" s="33">
        <f t="shared" ref="G25:J25" si="6">G102</f>
        <v>0</v>
      </c>
      <c r="H25" s="33">
        <f t="shared" si="6"/>
        <v>0</v>
      </c>
      <c r="I25" s="33">
        <f t="shared" si="6"/>
        <v>0</v>
      </c>
      <c r="J25" s="33">
        <f t="shared" si="6"/>
        <v>3800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10367003.1481</v>
      </c>
      <c r="F26" s="19">
        <f t="shared" si="7"/>
        <v>11868865.781381555</v>
      </c>
      <c r="G26" s="19">
        <f t="shared" si="7"/>
        <v>12428620.360762876</v>
      </c>
      <c r="H26" s="19">
        <f t="shared" si="7"/>
        <v>12972104.961777249</v>
      </c>
      <c r="I26" s="19">
        <f t="shared" si="7"/>
        <v>13500779.201925851</v>
      </c>
      <c r="J26" s="19">
        <f t="shared" si="7"/>
        <v>14012082.77132586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7">
        <f t="shared" ref="E27:J27" si="8">E26*E83</f>
        <v>155505.04722149999</v>
      </c>
      <c r="F27" s="23">
        <f t="shared" si="8"/>
        <v>178032.9867207233</v>
      </c>
      <c r="G27" s="23">
        <f t="shared" si="8"/>
        <v>186429.30541144311</v>
      </c>
      <c r="H27" s="23">
        <f t="shared" si="8"/>
        <v>194581.57442665874</v>
      </c>
      <c r="I27" s="23">
        <f t="shared" si="8"/>
        <v>202511.68802888776</v>
      </c>
      <c r="J27" s="23">
        <f t="shared" si="8"/>
        <v>210181.2415698879</v>
      </c>
      <c r="L27"/>
      <c r="M27"/>
    </row>
    <row r="28" spans="1:13" ht="15" customHeight="1" thickTop="1" thickBot="1" x14ac:dyDescent="0.4">
      <c r="A28" s="15"/>
      <c r="B28" s="2"/>
      <c r="C28" s="153" t="s">
        <v>72</v>
      </c>
      <c r="D28" s="154"/>
      <c r="E28" s="155">
        <f t="shared" ref="E28:J28" si="9">E26-E27</f>
        <v>10211498.100878499</v>
      </c>
      <c r="F28" s="145">
        <f t="shared" si="9"/>
        <v>11690832.794660831</v>
      </c>
      <c r="G28" s="155">
        <f t="shared" si="9"/>
        <v>12242191.055351432</v>
      </c>
      <c r="H28" s="155">
        <f t="shared" si="9"/>
        <v>12777523.387350591</v>
      </c>
      <c r="I28" s="155">
        <f t="shared" si="9"/>
        <v>13298267.513896964</v>
      </c>
      <c r="J28" s="155">
        <f t="shared" si="9"/>
        <v>13801901.529755972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7" t="s">
        <v>94</v>
      </c>
      <c r="C31" s="77"/>
      <c r="D31" s="11"/>
      <c r="E31" s="12">
        <f t="shared" ref="E31:J31" si="10">E15</f>
        <v>2024</v>
      </c>
      <c r="F31" s="95">
        <f t="shared" si="10"/>
        <v>2025</v>
      </c>
      <c r="G31" s="95">
        <f t="shared" si="10"/>
        <v>2026</v>
      </c>
      <c r="H31" s="95">
        <f t="shared" si="10"/>
        <v>2027</v>
      </c>
      <c r="I31" s="95">
        <f t="shared" si="10"/>
        <v>2028</v>
      </c>
      <c r="J31" s="95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68">
        <v>250000</v>
      </c>
      <c r="F33" s="32">
        <f>F74</f>
        <v>16438533.899897283</v>
      </c>
      <c r="G33" s="32">
        <f t="shared" ref="G33:J33" si="11">G74</f>
        <v>33483576.685929112</v>
      </c>
      <c r="H33" s="32">
        <f t="shared" si="11"/>
        <v>51356910.98075445</v>
      </c>
      <c r="I33" s="32">
        <f t="shared" si="11"/>
        <v>70043610.338463143</v>
      </c>
      <c r="J33" s="32">
        <f t="shared" si="11"/>
        <v>89526185.031806976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68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68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68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68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68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68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7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26542844.59924899</v>
      </c>
      <c r="G41" s="34">
        <f t="shared" si="14"/>
        <v>44459635.657566622</v>
      </c>
      <c r="H41" s="34">
        <f t="shared" si="14"/>
        <v>62921383.631979667</v>
      </c>
      <c r="I41" s="34">
        <f t="shared" si="14"/>
        <v>81913292.31776619</v>
      </c>
      <c r="J41" s="34">
        <f t="shared" si="14"/>
        <v>101417982.50080664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69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69">
        <v>1500000</v>
      </c>
      <c r="F43" s="32">
        <f>E43</f>
        <v>1500000</v>
      </c>
      <c r="G43" s="32">
        <f>F43</f>
        <v>1500000</v>
      </c>
      <c r="H43" s="32">
        <f t="shared" ref="H43:J43" si="15">G43</f>
        <v>1500000</v>
      </c>
      <c r="I43" s="32">
        <f t="shared" si="15"/>
        <v>1500000</v>
      </c>
      <c r="J43" s="32">
        <f t="shared" si="15"/>
        <v>1500000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0">
        <v>0</v>
      </c>
      <c r="F44" s="32">
        <v>0</v>
      </c>
      <c r="G44" s="32">
        <v>0</v>
      </c>
      <c r="H44" s="32">
        <v>0</v>
      </c>
      <c r="I44" s="32">
        <v>0</v>
      </c>
      <c r="J44" s="32">
        <f>I44 + J68</f>
        <v>190000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0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1">
        <v>4470000</v>
      </c>
      <c r="F46" s="33">
        <f>E46 + F28 - F96</f>
        <v>15931858.893296544</v>
      </c>
      <c r="G46" s="33">
        <f>F46 + G28 - G96</f>
        <v>27934277.274072476</v>
      </c>
      <c r="H46" s="33">
        <f>G46 + H28 - H96</f>
        <v>40461543.09370631</v>
      </c>
      <c r="I46" s="33">
        <f>H46 + I28 - I96</f>
        <v>53499353.867906034</v>
      </c>
      <c r="J46" s="33">
        <f>I46 + J28 - J96</f>
        <v>67030934.600587808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7270000</v>
      </c>
      <c r="F47" s="34">
        <f t="shared" ref="F47:J47" si="16">SUM(F42:F46)</f>
        <v>18794890.796520416</v>
      </c>
      <c r="G47" s="34">
        <f t="shared" si="16"/>
        <v>30842124.505687043</v>
      </c>
      <c r="H47" s="34">
        <f t="shared" si="16"/>
        <v>43413339.344666578</v>
      </c>
      <c r="I47" s="34">
        <f t="shared" si="16"/>
        <v>56494310.55105862</v>
      </c>
      <c r="J47" s="34">
        <f t="shared" si="16"/>
        <v>70258329.139950678</v>
      </c>
      <c r="L47"/>
      <c r="M47"/>
      <c r="N47" s="101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1900000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7" t="s">
        <v>93</v>
      </c>
      <c r="C51" s="10"/>
      <c r="D51" s="11"/>
      <c r="E51" s="12"/>
      <c r="F51" s="95">
        <f>F15</f>
        <v>2025</v>
      </c>
      <c r="G51" s="95">
        <f>G15</f>
        <v>2026</v>
      </c>
      <c r="H51" s="95">
        <f>H15</f>
        <v>2027</v>
      </c>
      <c r="I51" s="95">
        <f>I15</f>
        <v>2028</v>
      </c>
      <c r="J51" s="95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11690832.794660831</v>
      </c>
      <c r="G53" s="32">
        <f>G28</f>
        <v>12242191.055351432</v>
      </c>
      <c r="H53" s="32">
        <f>H28</f>
        <v>12777523.387350591</v>
      </c>
      <c r="I53" s="32">
        <f>I28</f>
        <v>13298267.513896964</v>
      </c>
      <c r="J53" s="32">
        <f>J28</f>
        <v>13801901.529755972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13169556.998532996</v>
      </c>
      <c r="G62" s="34">
        <f t="shared" ref="G62:J62" si="21">SUM(G53:G61)</f>
        <v>14015264.111456325</v>
      </c>
      <c r="H62" s="34">
        <f t="shared" si="21"/>
        <v>14833067.727108583</v>
      </c>
      <c r="I62" s="34">
        <f t="shared" si="21"/>
        <v>15636230.61801145</v>
      </c>
      <c r="J62" s="34">
        <f t="shared" si="21"/>
        <v>16422238.896269627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2">
        <v>190000</v>
      </c>
      <c r="G68" s="72">
        <v>190000</v>
      </c>
      <c r="H68" s="72">
        <v>190000</v>
      </c>
      <c r="I68" s="72">
        <v>190000</v>
      </c>
      <c r="J68" s="72">
        <v>190000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228973.90136428783</v>
      </c>
      <c r="G69" s="24">
        <f t="shared" ref="G69:J69" si="25">G96</f>
        <v>239772.67457550095</v>
      </c>
      <c r="H69" s="24">
        <f t="shared" si="25"/>
        <v>250257.56771675518</v>
      </c>
      <c r="I69" s="24">
        <f t="shared" si="25"/>
        <v>260456.73969724204</v>
      </c>
      <c r="J69" s="24">
        <f t="shared" si="25"/>
        <v>270320.79707420379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418973.90136428783</v>
      </c>
      <c r="G70" s="23">
        <f>SUM(G68:G69)</f>
        <v>429772.67457550095</v>
      </c>
      <c r="H70" s="23">
        <f>SUM(H68:H69)</f>
        <v>440257.56771675521</v>
      </c>
      <c r="I70" s="23">
        <f>SUM(I68:I69)</f>
        <v>450456.73969724204</v>
      </c>
      <c r="J70" s="23">
        <f>SUM(J68:J69)</f>
        <v>460320.79707420379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16188533.899897283</v>
      </c>
      <c r="G72" s="32">
        <f t="shared" ref="G72:J72" si="26">G62+G66+G70</f>
        <v>17045042.786031827</v>
      </c>
      <c r="H72" s="32">
        <f t="shared" si="26"/>
        <v>17873334.294825338</v>
      </c>
      <c r="I72" s="32">
        <f t="shared" si="26"/>
        <v>18686699.357708693</v>
      </c>
      <c r="J72" s="32">
        <f t="shared" si="26"/>
        <v>19482574.693343829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16438533.899897283</v>
      </c>
      <c r="H73" s="33">
        <f>G33</f>
        <v>33483576.685929112</v>
      </c>
      <c r="I73" s="33">
        <f>H33</f>
        <v>51356910.98075445</v>
      </c>
      <c r="J73" s="33">
        <f>I33</f>
        <v>70043610.338463143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16438533.899897283</v>
      </c>
      <c r="G74" s="30">
        <f>SUM(G72:G73)</f>
        <v>33483576.685929112</v>
      </c>
      <c r="H74" s="30">
        <f>SUM(H72:H73)</f>
        <v>51356910.98075445</v>
      </c>
      <c r="I74" s="30">
        <f>SUM(I72:I73)</f>
        <v>70043610.338463143</v>
      </c>
      <c r="J74" s="30">
        <f>SUM(J72:J73)</f>
        <v>89526185.031806976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7" t="s">
        <v>92</v>
      </c>
      <c r="C77" s="10"/>
      <c r="D77" s="11"/>
      <c r="E77" s="12">
        <f t="shared" ref="E77:J77" si="27">E$15</f>
        <v>2024</v>
      </c>
      <c r="F77" s="95">
        <f t="shared" si="27"/>
        <v>2025</v>
      </c>
      <c r="G77" s="95">
        <f t="shared" si="27"/>
        <v>2026</v>
      </c>
      <c r="H77" s="95">
        <f t="shared" si="27"/>
        <v>2027</v>
      </c>
      <c r="I77" s="95">
        <f t="shared" si="27"/>
        <v>2028</v>
      </c>
      <c r="J77" s="95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73</v>
      </c>
      <c r="C79" s="2"/>
      <c r="D79" s="109" t="str">
        <f>'Enterprise Valuation Method'!$C$9</f>
        <v>Base Forecast</v>
      </c>
      <c r="E79" s="22" t="s">
        <v>41</v>
      </c>
      <c r="F79" s="89">
        <v>9.6972158805956887E-2</v>
      </c>
      <c r="G79" s="89">
        <v>6.2851785716838637E-2</v>
      </c>
      <c r="H79" s="89">
        <v>5.7991924377773507E-2</v>
      </c>
      <c r="I79" s="89">
        <v>5.3829675731999815E-2</v>
      </c>
      <c r="J79" s="89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88">
        <f t="shared" ref="F80:J81" si="28">E80+$F117</f>
        <v>0.60320689733969723</v>
      </c>
      <c r="G80" s="88">
        <f t="shared" si="28"/>
        <v>0.60320689733969723</v>
      </c>
      <c r="H80" s="88">
        <f t="shared" si="28"/>
        <v>0.60320689733969723</v>
      </c>
      <c r="I80" s="88">
        <f t="shared" si="28"/>
        <v>0.60320689733969723</v>
      </c>
      <c r="J80" s="88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88">
        <f t="shared" si="28"/>
        <v>0.19987041742615022</v>
      </c>
      <c r="G81" s="88">
        <f t="shared" si="28"/>
        <v>0.19987041742615022</v>
      </c>
      <c r="H81" s="88">
        <f t="shared" si="28"/>
        <v>0.19987041742615022</v>
      </c>
      <c r="I81" s="88">
        <f t="shared" si="28"/>
        <v>0.19987041742615022</v>
      </c>
      <c r="J81" s="88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88"/>
      <c r="H82" s="88"/>
      <c r="I82" s="88"/>
      <c r="J82" s="88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88">
        <f>E83+$F120</f>
        <v>1.4999999999999999E-2</v>
      </c>
      <c r="G83" s="88">
        <f>F83+$F120</f>
        <v>1.4999999999999999E-2</v>
      </c>
      <c r="H83" s="88">
        <f>G83+$F120</f>
        <v>1.4999999999999999E-2</v>
      </c>
      <c r="I83" s="88">
        <f>H83+$F120</f>
        <v>1.4999999999999999E-2</v>
      </c>
      <c r="J83" s="88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88"/>
      <c r="H84" s="88"/>
      <c r="I84" s="88"/>
      <c r="J84" s="88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88">
        <f t="shared" ref="F85:J87" si="29">E85+$F122</f>
        <v>8.3886106261632006E-3</v>
      </c>
      <c r="G85" s="88">
        <f t="shared" si="29"/>
        <v>8.3886106261632006E-3</v>
      </c>
      <c r="H85" s="88">
        <f t="shared" si="29"/>
        <v>8.3886106261632006E-3</v>
      </c>
      <c r="I85" s="88">
        <f t="shared" si="29"/>
        <v>8.3886106261632006E-3</v>
      </c>
      <c r="J85" s="88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88">
        <f t="shared" si="29"/>
        <v>9.2758675193150772E-3</v>
      </c>
      <c r="G86" s="88">
        <f t="shared" si="29"/>
        <v>9.2758675193150772E-3</v>
      </c>
      <c r="H86" s="88">
        <f t="shared" si="29"/>
        <v>9.2758675193150772E-3</v>
      </c>
      <c r="I86" s="88">
        <f t="shared" si="29"/>
        <v>9.2758675193150772E-3</v>
      </c>
      <c r="J86" s="88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88">
        <f t="shared" si="29"/>
        <v>1.0485763282703999E-2</v>
      </c>
      <c r="G87" s="88">
        <f t="shared" si="29"/>
        <v>1.0485763282703999E-2</v>
      </c>
      <c r="H87" s="88">
        <f t="shared" si="29"/>
        <v>1.0485763282703999E-2</v>
      </c>
      <c r="I87" s="88">
        <f t="shared" si="29"/>
        <v>1.0485763282703999E-2</v>
      </c>
      <c r="J87" s="88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88"/>
      <c r="H88" s="88"/>
      <c r="I88" s="88"/>
      <c r="J88" s="88"/>
      <c r="M88" s="14"/>
    </row>
    <row r="89" spans="1:13" x14ac:dyDescent="0.35">
      <c r="A89" s="14"/>
      <c r="B89" s="2" t="s">
        <v>45</v>
      </c>
      <c r="C89" s="2"/>
      <c r="D89" s="2"/>
      <c r="E89" s="73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88">
        <f>E90+$F127</f>
        <v>0.60484693877551021</v>
      </c>
      <c r="G90" s="88">
        <f>F90+$F127</f>
        <v>0.7198979591836735</v>
      </c>
      <c r="H90" s="88">
        <f>G90 + $F127</f>
        <v>0.83494897959183678</v>
      </c>
      <c r="I90" s="88">
        <f>H90 + $F127</f>
        <v>0.95000000000000007</v>
      </c>
      <c r="J90" s="88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3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3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4">
        <v>200000</v>
      </c>
      <c r="F96" s="40">
        <f>F97*F98</f>
        <v>228973.90136428783</v>
      </c>
      <c r="G96" s="40">
        <f t="shared" ref="G96:J96" si="31">G97*G98</f>
        <v>239772.67457550095</v>
      </c>
      <c r="H96" s="40">
        <f t="shared" si="31"/>
        <v>250257.56771675518</v>
      </c>
      <c r="I96" s="40">
        <f t="shared" si="31"/>
        <v>260456.73969724204</v>
      </c>
      <c r="J96" s="40">
        <f t="shared" si="31"/>
        <v>270320.79707420379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10211498.100878499</v>
      </c>
      <c r="F97" s="32">
        <f t="shared" si="32"/>
        <v>11690832.794660831</v>
      </c>
      <c r="G97" s="32">
        <f t="shared" si="32"/>
        <v>12242191.055351432</v>
      </c>
      <c r="H97" s="32">
        <f t="shared" si="32"/>
        <v>12777523.387350591</v>
      </c>
      <c r="I97" s="32">
        <f t="shared" si="32"/>
        <v>13298267.513896964</v>
      </c>
      <c r="J97" s="32">
        <f t="shared" si="32"/>
        <v>13801901.529755972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1.958576479417784E-2</v>
      </c>
      <c r="F98" s="90">
        <f>E98+$F135</f>
        <v>1.958576479417784E-2</v>
      </c>
      <c r="G98" s="90">
        <f>F98+$F135</f>
        <v>1.958576479417784E-2</v>
      </c>
      <c r="H98" s="90">
        <f>G98+$F135</f>
        <v>1.958576479417784E-2</v>
      </c>
      <c r="I98" s="90">
        <f>H98+$F135</f>
        <v>1.958576479417784E-2</v>
      </c>
      <c r="J98" s="90">
        <f>I98+$F135</f>
        <v>1.958576479417784E-2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Average long-term debt balance</v>
      </c>
      <c r="C100" s="2"/>
      <c r="D100" s="2"/>
      <c r="E100" s="8"/>
      <c r="F100" s="40">
        <f>IF($G$11=1,E44,AVERAGE(E44:F44))</f>
        <v>0</v>
      </c>
      <c r="G100" s="40">
        <f t="shared" ref="G100:J100" si="33">IF($G$11=1,F44,AVERAGE(F44:G44))</f>
        <v>0</v>
      </c>
      <c r="H100" s="40">
        <f t="shared" si="33"/>
        <v>0</v>
      </c>
      <c r="I100" s="40">
        <f t="shared" si="33"/>
        <v>0</v>
      </c>
      <c r="J100" s="40">
        <f t="shared" si="33"/>
        <v>95000</v>
      </c>
      <c r="M100" s="14"/>
    </row>
    <row r="101" spans="1:13" x14ac:dyDescent="0.35">
      <c r="A101" s="14"/>
      <c r="B101" s="2" t="s">
        <v>53</v>
      </c>
      <c r="C101" s="2"/>
      <c r="D101" s="2"/>
      <c r="E101" s="75">
        <v>0.04</v>
      </c>
      <c r="F101" s="91">
        <f>E101</f>
        <v>0.04</v>
      </c>
      <c r="G101" s="90">
        <f>F101</f>
        <v>0.04</v>
      </c>
      <c r="H101" s="90">
        <f>G101</f>
        <v>0.04</v>
      </c>
      <c r="I101" s="90">
        <f>H101</f>
        <v>0.04</v>
      </c>
      <c r="J101" s="90">
        <f>I101</f>
        <v>0.04</v>
      </c>
      <c r="M101" s="14"/>
    </row>
    <row r="102" spans="1:13" ht="13.5" thickBot="1" x14ac:dyDescent="0.4">
      <c r="A102" s="14"/>
      <c r="B102" s="5"/>
      <c r="C102" s="5"/>
      <c r="D102" s="5"/>
      <c r="E102" s="96" t="s">
        <v>12</v>
      </c>
      <c r="F102" s="6">
        <f>F100*F101</f>
        <v>0</v>
      </c>
      <c r="G102" s="6">
        <f>G100*G101</f>
        <v>0</v>
      </c>
      <c r="H102" s="6">
        <f>H100*H101</f>
        <v>0</v>
      </c>
      <c r="I102" s="6">
        <f>I100*I101</f>
        <v>0</v>
      </c>
      <c r="J102" s="6">
        <f>J100*J101</f>
        <v>3800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0" t="str">
        <f>"based on "&amp;IF($G$11=1,"beginning ","average ")&amp;" balance"</f>
        <v>based on average  balance</v>
      </c>
      <c r="K103" s="15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55" t="e">
        <f>'Enterprise Valuation Method'!#REF!-'Enterprise Valuation Method'!#REF!</f>
        <v>#REF!</v>
      </c>
      <c r="E114" s="145" t="e">
        <f>'Enterprise Valuation Method'!#REF!-'Enterprise Valuation Method'!#REF!</f>
        <v>#REF!</v>
      </c>
      <c r="F114" s="155" t="e">
        <f>'Enterprise Valuation Method'!#REF!-'Enterprise Valuation Method'!#REF!</f>
        <v>#REF!</v>
      </c>
      <c r="G114" s="155" t="e">
        <f>'Enterprise Valuation Method'!#REF!-'Enterprise Valuation Method'!#REF!</f>
        <v>#REF!</v>
      </c>
      <c r="H114" s="155" t="e">
        <f>'Enterprise Valuation Method'!#REF!-'Enterprise Valuation Method'!#REF!</f>
        <v>#REF!</v>
      </c>
      <c r="I114" s="155" t="e">
        <f>'Enterprise Valuation Method'!#REF!-'Enterprise Valuation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6">
        <v>0</v>
      </c>
      <c r="G116" s="88"/>
      <c r="H116" s="88"/>
    </row>
    <row r="117" spans="4:9" ht="13" hidden="1" customHeight="1" outlineLevel="1" x14ac:dyDescent="0.35">
      <c r="F117" s="76">
        <v>0</v>
      </c>
      <c r="G117" s="88"/>
      <c r="H117" s="88"/>
    </row>
    <row r="118" spans="4:9" ht="13" hidden="1" customHeight="1" outlineLevel="1" x14ac:dyDescent="0.35">
      <c r="F118" s="76">
        <v>0</v>
      </c>
      <c r="G118" s="88"/>
      <c r="H118" s="88"/>
    </row>
    <row r="119" spans="4:9" ht="13" hidden="1" customHeight="1" outlineLevel="1" x14ac:dyDescent="0.35">
      <c r="F119" s="88"/>
      <c r="G119" s="88"/>
      <c r="H119" s="88"/>
    </row>
    <row r="120" spans="4:9" ht="13" hidden="1" customHeight="1" outlineLevel="1" x14ac:dyDescent="0.35">
      <c r="F120" s="76">
        <v>0</v>
      </c>
      <c r="G120" s="88"/>
      <c r="H120" s="88"/>
    </row>
    <row r="121" spans="4:9" ht="13" hidden="1" customHeight="1" outlineLevel="1" x14ac:dyDescent="0.35">
      <c r="F121" s="88"/>
      <c r="G121" s="7"/>
      <c r="H121" s="7"/>
    </row>
    <row r="122" spans="4:9" ht="13" hidden="1" customHeight="1" outlineLevel="1" x14ac:dyDescent="0.35">
      <c r="F122" s="76">
        <v>0</v>
      </c>
      <c r="G122" s="7"/>
      <c r="H122" s="92"/>
    </row>
    <row r="123" spans="4:9" ht="13" hidden="1" customHeight="1" outlineLevel="1" x14ac:dyDescent="0.35">
      <c r="F123" s="76">
        <v>0</v>
      </c>
      <c r="G123" s="7"/>
      <c r="H123" s="92"/>
    </row>
    <row r="124" spans="4:9" ht="13" hidden="1" customHeight="1" outlineLevel="1" x14ac:dyDescent="0.35">
      <c r="F124" s="76">
        <v>0</v>
      </c>
      <c r="G124" s="7"/>
      <c r="H124" s="7"/>
    </row>
    <row r="125" spans="4:9" ht="13" hidden="1" customHeight="1" outlineLevel="1" x14ac:dyDescent="0.35">
      <c r="F125" s="92"/>
      <c r="G125" s="88"/>
      <c r="H125" s="88"/>
    </row>
    <row r="126" spans="4:9" ht="13" hidden="1" customHeight="1" outlineLevel="1" x14ac:dyDescent="0.35">
      <c r="F126" s="76">
        <v>3</v>
      </c>
      <c r="G126" s="7"/>
      <c r="H126" s="93" t="str">
        <f>J77&amp;" level"</f>
        <v>2029 level</v>
      </c>
    </row>
    <row r="127" spans="4:9" ht="13" hidden="1" customHeight="1" outlineLevel="1" x14ac:dyDescent="0.35">
      <c r="F127" s="94">
        <f>(H127-E90)/4</f>
        <v>0.11505102040816326</v>
      </c>
      <c r="G127" s="7"/>
      <c r="H127" s="76">
        <v>0.95</v>
      </c>
    </row>
    <row r="128" spans="4:9" ht="13" hidden="1" customHeight="1" outlineLevel="1" x14ac:dyDescent="0.35">
      <c r="F128" s="88"/>
      <c r="G128" s="88"/>
      <c r="H128" s="88"/>
    </row>
    <row r="129" spans="6:8" ht="13" hidden="1" customHeight="1" outlineLevel="1" x14ac:dyDescent="0.35">
      <c r="F129" s="88"/>
      <c r="G129" s="88"/>
      <c r="H129" s="88"/>
    </row>
    <row r="130" spans="6:8" ht="13" hidden="1" customHeight="1" outlineLevel="1" x14ac:dyDescent="0.35">
      <c r="F130" s="76">
        <v>0</v>
      </c>
      <c r="G130" s="88"/>
      <c r="H130" s="88"/>
    </row>
    <row r="131" spans="6:8" ht="13" hidden="1" customHeight="1" outlineLevel="1" x14ac:dyDescent="0.35">
      <c r="F131" s="76">
        <v>0</v>
      </c>
      <c r="G131" s="88"/>
      <c r="H131" s="88"/>
    </row>
    <row r="132" spans="6:8" ht="13" hidden="1" customHeight="1" outlineLevel="1" x14ac:dyDescent="0.35">
      <c r="F132" s="88"/>
      <c r="G132" s="88"/>
      <c r="H132" s="88"/>
    </row>
    <row r="133" spans="6:8" ht="13" hidden="1" customHeight="1" outlineLevel="1" x14ac:dyDescent="0.35">
      <c r="F133" s="88"/>
      <c r="G133" s="88"/>
      <c r="H133" s="88"/>
    </row>
    <row r="134" spans="6:8" ht="13" hidden="1" customHeight="1" outlineLevel="1" x14ac:dyDescent="0.35">
      <c r="F134" s="88"/>
      <c r="G134" s="88"/>
      <c r="H134" s="88"/>
    </row>
    <row r="135" spans="6:8" ht="13" hidden="1" customHeight="1" outlineLevel="1" x14ac:dyDescent="0.35">
      <c r="F135" s="76">
        <v>0</v>
      </c>
      <c r="G135" s="88"/>
      <c r="H135" s="88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AB73"/>
  <sheetViews>
    <sheetView showGridLines="0" zoomScale="80" zoomScaleNormal="80" workbookViewId="0">
      <selection activeCell="E55" sqref="E55"/>
    </sheetView>
  </sheetViews>
  <sheetFormatPr defaultColWidth="9.08984375" defaultRowHeight="14.5" outlineLevelRow="1" x14ac:dyDescent="0.35"/>
  <cols>
    <col min="1" max="1" width="5.6328125" style="1" customWidth="1"/>
    <col min="2" max="2" width="31.81640625" style="45" customWidth="1"/>
    <col min="3" max="3" width="14.26953125" style="45" customWidth="1"/>
    <col min="4" max="4" width="11" style="45" customWidth="1"/>
    <col min="5" max="5" width="11.1796875" style="45" bestFit="1" customWidth="1"/>
    <col min="6" max="6" width="11" style="45" customWidth="1"/>
    <col min="7" max="7" width="11.6328125" style="45" customWidth="1"/>
    <col min="8" max="8" width="11.26953125" style="45" customWidth="1"/>
    <col min="9" max="9" width="24.54296875" style="45" customWidth="1"/>
    <col min="10" max="10" width="5.453125" style="45" customWidth="1"/>
    <col min="11" max="11" width="7.81640625" style="45" bestFit="1" customWidth="1"/>
    <col min="12" max="12" width="5.36328125" style="41" customWidth="1"/>
    <col min="13" max="13" width="5.1796875" style="143" customWidth="1"/>
    <col min="14" max="14" width="5.6328125" style="143" customWidth="1" collapsed="1"/>
    <col min="15" max="16384" width="9.08984375" style="45"/>
  </cols>
  <sheetData>
    <row r="1" spans="1:18" s="3" customFormat="1" ht="21" customHeight="1" x14ac:dyDescent="0.35">
      <c r="A1" s="200" t="s">
        <v>181</v>
      </c>
      <c r="B1" s="201"/>
      <c r="C1" s="201"/>
      <c r="D1" s="201"/>
      <c r="E1" s="201"/>
      <c r="F1" s="201"/>
      <c r="G1" s="201"/>
      <c r="H1" s="201"/>
      <c r="I1" s="201"/>
      <c r="J1" s="201"/>
      <c r="K1" s="202"/>
      <c r="L1" s="202"/>
      <c r="O1" s="128"/>
      <c r="P1" s="128"/>
      <c r="Q1" s="128"/>
      <c r="R1" s="128"/>
    </row>
    <row r="2" spans="1:18" s="44" customFormat="1" ht="16.5" customHeight="1" x14ac:dyDescent="0.35">
      <c r="A2" s="318" t="s">
        <v>131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</row>
    <row r="3" spans="1:18" s="3" customFormat="1" ht="40.5" customHeight="1" x14ac:dyDescent="0.35">
      <c r="A3" s="318"/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</row>
    <row r="4" spans="1:18" ht="15" thickBot="1" x14ac:dyDescent="0.35">
      <c r="A4" s="46"/>
      <c r="B4" s="111"/>
      <c r="I4" s="177" t="s">
        <v>109</v>
      </c>
      <c r="J4" s="177">
        <v>2025</v>
      </c>
      <c r="K4" s="177">
        <v>2026</v>
      </c>
      <c r="L4" s="177">
        <v>2027</v>
      </c>
      <c r="M4" s="177">
        <v>2028</v>
      </c>
      <c r="N4" s="178">
        <v>2029</v>
      </c>
    </row>
    <row r="5" spans="1:18" ht="15" customHeight="1" thickTop="1" x14ac:dyDescent="0.35">
      <c r="A5" s="46"/>
      <c r="I5" s="166" t="s">
        <v>110</v>
      </c>
      <c r="J5" s="176">
        <v>0.06</v>
      </c>
      <c r="K5" s="176">
        <f>IFERROR(J5,"")</f>
        <v>0.06</v>
      </c>
      <c r="L5" s="176">
        <f t="shared" ref="L5:N5" si="0">IFERROR(K5,"")</f>
        <v>0.06</v>
      </c>
      <c r="M5" s="176">
        <f t="shared" si="0"/>
        <v>0.06</v>
      </c>
      <c r="N5" s="176">
        <f t="shared" si="0"/>
        <v>0.06</v>
      </c>
    </row>
    <row r="6" spans="1:18" ht="14.5" customHeight="1" x14ac:dyDescent="0.35">
      <c r="A6" s="46"/>
      <c r="B6" s="281" t="s">
        <v>130</v>
      </c>
      <c r="C6" s="281"/>
      <c r="D6" s="281"/>
      <c r="I6" s="166" t="s">
        <v>86</v>
      </c>
      <c r="J6" s="133">
        <v>0.16047026655059971</v>
      </c>
      <c r="K6" s="134">
        <v>0.10475297619473106</v>
      </c>
      <c r="L6" s="134">
        <v>9.6653207296289179E-2</v>
      </c>
      <c r="M6" s="161">
        <v>8.9716126219999692E-2</v>
      </c>
      <c r="N6" s="161">
        <v>8.370814949538341E-2</v>
      </c>
    </row>
    <row r="7" spans="1:18" x14ac:dyDescent="0.35">
      <c r="A7" s="46"/>
      <c r="B7" s="66" t="s">
        <v>55</v>
      </c>
      <c r="C7" s="279">
        <v>0.11</v>
      </c>
      <c r="D7" s="280"/>
      <c r="E7" s="63"/>
      <c r="I7" s="166" t="s">
        <v>77</v>
      </c>
      <c r="J7" s="133">
        <v>0.12837621324047976</v>
      </c>
      <c r="K7" s="134">
        <v>8.380238095578485E-2</v>
      </c>
      <c r="L7" s="134">
        <v>7.7322565837031343E-2</v>
      </c>
      <c r="M7" s="161">
        <v>7.1772900975999754E-2</v>
      </c>
      <c r="N7" s="161">
        <v>6.6966519596306728E-2</v>
      </c>
    </row>
    <row r="8" spans="1:18" ht="15" customHeight="1" x14ac:dyDescent="0.35">
      <c r="A8" s="56"/>
      <c r="B8" s="108" t="s">
        <v>65</v>
      </c>
      <c r="C8" s="279">
        <v>0.04</v>
      </c>
      <c r="D8" s="280"/>
      <c r="E8" s="63"/>
      <c r="I8" s="166" t="s">
        <v>78</v>
      </c>
      <c r="J8" s="133">
        <v>9.6972158805956887E-2</v>
      </c>
      <c r="K8" s="134">
        <v>6.2851785716838637E-2</v>
      </c>
      <c r="L8" s="134">
        <v>5.7991924377773507E-2</v>
      </c>
      <c r="M8" s="161">
        <v>5.3829675731999815E-2</v>
      </c>
      <c r="N8" s="161">
        <v>5.0224889697230046E-2</v>
      </c>
    </row>
    <row r="9" spans="1:18" ht="20" customHeight="1" x14ac:dyDescent="0.35">
      <c r="A9" s="46"/>
      <c r="B9" s="108" t="s">
        <v>85</v>
      </c>
      <c r="C9" s="282" t="s">
        <v>78</v>
      </c>
      <c r="D9" s="283"/>
      <c r="E9" s="112"/>
      <c r="I9" s="166" t="s">
        <v>87</v>
      </c>
      <c r="J9" s="133">
        <v>7.2729119104467665E-2</v>
      </c>
      <c r="K9" s="134">
        <v>4.7138839287628978E-2</v>
      </c>
      <c r="L9" s="134">
        <v>4.349394328333013E-2</v>
      </c>
      <c r="M9" s="161">
        <v>4.0372256798999862E-2</v>
      </c>
      <c r="N9" s="161">
        <v>3.7668667272922535E-2</v>
      </c>
    </row>
    <row r="10" spans="1:18" ht="14.5" customHeight="1" x14ac:dyDescent="0.35">
      <c r="A10" s="56"/>
      <c r="I10" s="246" t="s">
        <v>161</v>
      </c>
      <c r="J10" s="246"/>
      <c r="K10" s="246"/>
      <c r="L10" s="246"/>
      <c r="M10" s="247"/>
      <c r="N10" s="248"/>
    </row>
    <row r="11" spans="1:18" ht="13" customHeight="1" thickBot="1" x14ac:dyDescent="0.4">
      <c r="A11" s="56"/>
      <c r="I11" s="59"/>
      <c r="J11" s="59"/>
      <c r="M11" s="3"/>
      <c r="N11" s="3"/>
    </row>
    <row r="12" spans="1:18" ht="15.5" hidden="1" customHeight="1" outlineLevel="1" thickBot="1" x14ac:dyDescent="0.35">
      <c r="A12" s="56"/>
      <c r="B12" s="235"/>
      <c r="C12" s="235" t="s">
        <v>133</v>
      </c>
      <c r="D12" s="195">
        <f>_xlfn.XLOOKUP($C$9,$I$5:$I$9,$J$5:$J$9,"")</f>
        <v>9.6972158805956887E-2</v>
      </c>
      <c r="E12" s="195">
        <f>_xlfn.XLOOKUP($C$9,$I$5:$I$9,$K$5:$K$9,"")</f>
        <v>6.2851785716838637E-2</v>
      </c>
      <c r="F12" s="195">
        <f>_xlfn.XLOOKUP($C$9,$I$5:$I$9,$L$5:$L$9,"")</f>
        <v>5.7991924377773507E-2</v>
      </c>
      <c r="G12" s="195">
        <f>_xlfn.XLOOKUP($C$9,$I$5:$I$9,$M$5:$M$9,"")</f>
        <v>5.3829675731999815E-2</v>
      </c>
      <c r="H12" s="195">
        <f>_xlfn.XLOOKUP($C$9,$I$5:$I$9,$N$5:$N$9,"")</f>
        <v>5.0224889697230046E-2</v>
      </c>
      <c r="I12" s="59"/>
      <c r="J12" s="59"/>
      <c r="L12" s="42"/>
      <c r="M12" s="3"/>
      <c r="N12" s="3"/>
    </row>
    <row r="13" spans="1:18" ht="15" collapsed="1" thickBot="1" x14ac:dyDescent="0.4">
      <c r="A13" s="56"/>
      <c r="B13" s="205" t="s">
        <v>93</v>
      </c>
      <c r="C13" s="206">
        <v>2024</v>
      </c>
      <c r="D13" s="207">
        <v>2025</v>
      </c>
      <c r="E13" s="207">
        <v>2026</v>
      </c>
      <c r="F13" s="207">
        <v>2027</v>
      </c>
      <c r="G13" s="207">
        <v>2028</v>
      </c>
      <c r="H13" s="208">
        <v>2029</v>
      </c>
      <c r="I13" s="59"/>
      <c r="J13" s="59"/>
      <c r="K13" s="113"/>
      <c r="L13" s="42"/>
      <c r="M13" s="3"/>
      <c r="N13" s="3"/>
    </row>
    <row r="14" spans="1:18" ht="16" customHeight="1" x14ac:dyDescent="0.35">
      <c r="A14" s="116"/>
      <c r="B14" s="63" t="s">
        <v>56</v>
      </c>
      <c r="C14" s="172">
        <v>61988811.160000004</v>
      </c>
      <c r="D14" s="115">
        <f>IFERROR(C14*(1+$D$12),"")</f>
        <v>68000000</v>
      </c>
      <c r="E14" s="115">
        <f>IFERROR(D14*(1+$E$12),"")</f>
        <v>72273921.428745031</v>
      </c>
      <c r="F14" s="115">
        <f>IFERROR(E14*(1+$F$12),"")</f>
        <v>76465225.214725956</v>
      </c>
      <c r="G14" s="115">
        <f>IFERROR(F14*(1+$G$12),"")</f>
        <v>80581323.492808998</v>
      </c>
      <c r="H14" s="115">
        <f>IFERROR(G14*(1+$H$12),"")</f>
        <v>84628511.576892152</v>
      </c>
      <c r="I14" s="188"/>
      <c r="J14" s="189"/>
      <c r="K14" s="63"/>
      <c r="L14" s="43"/>
      <c r="M14" s="4"/>
      <c r="N14" s="4"/>
    </row>
    <row r="15" spans="1:18" ht="15" thickBot="1" x14ac:dyDescent="0.4">
      <c r="A15" s="116"/>
      <c r="B15" s="65" t="s">
        <v>57</v>
      </c>
      <c r="C15" s="172">
        <v>37392078.449600004</v>
      </c>
      <c r="D15" s="115">
        <f>IFERROR((C15/C14)*D14,"")</f>
        <v>41018069.019099414</v>
      </c>
      <c r="E15" s="115">
        <f t="shared" ref="E15:H15" si="1">IFERROR((D15/D14)*E14,"")</f>
        <v>43596127.903606348</v>
      </c>
      <c r="F15" s="115">
        <f t="shared" si="1"/>
        <v>46124351.256156027</v>
      </c>
      <c r="G15" s="115">
        <f t="shared" si="1"/>
        <v>48607210.127623767</v>
      </c>
      <c r="H15" s="115">
        <f t="shared" si="1"/>
        <v>51048501.894773766</v>
      </c>
      <c r="I15" s="189"/>
      <c r="J15" s="189"/>
      <c r="K15" s="63"/>
      <c r="L15" s="43"/>
      <c r="M15" s="2"/>
      <c r="N15" s="2"/>
    </row>
    <row r="16" spans="1:18" ht="15" thickBot="1" x14ac:dyDescent="0.4">
      <c r="A16" s="116"/>
      <c r="B16" s="183" t="s">
        <v>6</v>
      </c>
      <c r="C16" s="184">
        <f>IFERROR(C14-C15,"")</f>
        <v>24596732.7104</v>
      </c>
      <c r="D16" s="185">
        <f>IFERROR(D14-D15,"")</f>
        <v>26981930.980900586</v>
      </c>
      <c r="E16" s="185">
        <f t="shared" ref="E16:H16" si="2">IFERROR(E14-E15,"")</f>
        <v>28677793.525138684</v>
      </c>
      <c r="F16" s="185">
        <f t="shared" si="2"/>
        <v>30340873.958569929</v>
      </c>
      <c r="G16" s="185">
        <f t="shared" si="2"/>
        <v>31974113.365185231</v>
      </c>
      <c r="H16" s="186">
        <f t="shared" si="2"/>
        <v>33580009.682118386</v>
      </c>
      <c r="I16" s="189"/>
      <c r="J16" s="189"/>
      <c r="K16" s="63"/>
      <c r="L16" s="42"/>
      <c r="M16" s="3"/>
      <c r="N16" s="3"/>
    </row>
    <row r="17" spans="1:14" x14ac:dyDescent="0.35">
      <c r="A17" s="117"/>
      <c r="B17" s="63"/>
      <c r="C17" s="130"/>
      <c r="D17" s="115"/>
      <c r="E17" s="115"/>
      <c r="F17" s="115"/>
      <c r="G17" s="115"/>
      <c r="H17" s="115"/>
      <c r="I17" s="189"/>
      <c r="J17" s="189"/>
      <c r="K17" s="63"/>
      <c r="L17" s="42"/>
      <c r="M17" s="3"/>
      <c r="N17" s="3"/>
    </row>
    <row r="18" spans="1:14" x14ac:dyDescent="0.35">
      <c r="A18" s="117"/>
      <c r="B18" s="63" t="s">
        <v>58</v>
      </c>
      <c r="C18" s="171">
        <v>12389729.5623</v>
      </c>
      <c r="D18" s="119">
        <f>IFERROR((C18/C14)*D14,"")</f>
        <v>13591188.384978214</v>
      </c>
      <c r="E18" s="119">
        <f t="shared" ref="E18:H18" si="3">IFERROR((D18/D14)*E14,"")</f>
        <v>14445418.844988054</v>
      </c>
      <c r="F18" s="119">
        <f t="shared" si="3"/>
        <v>15283136.482251864</v>
      </c>
      <c r="G18" s="119">
        <f t="shared" si="3"/>
        <v>16105822.763259379</v>
      </c>
      <c r="H18" s="119">
        <f t="shared" si="3"/>
        <v>16914735.935027219</v>
      </c>
      <c r="I18" s="189"/>
      <c r="J18" s="189"/>
      <c r="K18" s="63"/>
      <c r="L18" s="3"/>
      <c r="M18" s="3"/>
      <c r="N18" s="3"/>
    </row>
    <row r="19" spans="1:14" ht="15" customHeight="1" thickBot="1" x14ac:dyDescent="0.4">
      <c r="A19" s="116"/>
      <c r="B19" s="63"/>
      <c r="C19" s="131"/>
      <c r="D19" s="65"/>
      <c r="E19" s="65"/>
      <c r="F19" s="65"/>
      <c r="G19" s="65"/>
      <c r="H19" s="65"/>
      <c r="I19" s="63"/>
      <c r="J19" s="63"/>
      <c r="K19" s="63"/>
      <c r="L19" s="3"/>
      <c r="M19" s="3"/>
      <c r="N19" s="3"/>
    </row>
    <row r="20" spans="1:14" ht="17.5" customHeight="1" thickBot="1" x14ac:dyDescent="0.4">
      <c r="A20" s="117"/>
      <c r="B20" s="183" t="s">
        <v>8</v>
      </c>
      <c r="C20" s="184">
        <f>IFERROR(C16-C18,"")</f>
        <v>12207003.1481</v>
      </c>
      <c r="D20" s="185">
        <f>IFERROR(D16-D18,"")</f>
        <v>13390742.595922371</v>
      </c>
      <c r="E20" s="185">
        <f t="shared" ref="E20:H20" si="4">IFERROR(E16-E18,"")</f>
        <v>14232374.68015063</v>
      </c>
      <c r="F20" s="185">
        <f t="shared" si="4"/>
        <v>15057737.476318065</v>
      </c>
      <c r="G20" s="185">
        <f t="shared" si="4"/>
        <v>15868290.601925852</v>
      </c>
      <c r="H20" s="186">
        <f t="shared" si="4"/>
        <v>16665273.747091167</v>
      </c>
      <c r="I20" s="63"/>
      <c r="J20" s="63"/>
      <c r="K20" s="63"/>
      <c r="L20" s="3"/>
      <c r="M20" s="3"/>
      <c r="N20" s="3"/>
    </row>
    <row r="21" spans="1:14" ht="14.5" customHeight="1" x14ac:dyDescent="0.35">
      <c r="A21" s="116"/>
      <c r="B21" s="65" t="s">
        <v>59</v>
      </c>
      <c r="C21" s="182">
        <v>2450000</v>
      </c>
      <c r="D21" s="115">
        <f>IFERROR(D14*3.5%,"")</f>
        <v>2380000</v>
      </c>
      <c r="E21" s="115">
        <f t="shared" ref="E21:H21" si="5">IFERROR(E14*3.5%,"")</f>
        <v>2529587.2500060764</v>
      </c>
      <c r="F21" s="115">
        <f t="shared" si="5"/>
        <v>2676282.8825154086</v>
      </c>
      <c r="G21" s="115">
        <f t="shared" si="5"/>
        <v>2820346.322248315</v>
      </c>
      <c r="H21" s="115">
        <f t="shared" si="5"/>
        <v>2961997.9051912255</v>
      </c>
      <c r="I21" s="63"/>
      <c r="J21" s="63"/>
      <c r="K21" s="63"/>
      <c r="L21" s="3"/>
      <c r="M21" s="3"/>
      <c r="N21" s="3"/>
    </row>
    <row r="22" spans="1:14" ht="14.5" customHeight="1" x14ac:dyDescent="0.35">
      <c r="A22" s="116"/>
      <c r="B22" s="120" t="s">
        <v>82</v>
      </c>
      <c r="C22" s="171">
        <f>IFERROR(1.5%*(C20-C21),"")</f>
        <v>146355.04722149999</v>
      </c>
      <c r="D22" s="118">
        <f>IFERROR(1.5%*(D20-D21),"")</f>
        <v>165161.13893883556</v>
      </c>
      <c r="E22" s="118">
        <f t="shared" ref="E22:H22" si="6">IFERROR(1.5%*(E20-E21),"")</f>
        <v>175541.8114521683</v>
      </c>
      <c r="F22" s="118">
        <f t="shared" si="6"/>
        <v>185721.81890703985</v>
      </c>
      <c r="G22" s="118">
        <f t="shared" si="6"/>
        <v>195719.16419516303</v>
      </c>
      <c r="H22" s="118">
        <f t="shared" si="6"/>
        <v>205549.1376284991</v>
      </c>
      <c r="I22" s="63"/>
      <c r="J22" s="63"/>
      <c r="K22" s="63"/>
      <c r="L22" s="3"/>
      <c r="M22" s="3"/>
      <c r="N22" s="3"/>
    </row>
    <row r="23" spans="1:14" ht="15" customHeight="1" thickBot="1" x14ac:dyDescent="0.4">
      <c r="A23" s="116"/>
      <c r="B23" s="65" t="s">
        <v>60</v>
      </c>
      <c r="C23" s="172" t="s">
        <v>129</v>
      </c>
      <c r="D23" s="118">
        <f>IFERROR(D$14* 0.00364,"")</f>
        <v>247520</v>
      </c>
      <c r="E23" s="118">
        <f t="shared" ref="E23:H23" si="7">IFERROR(E$14* 0.00364,"")</f>
        <v>263077.07400063192</v>
      </c>
      <c r="F23" s="118">
        <f t="shared" si="7"/>
        <v>278333.41978160245</v>
      </c>
      <c r="G23" s="118">
        <f t="shared" si="7"/>
        <v>293316.01751382474</v>
      </c>
      <c r="H23" s="118">
        <f t="shared" si="7"/>
        <v>308047.78213988745</v>
      </c>
      <c r="I23" s="63"/>
      <c r="J23" s="63"/>
      <c r="K23" s="63"/>
      <c r="L23" s="3"/>
      <c r="M23" s="3"/>
      <c r="N23" s="3"/>
    </row>
    <row r="24" spans="1:14" ht="15" thickBot="1" x14ac:dyDescent="0.4">
      <c r="A24" s="116"/>
      <c r="B24" s="301" t="s">
        <v>175</v>
      </c>
      <c r="C24" s="302"/>
      <c r="D24" s="303">
        <f>IFERROR(D20-D21-D22-D23,"")</f>
        <v>10598061.456983536</v>
      </c>
      <c r="E24" s="303">
        <f>IFERROR(E20-E21-E22-E23,"")</f>
        <v>11264168.544691753</v>
      </c>
      <c r="F24" s="303">
        <f t="shared" ref="F24:H24" si="8">IFERROR(F20-F21-F22-F23,"")</f>
        <v>11917399.355114015</v>
      </c>
      <c r="G24" s="303">
        <f t="shared" si="8"/>
        <v>12558909.097968549</v>
      </c>
      <c r="H24" s="304">
        <f t="shared" si="8"/>
        <v>13189678.922131553</v>
      </c>
      <c r="I24" s="63"/>
      <c r="J24" s="63"/>
      <c r="K24" s="63"/>
      <c r="L24" s="3"/>
      <c r="M24" s="3"/>
      <c r="N24" s="3"/>
    </row>
    <row r="25" spans="1:14" ht="15" customHeight="1" thickBot="1" x14ac:dyDescent="0.4">
      <c r="A25" s="116"/>
      <c r="B25" s="290" t="s">
        <v>177</v>
      </c>
      <c r="C25" s="290"/>
      <c r="D25" s="290">
        <f t="shared" ref="D25:G25" si="9">IFERROR((D$24*(1+$C$8))/($C$7-$C$8),"")</f>
        <v>157456913.07518396</v>
      </c>
      <c r="E25" s="309">
        <f t="shared" si="9"/>
        <v>167353361.23542032</v>
      </c>
      <c r="F25" s="290">
        <f t="shared" si="9"/>
        <v>177058504.70455107</v>
      </c>
      <c r="G25" s="290">
        <f t="shared" si="9"/>
        <v>186589506.59838986</v>
      </c>
      <c r="H25" s="261">
        <f>IFERROR((H$24*(1+$C$8))/($C$7-$C$8),"")</f>
        <v>195960943.98595449</v>
      </c>
      <c r="I25" s="298" t="s">
        <v>185</v>
      </c>
      <c r="J25" s="292"/>
      <c r="K25" s="292"/>
      <c r="L25" s="292"/>
      <c r="M25" s="292"/>
      <c r="N25" s="292"/>
    </row>
    <row r="26" spans="1:14" ht="15" thickBot="1" x14ac:dyDescent="0.4">
      <c r="A26" s="116"/>
      <c r="B26" s="305" t="s">
        <v>178</v>
      </c>
      <c r="C26" s="305"/>
      <c r="D26" s="269">
        <f>IFERROR(D$25/(1+$C$7)^1,"")</f>
        <v>141853074.84250805</v>
      </c>
      <c r="E26" s="269">
        <f>IFERROR(E$25/(1+$C$7)^2,"")</f>
        <v>135827742.2574631</v>
      </c>
      <c r="F26" s="291">
        <f>IFERROR(F$25/(1+$C$7)^3,"")</f>
        <v>129463652.62600149</v>
      </c>
      <c r="G26" s="291">
        <f>IFERROR(G$25/(1+$C$7)^4,"")</f>
        <v>122912287.44679227</v>
      </c>
      <c r="H26" s="269">
        <f>IFERROR(H$25/(1+$C$7)^5,"")</f>
        <v>116293282.45607351</v>
      </c>
      <c r="I26" s="299" t="s">
        <v>186</v>
      </c>
      <c r="J26" s="293"/>
      <c r="K26" s="293"/>
      <c r="L26" s="293"/>
      <c r="M26" s="293"/>
      <c r="N26" s="293"/>
    </row>
    <row r="27" spans="1:14" ht="14" customHeight="1" thickBot="1" x14ac:dyDescent="0.4">
      <c r="A27" s="116"/>
      <c r="B27" s="301" t="s">
        <v>61</v>
      </c>
      <c r="C27" s="307"/>
      <c r="D27" s="303">
        <f>IFERROR(D24/(1+$C$7)^(D13-C13),"")</f>
        <v>9547803.1143995821</v>
      </c>
      <c r="E27" s="303">
        <f>IFERROR(E24/(1+$C$7)^(E13-C13),"")</f>
        <v>9142251.8827138636</v>
      </c>
      <c r="F27" s="303">
        <f>IFERROR(F24/(1+$C$7)^(F13-C13),"")</f>
        <v>8713899.6959808692</v>
      </c>
      <c r="G27" s="303">
        <f>IFERROR(G24/(1+$C$7)^(G13-C13),"")</f>
        <v>8272942.4243033268</v>
      </c>
      <c r="H27" s="304">
        <f>IFERROR(H24/(1+$C$7)^(H13-C13),"")</f>
        <v>7827432.4730049483</v>
      </c>
      <c r="I27" s="63"/>
      <c r="J27" s="63"/>
      <c r="K27" s="63"/>
      <c r="L27" s="3"/>
      <c r="M27" s="2"/>
      <c r="N27" s="2"/>
    </row>
    <row r="28" spans="1:14" ht="15.5" customHeight="1" thickBot="1" x14ac:dyDescent="0.4">
      <c r="A28" s="116"/>
      <c r="B28" s="306" t="s">
        <v>176</v>
      </c>
      <c r="C28" s="306"/>
      <c r="D28" s="237">
        <f>IFERROR(SUM(C27:D27),"")</f>
        <v>9547803.1143995821</v>
      </c>
      <c r="E28" s="237">
        <f>IFERROR(SUM(D27:E27),"")</f>
        <v>18690054.997113444</v>
      </c>
      <c r="F28" s="237">
        <f>IFERROR(SUM(D27:F27),"")</f>
        <v>27403954.693094313</v>
      </c>
      <c r="G28" s="237">
        <f>IFERROR(SUM(D27:G27),"")</f>
        <v>35676897.117397636</v>
      </c>
      <c r="H28" s="237">
        <f>IFERROR(SUM(D27:H27),"")</f>
        <v>43504329.590402588</v>
      </c>
      <c r="I28" s="197"/>
      <c r="J28" s="198"/>
      <c r="K28" s="198"/>
      <c r="L28" s="196"/>
      <c r="M28" s="199"/>
      <c r="N28" s="199"/>
    </row>
    <row r="29" spans="1:14" s="48" customFormat="1" ht="16" customHeight="1" thickBot="1" x14ac:dyDescent="0.4">
      <c r="A29" s="116"/>
      <c r="B29" s="270" t="s">
        <v>182</v>
      </c>
      <c r="C29" s="270"/>
      <c r="D29" s="268">
        <f>IFERROR(SUM(D27:H27) + H26, "")</f>
        <v>159797612.0464761</v>
      </c>
      <c r="E29" s="308">
        <f>IFERROR(SUM(E27:H27) + H26, "")</f>
        <v>150249808.93207651</v>
      </c>
      <c r="F29" s="268">
        <f>IFERROR(SUM(F27:H27) + H26, "")</f>
        <v>141107557.04936266</v>
      </c>
      <c r="G29" s="268">
        <f>IFERROR(SUM(G27:H27) + H26, "")</f>
        <v>132393657.35338178</v>
      </c>
      <c r="H29" s="268">
        <f>IFERROR(SUM(H27) + H26, "")</f>
        <v>124120714.92907846</v>
      </c>
      <c r="I29" s="278"/>
      <c r="J29" s="278"/>
      <c r="K29" s="278"/>
      <c r="L29" s="278"/>
      <c r="M29" s="278"/>
      <c r="N29" s="278"/>
    </row>
    <row r="30" spans="1:14" ht="18" customHeight="1" x14ac:dyDescent="0.35">
      <c r="A30" s="14"/>
      <c r="B30" s="190"/>
      <c r="C30" s="190"/>
      <c r="D30" s="190"/>
      <c r="E30" s="190"/>
      <c r="F30" s="190"/>
      <c r="G30" s="190"/>
      <c r="H30" s="190"/>
      <c r="I30" s="278"/>
      <c r="J30" s="278"/>
      <c r="K30" s="278"/>
      <c r="L30" s="278"/>
      <c r="M30" s="278"/>
      <c r="N30" s="278"/>
    </row>
    <row r="31" spans="1:14" ht="14.5" customHeight="1" thickBot="1" x14ac:dyDescent="0.4">
      <c r="A31" s="14"/>
      <c r="B31" s="190"/>
      <c r="C31" s="190"/>
      <c r="D31" s="190"/>
      <c r="E31" s="190"/>
      <c r="F31" s="190"/>
      <c r="G31" s="190"/>
      <c r="H31" s="190"/>
      <c r="I31" s="190"/>
      <c r="J31" s="63"/>
      <c r="K31" s="63"/>
      <c r="L31" s="42"/>
      <c r="M31" s="2"/>
      <c r="N31" s="2"/>
    </row>
    <row r="32" spans="1:14" ht="18.5" customHeight="1" thickBot="1" x14ac:dyDescent="0.4">
      <c r="A32" s="14"/>
      <c r="B32" s="385" t="s">
        <v>167</v>
      </c>
      <c r="C32" s="386"/>
      <c r="D32" s="387"/>
      <c r="E32" s="190"/>
      <c r="F32" s="190"/>
      <c r="G32" s="190"/>
      <c r="H32" s="190"/>
      <c r="I32" s="190"/>
      <c r="J32" s="63"/>
      <c r="K32" s="63"/>
      <c r="L32" s="63"/>
      <c r="M32" s="63"/>
      <c r="N32" s="63"/>
    </row>
    <row r="33" spans="1:14" ht="15" customHeight="1" x14ac:dyDescent="0.35">
      <c r="A33" s="14"/>
      <c r="B33" s="135" t="s">
        <v>74</v>
      </c>
      <c r="C33" s="288">
        <f>E29</f>
        <v>150249808.93207651</v>
      </c>
      <c r="D33" s="289"/>
      <c r="E33" s="63"/>
      <c r="I33" s="63"/>
      <c r="J33" s="63"/>
      <c r="K33" s="63"/>
      <c r="L33" s="63"/>
      <c r="M33" s="63"/>
      <c r="N33" s="63"/>
    </row>
    <row r="34" spans="1:14" ht="15.5" customHeight="1" thickBot="1" x14ac:dyDescent="0.4">
      <c r="B34" s="136" t="s">
        <v>62</v>
      </c>
      <c r="C34" s="286">
        <f>E25</f>
        <v>167353361.23542032</v>
      </c>
      <c r="D34" s="287"/>
      <c r="L34" s="45"/>
      <c r="M34" s="45"/>
      <c r="N34" s="45"/>
    </row>
    <row r="35" spans="1:14" ht="15.5" customHeight="1" thickBot="1" x14ac:dyDescent="0.4">
      <c r="B35" s="142" t="s">
        <v>160</v>
      </c>
      <c r="C35" s="284">
        <f>IFERROR(C34-C33,"")</f>
        <v>17103552.303343803</v>
      </c>
      <c r="D35" s="285"/>
      <c r="G35" s="311" t="s">
        <v>166</v>
      </c>
      <c r="H35" s="311"/>
      <c r="I35" s="311"/>
      <c r="L35" s="45"/>
      <c r="M35" s="45"/>
      <c r="N35" s="45"/>
    </row>
    <row r="36" spans="1:14" ht="14" customHeight="1" x14ac:dyDescent="0.35">
      <c r="L36" s="45"/>
      <c r="M36" s="45"/>
      <c r="N36" s="45"/>
    </row>
    <row r="37" spans="1:14" ht="14" customHeight="1" thickBot="1" x14ac:dyDescent="0.4">
      <c r="L37" s="45"/>
      <c r="M37" s="45"/>
      <c r="N37" s="45"/>
    </row>
    <row r="38" spans="1:14" ht="16.5" customHeight="1" thickBot="1" x14ac:dyDescent="0.4">
      <c r="B38" s="328" t="s">
        <v>187</v>
      </c>
      <c r="C38" s="329"/>
      <c r="D38" s="329"/>
      <c r="E38" s="330"/>
      <c r="G38" s="328" t="s">
        <v>180</v>
      </c>
      <c r="H38" s="329"/>
      <c r="I38" s="330"/>
      <c r="L38" s="45"/>
      <c r="M38" s="45"/>
      <c r="N38" s="45"/>
    </row>
    <row r="39" spans="1:14" ht="26.5" customHeight="1" thickBot="1" x14ac:dyDescent="0.4">
      <c r="B39" s="223" t="s">
        <v>107</v>
      </c>
      <c r="C39" s="224" t="s">
        <v>71</v>
      </c>
      <c r="D39" s="224" t="s">
        <v>83</v>
      </c>
      <c r="E39" s="225" t="s">
        <v>68</v>
      </c>
      <c r="F39" s="236"/>
      <c r="G39" s="223" t="s">
        <v>173</v>
      </c>
      <c r="H39" s="226" t="s">
        <v>90</v>
      </c>
      <c r="I39" s="226" t="s">
        <v>132</v>
      </c>
      <c r="L39" s="45"/>
      <c r="M39" s="45"/>
      <c r="N39" s="45"/>
    </row>
    <row r="40" spans="1:14" ht="16" customHeight="1" thickBot="1" x14ac:dyDescent="0.4">
      <c r="B40" s="193">
        <f>IFERROR(B41*C40,"")</f>
        <v>15.393197073009423</v>
      </c>
      <c r="C40" s="191">
        <v>0.9</v>
      </c>
      <c r="D40" s="191">
        <v>0.5</v>
      </c>
      <c r="E40" s="137" t="s">
        <v>69</v>
      </c>
      <c r="G40" s="319">
        <v>32</v>
      </c>
      <c r="H40" s="322">
        <f>IFERROR(G40/B41,"")</f>
        <v>1.8709563623074892</v>
      </c>
      <c r="I40" s="325" t="str">
        <f>IFERROR(
  IF(ISNUMBER(H40),
    IF(H40 &lt; C40, 0,
      IF(H40 &lt; C41, D40 + (H40 - C40)*(D41 - D40)/(C41 - C40),
        IF(H40 &lt; C42, D41 + (H40 - C41)*(D42 - D41)/(C42 - C41),
          D42))),
    0) *#REF!,
"")</f>
        <v/>
      </c>
      <c r="L40" s="45"/>
      <c r="M40" s="45"/>
      <c r="N40" s="45"/>
    </row>
    <row r="41" spans="1:14" ht="15" thickBot="1" x14ac:dyDescent="0.4">
      <c r="B41" s="229">
        <f>IFERROR(($C$35)/1000000,"")</f>
        <v>17.103552303343804</v>
      </c>
      <c r="C41" s="141">
        <v>1</v>
      </c>
      <c r="D41" s="129">
        <v>1</v>
      </c>
      <c r="E41" s="204" t="s">
        <v>70</v>
      </c>
      <c r="G41" s="320"/>
      <c r="H41" s="323"/>
      <c r="I41" s="326"/>
      <c r="L41" s="140"/>
      <c r="M41" s="45"/>
      <c r="N41" s="45"/>
    </row>
    <row r="42" spans="1:14" ht="15" customHeight="1" thickBot="1" x14ac:dyDescent="0.4">
      <c r="B42" s="194">
        <f>IFERROR($B$41*$C$42,"")</f>
        <v>18.813907533678186</v>
      </c>
      <c r="C42" s="192">
        <v>1.1000000000000001</v>
      </c>
      <c r="D42" s="192">
        <v>1.5</v>
      </c>
      <c r="E42" s="138" t="s">
        <v>89</v>
      </c>
      <c r="G42" s="321"/>
      <c r="H42" s="324"/>
      <c r="I42" s="327"/>
      <c r="L42" s="45"/>
      <c r="M42" s="45"/>
      <c r="N42" s="45"/>
    </row>
    <row r="43" spans="1:14" ht="14.5" customHeight="1" x14ac:dyDescent="0.35">
      <c r="B43" s="331" t="s">
        <v>190</v>
      </c>
      <c r="C43" s="331"/>
      <c r="D43" s="331"/>
      <c r="E43" s="331"/>
      <c r="F43" s="331"/>
      <c r="L43" s="45"/>
      <c r="M43" s="45"/>
      <c r="N43" s="45"/>
    </row>
    <row r="44" spans="1:14" s="46" customFormat="1" ht="14.65" customHeight="1" x14ac:dyDescent="0.35">
      <c r="B44" s="331"/>
      <c r="C44" s="331"/>
      <c r="D44" s="331"/>
      <c r="E44" s="331"/>
      <c r="F44" s="331"/>
      <c r="J44" s="47"/>
      <c r="K44" s="122"/>
      <c r="L44" s="42"/>
      <c r="M44" s="2"/>
      <c r="N44" s="2"/>
    </row>
    <row r="45" spans="1:14" ht="14.5" customHeight="1" x14ac:dyDescent="0.35">
      <c r="B45" s="331"/>
      <c r="C45" s="331"/>
      <c r="D45" s="331"/>
      <c r="E45" s="331"/>
      <c r="F45" s="331"/>
      <c r="G45" s="315" t="s">
        <v>162</v>
      </c>
      <c r="H45" s="315"/>
      <c r="I45" s="315"/>
      <c r="L45" s="45"/>
      <c r="M45" s="45"/>
      <c r="N45" s="45"/>
    </row>
    <row r="46" spans="1:14" ht="15" customHeight="1" x14ac:dyDescent="0.35">
      <c r="B46" s="331"/>
      <c r="C46" s="331"/>
      <c r="D46" s="331"/>
      <c r="E46" s="331"/>
      <c r="F46" s="331"/>
      <c r="G46" s="312" t="s">
        <v>88</v>
      </c>
      <c r="H46" s="313"/>
      <c r="I46" s="314"/>
      <c r="L46" s="127"/>
      <c r="M46" s="2"/>
      <c r="N46" s="2"/>
    </row>
    <row r="47" spans="1:14" ht="16" customHeight="1" x14ac:dyDescent="0.35">
      <c r="B47" s="331"/>
      <c r="C47" s="331"/>
      <c r="D47" s="331"/>
      <c r="E47" s="331"/>
      <c r="F47" s="331"/>
      <c r="G47" s="271" t="s">
        <v>80</v>
      </c>
      <c r="H47" s="272"/>
      <c r="I47" s="262" t="str">
        <f>IFERROR(#REF!,"")</f>
        <v/>
      </c>
      <c r="L47" s="42"/>
      <c r="M47" s="2"/>
      <c r="N47" s="2"/>
    </row>
    <row r="48" spans="1:14" s="46" customFormat="1" ht="14.25" customHeight="1" x14ac:dyDescent="0.35">
      <c r="B48" s="331"/>
      <c r="C48" s="331"/>
      <c r="D48" s="331"/>
      <c r="E48" s="331"/>
      <c r="F48" s="331"/>
      <c r="G48" s="273" t="s">
        <v>163</v>
      </c>
      <c r="H48" s="250"/>
      <c r="I48" s="263">
        <v>0.5</v>
      </c>
      <c r="J48" s="47"/>
      <c r="K48" s="122"/>
      <c r="L48" s="42"/>
      <c r="M48" s="2"/>
      <c r="N48" s="2"/>
    </row>
    <row r="49" spans="1:14" s="46" customFormat="1" ht="14.25" customHeight="1" outlineLevel="1" thickBot="1" x14ac:dyDescent="0.4">
      <c r="B49" s="331"/>
      <c r="C49" s="331"/>
      <c r="D49" s="331"/>
      <c r="E49" s="331"/>
      <c r="F49" s="331"/>
      <c r="G49" s="255" t="s">
        <v>164</v>
      </c>
      <c r="I49" s="258" t="str">
        <f>IFERROR(I48*I47,"")</f>
        <v/>
      </c>
      <c r="J49" s="47"/>
      <c r="K49" s="122"/>
      <c r="L49" s="42"/>
      <c r="M49" s="2"/>
      <c r="N49" s="2"/>
    </row>
    <row r="50" spans="1:14" s="46" customFormat="1" ht="14.25" customHeight="1" thickTop="1" x14ac:dyDescent="0.35">
      <c r="B50" s="331"/>
      <c r="C50" s="331"/>
      <c r="D50" s="331"/>
      <c r="E50" s="331"/>
      <c r="F50" s="331"/>
      <c r="G50" s="274" t="s">
        <v>76</v>
      </c>
      <c r="H50" s="275"/>
      <c r="I50" s="264" t="str">
        <f>IFERROR(I49+I47,"")</f>
        <v/>
      </c>
      <c r="J50" s="47"/>
      <c r="K50" s="122"/>
      <c r="L50" s="42"/>
      <c r="M50" s="2"/>
      <c r="N50" s="2"/>
    </row>
    <row r="51" spans="1:14" s="47" customFormat="1" ht="14.65" customHeight="1" thickBot="1" x14ac:dyDescent="0.4">
      <c r="G51" s="273" t="s">
        <v>174</v>
      </c>
      <c r="H51" s="250"/>
      <c r="I51" s="265" t="str">
        <f>IFERROR($I$40,"")</f>
        <v/>
      </c>
      <c r="J51" s="123"/>
      <c r="K51" s="123"/>
      <c r="L51" s="97"/>
      <c r="M51" s="2"/>
      <c r="N51" s="2"/>
    </row>
    <row r="52" spans="1:14" s="47" customFormat="1" ht="15" thickTop="1" x14ac:dyDescent="0.35">
      <c r="G52" s="276" t="s">
        <v>75</v>
      </c>
      <c r="H52" s="277"/>
      <c r="I52" s="266" t="str">
        <f>IFERROR(I51+I50,"")</f>
        <v/>
      </c>
      <c r="J52" s="123"/>
      <c r="K52" s="123"/>
      <c r="L52" s="97"/>
      <c r="M52" s="2"/>
      <c r="N52" s="2"/>
    </row>
    <row r="53" spans="1:14" ht="15" customHeight="1" x14ac:dyDescent="0.35">
      <c r="G53" s="316" t="s">
        <v>179</v>
      </c>
      <c r="H53" s="316"/>
      <c r="I53" s="316"/>
      <c r="J53" s="98"/>
      <c r="K53" s="98"/>
      <c r="L53" s="97"/>
      <c r="M53" s="2"/>
      <c r="N53" s="2"/>
    </row>
    <row r="54" spans="1:14" x14ac:dyDescent="0.35">
      <c r="A54" s="116"/>
      <c r="B54" s="98"/>
      <c r="C54" s="132"/>
      <c r="D54" s="132"/>
      <c r="E54" s="132"/>
      <c r="F54" s="132"/>
      <c r="G54" s="317"/>
      <c r="H54" s="317"/>
      <c r="I54" s="317"/>
      <c r="J54" s="98"/>
      <c r="K54" s="98"/>
      <c r="L54" s="97"/>
      <c r="M54" s="2"/>
      <c r="N54" s="2"/>
    </row>
    <row r="55" spans="1:14" ht="14.5" customHeight="1" x14ac:dyDescent="0.35">
      <c r="A55" s="14"/>
      <c r="C55" s="98"/>
      <c r="D55" s="98"/>
      <c r="E55" s="98"/>
      <c r="F55" s="98"/>
      <c r="J55" s="98"/>
      <c r="K55" s="98"/>
      <c r="L55" s="97"/>
      <c r="M55" s="2"/>
      <c r="N55" s="2"/>
    </row>
    <row r="56" spans="1:14" x14ac:dyDescent="0.35">
      <c r="A56" s="14"/>
      <c r="C56" s="98"/>
      <c r="D56" s="98"/>
      <c r="E56" s="98"/>
      <c r="F56" s="98"/>
      <c r="J56" s="98"/>
      <c r="K56" s="98"/>
      <c r="L56" s="97"/>
      <c r="M56" s="2"/>
      <c r="N56" s="2"/>
    </row>
    <row r="57" spans="1:14" ht="14.5" customHeight="1" x14ac:dyDescent="0.35">
      <c r="A57" s="14"/>
      <c r="C57" s="98"/>
      <c r="D57" s="98"/>
      <c r="E57" s="98"/>
      <c r="F57" s="98"/>
      <c r="G57" s="312" t="s">
        <v>165</v>
      </c>
      <c r="H57" s="313"/>
      <c r="I57" s="314"/>
      <c r="J57" s="98"/>
      <c r="K57" s="98"/>
      <c r="L57" s="97"/>
      <c r="M57" s="2"/>
      <c r="N57" s="2"/>
    </row>
    <row r="58" spans="1:14" x14ac:dyDescent="0.35">
      <c r="A58" s="14"/>
      <c r="B58" s="98"/>
      <c r="C58" s="132"/>
      <c r="D58" s="132"/>
      <c r="E58" s="132"/>
      <c r="F58" s="132"/>
      <c r="G58" s="271" t="s">
        <v>80</v>
      </c>
      <c r="H58" s="272"/>
      <c r="I58" s="254" t="str">
        <f>IFERROR(#REF!*I47,"")</f>
        <v/>
      </c>
      <c r="J58" s="98"/>
      <c r="K58" s="249"/>
      <c r="L58" s="97"/>
      <c r="M58" s="2"/>
      <c r="N58" s="2"/>
    </row>
    <row r="59" spans="1:14" x14ac:dyDescent="0.35">
      <c r="A59" s="14"/>
      <c r="C59" s="98"/>
      <c r="D59" s="98"/>
      <c r="E59" s="98"/>
      <c r="F59" s="98"/>
      <c r="G59" s="273" t="s">
        <v>163</v>
      </c>
      <c r="H59" s="250"/>
      <c r="I59" s="256" t="str">
        <f>IFERROR(#REF!*I48,"")</f>
        <v/>
      </c>
      <c r="J59" s="98"/>
      <c r="K59" s="98"/>
      <c r="L59" s="97"/>
      <c r="M59" s="2"/>
      <c r="N59" s="2"/>
    </row>
    <row r="60" spans="1:14" ht="15" customHeight="1" x14ac:dyDescent="0.35">
      <c r="G60" s="273" t="s">
        <v>164</v>
      </c>
      <c r="H60" s="250"/>
      <c r="I60" s="257" t="str">
        <f>IFERROR(I59*I47,"")</f>
        <v/>
      </c>
      <c r="L60" s="45"/>
      <c r="M60" s="45"/>
      <c r="N60" s="45"/>
    </row>
    <row r="61" spans="1:14" ht="15" customHeight="1" thickBot="1" x14ac:dyDescent="0.4">
      <c r="A61" s="116"/>
      <c r="C61" s="98"/>
      <c r="D61" s="98"/>
      <c r="E61" s="98"/>
      <c r="F61" s="98"/>
      <c r="G61" s="255" t="s">
        <v>174</v>
      </c>
      <c r="H61" s="66"/>
      <c r="I61" s="258" t="str">
        <f>IFERROR($I$51*#REF!,"")</f>
        <v/>
      </c>
      <c r="J61" s="98"/>
      <c r="K61" s="98"/>
      <c r="L61" s="97"/>
      <c r="M61" s="2"/>
      <c r="N61" s="2"/>
    </row>
    <row r="62" spans="1:14" ht="15" customHeight="1" thickTop="1" x14ac:dyDescent="0.35">
      <c r="A62" s="14"/>
      <c r="C62" s="98"/>
      <c r="D62" s="98"/>
      <c r="E62" s="98"/>
      <c r="F62" s="98"/>
      <c r="G62" s="259" t="s">
        <v>75</v>
      </c>
      <c r="H62" s="267"/>
      <c r="I62" s="260" t="str">
        <f>IFERROR(I61+I60+I58,"")</f>
        <v/>
      </c>
      <c r="J62" s="98"/>
      <c r="K62" s="98"/>
      <c r="L62" s="97"/>
      <c r="M62" s="2"/>
      <c r="N62" s="2"/>
    </row>
    <row r="63" spans="1:14" ht="15" customHeight="1" x14ac:dyDescent="0.35">
      <c r="A63" s="14"/>
      <c r="C63" s="98"/>
      <c r="D63" s="98"/>
      <c r="E63" s="98"/>
      <c r="F63" s="98"/>
      <c r="G63" s="98"/>
      <c r="H63" s="98"/>
      <c r="I63" s="98"/>
      <c r="J63" s="98"/>
      <c r="K63" s="98"/>
      <c r="L63" s="97"/>
      <c r="M63" s="2"/>
      <c r="N63" s="2"/>
    </row>
    <row r="64" spans="1:14" x14ac:dyDescent="0.35">
      <c r="A64" s="14"/>
      <c r="C64" s="98"/>
      <c r="D64" s="98"/>
      <c r="E64" s="98"/>
      <c r="F64" s="98"/>
      <c r="G64" s="98"/>
      <c r="H64" s="98"/>
      <c r="I64" s="98"/>
      <c r="J64" s="98"/>
      <c r="K64" s="98"/>
      <c r="L64" s="97"/>
      <c r="M64" s="2"/>
      <c r="N64" s="2"/>
    </row>
    <row r="65" spans="1:14" x14ac:dyDescent="0.35">
      <c r="A65" s="14"/>
      <c r="C65" s="98"/>
      <c r="D65" s="98"/>
      <c r="E65" s="98"/>
      <c r="F65" s="98"/>
      <c r="G65" s="98"/>
      <c r="H65" s="98"/>
      <c r="I65" s="98"/>
      <c r="J65" s="98"/>
      <c r="K65" s="98"/>
      <c r="L65" s="97"/>
      <c r="M65" s="21"/>
      <c r="N65" s="21"/>
    </row>
    <row r="66" spans="1:14" x14ac:dyDescent="0.35">
      <c r="A66" s="9"/>
      <c r="C66" s="98"/>
      <c r="D66" s="98"/>
      <c r="E66" s="98"/>
      <c r="F66" s="98"/>
      <c r="G66" s="98"/>
      <c r="H66" s="98"/>
      <c r="I66" s="98"/>
      <c r="J66" s="98"/>
      <c r="K66" s="98"/>
      <c r="L66" s="99"/>
      <c r="M66" s="21"/>
      <c r="N66" s="21"/>
    </row>
    <row r="67" spans="1:14" x14ac:dyDescent="0.35">
      <c r="A67" s="14"/>
      <c r="C67" s="98"/>
      <c r="D67" s="98"/>
      <c r="E67" s="98"/>
      <c r="F67" s="98"/>
      <c r="G67" s="98"/>
      <c r="H67" s="98"/>
      <c r="I67" s="98"/>
      <c r="J67" s="98"/>
      <c r="K67" s="98"/>
      <c r="L67" s="97"/>
      <c r="M67" s="179"/>
      <c r="N67" s="179"/>
    </row>
    <row r="68" spans="1:14" x14ac:dyDescent="0.35">
      <c r="A68" s="14"/>
      <c r="C68" s="98"/>
      <c r="D68" s="98"/>
      <c r="E68" s="98"/>
      <c r="F68" s="98"/>
      <c r="G68" s="98"/>
      <c r="H68" s="98"/>
      <c r="I68" s="98"/>
      <c r="J68" s="98"/>
      <c r="K68" s="98"/>
      <c r="L68" s="100"/>
      <c r="M68" s="21"/>
      <c r="N68" s="21"/>
    </row>
    <row r="69" spans="1:14" x14ac:dyDescent="0.35">
      <c r="A69" s="14"/>
      <c r="C69" s="98"/>
      <c r="D69" s="98"/>
      <c r="E69" s="98"/>
      <c r="F69" s="98"/>
      <c r="G69" s="143"/>
      <c r="H69" s="143"/>
      <c r="I69" s="98"/>
      <c r="J69" s="98"/>
      <c r="K69" s="98"/>
      <c r="L69" s="100"/>
      <c r="M69" s="21"/>
      <c r="N69" s="21"/>
    </row>
    <row r="70" spans="1:14" x14ac:dyDescent="0.35">
      <c r="A70" s="14"/>
      <c r="C70" s="98"/>
      <c r="D70" s="98"/>
      <c r="E70" s="98"/>
      <c r="F70" s="98"/>
      <c r="I70" s="98"/>
      <c r="J70" s="98"/>
      <c r="K70" s="98"/>
      <c r="L70" s="100"/>
      <c r="M70" s="21"/>
      <c r="N70" s="21"/>
    </row>
    <row r="71" spans="1:14" x14ac:dyDescent="0.35">
      <c r="A71" s="14"/>
      <c r="C71" s="98"/>
      <c r="D71" s="98"/>
      <c r="E71" s="98"/>
      <c r="F71" s="98"/>
      <c r="I71" s="98"/>
      <c r="J71" s="98"/>
      <c r="K71" s="98"/>
      <c r="L71" s="100"/>
      <c r="M71" s="21"/>
      <c r="N71" s="21"/>
    </row>
    <row r="72" spans="1:14" x14ac:dyDescent="0.35">
      <c r="A72" s="14"/>
      <c r="C72" s="98"/>
      <c r="D72" s="98"/>
      <c r="E72" s="98"/>
      <c r="F72" s="98"/>
      <c r="I72" s="98"/>
      <c r="J72" s="98"/>
      <c r="K72" s="98"/>
      <c r="L72" s="100"/>
      <c r="M72" s="21"/>
      <c r="N72" s="21"/>
    </row>
    <row r="73" spans="1:14" x14ac:dyDescent="0.35">
      <c r="A73" s="143"/>
      <c r="B73" s="143"/>
      <c r="C73" s="143"/>
      <c r="D73" s="143"/>
      <c r="E73" s="143"/>
      <c r="F73" s="143"/>
      <c r="I73" s="143"/>
      <c r="J73" s="143"/>
      <c r="K73" s="143"/>
      <c r="L73" s="143"/>
      <c r="N73" s="21"/>
    </row>
  </sheetData>
  <mergeCells count="13">
    <mergeCell ref="G35:I35"/>
    <mergeCell ref="G46:I46"/>
    <mergeCell ref="G45:I45"/>
    <mergeCell ref="G57:I57"/>
    <mergeCell ref="G53:I54"/>
    <mergeCell ref="A2:N3"/>
    <mergeCell ref="G40:G42"/>
    <mergeCell ref="H40:H42"/>
    <mergeCell ref="I40:I42"/>
    <mergeCell ref="G38:I38"/>
    <mergeCell ref="B43:F50"/>
    <mergeCell ref="B38:E38"/>
    <mergeCell ref="B32:D32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80" r:id="rId4" name="ComboBox1">
          <controlPr defaultSize="0" print="0" autoLine="0" autoPict="0" linkedCell="C9" listFillRange="I4:I9" r:id="rId5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4" name="ComboBox1"/>
      </mc:Fallback>
    </mc:AlternateContent>
    <mc:AlternateContent xmlns:mc="http://schemas.openxmlformats.org/markup-compatibility/2006">
      <mc:Choice Requires="x14">
        <control shapeId="5185" r:id="rId6" name="ComboBox3">
          <controlPr defaultSize="0" print="0" autoLine="0" linkedCell="#REF!" listFillRange="#REF!" r:id="rId7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5" r:id="rId6" name="ComboBox3"/>
      </mc:Fallback>
    </mc:AlternateContent>
    <mc:AlternateContent xmlns:mc="http://schemas.openxmlformats.org/markup-compatibility/2006">
      <mc:Choice Requires="x14">
        <control shapeId="5186" r:id="rId8" name="ComboBox4">
          <controlPr defaultSize="0" print="0" autoLine="0" autoPict="0" linkedCell="#REF!" listFillRange="#REF!" r:id="rId9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6" r:id="rId8" name="ComboBox4"/>
      </mc:Fallback>
    </mc:AlternateContent>
    <mc:AlternateContent xmlns:mc="http://schemas.openxmlformats.org/markup-compatibility/2006">
      <mc:Choice Requires="x14">
        <control shapeId="5187" r:id="rId10" name="ComboBox5">
          <controlPr defaultSize="0" print="0" autoLine="0" autoPict="0" linkedCell="#REF!" listFillRange="#REF!" r:id="rId11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37</xdr:row>
                <xdr:rowOff>12700</xdr:rowOff>
              </to>
            </anchor>
          </controlPr>
        </control>
      </mc:Choice>
      <mc:Fallback>
        <control shapeId="5187" r:id="rId10" name="ComboBox5"/>
      </mc:Fallback>
    </mc:AlternateContent>
    <mc:AlternateContent xmlns:mc="http://schemas.openxmlformats.org/markup-compatibility/2006">
      <mc:Choice Requires="x14">
        <control shapeId="5188" r:id="rId12" name="ComboBox6">
          <controlPr defaultSize="0" print="0" autoLine="0" linkedCell="#REF!" listFillRange="#REF!" r:id="rId13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8" r:id="rId12" name="ComboBox6"/>
      </mc:Fallback>
    </mc:AlternateContent>
    <mc:AlternateContent xmlns:mc="http://schemas.openxmlformats.org/markup-compatibility/2006">
      <mc:Choice Requires="x14">
        <control shapeId="5189" r:id="rId14" name="ComboBox7">
          <controlPr defaultSize="0" print="0" autoLine="0" autoPict="0" linkedCell="#REF!" listFillRange="#REF!" r:id="rId15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9" r:id="rId14" name="ComboBox7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#REF!" listFillRange="#REF!" r:id="rId17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92" r:id="rId18" name="ComboBox9">
          <controlPr defaultSize="0" print="0" autoLine="0" linkedCell="#REF!" listFillRange="#REF!" r:id="rId19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2" r:id="rId18" name="ComboBox9"/>
      </mc:Fallback>
    </mc:AlternateContent>
    <mc:AlternateContent xmlns:mc="http://schemas.openxmlformats.org/markup-compatibility/2006">
      <mc:Choice Requires="x14">
        <control shapeId="5193" r:id="rId20" name="ComboBox10">
          <controlPr defaultSize="0" print="0" autoLine="0" autoPict="0" linkedCell="#REF!" listFillRange="#REF!" r:id="rId21">
            <anchor moveWithCells="1" sizeWithCells="1">
              <from>
                <xdr:col>14</xdr:col>
                <xdr:colOff>0</xdr:colOff>
                <xdr:row>37</xdr:row>
                <xdr:rowOff>12700</xdr:rowOff>
              </from>
              <to>
                <xdr:col>14</xdr:col>
                <xdr:colOff>0</xdr:colOff>
                <xdr:row>38</xdr:row>
                <xdr:rowOff>6350</xdr:rowOff>
              </to>
            </anchor>
          </controlPr>
        </control>
      </mc:Choice>
      <mc:Fallback>
        <control shapeId="5193" r:id="rId20" name="ComboBox10"/>
      </mc:Fallback>
    </mc:AlternateContent>
    <mc:AlternateContent xmlns:mc="http://schemas.openxmlformats.org/markup-compatibility/2006">
      <mc:Choice Requires="x14">
        <control shapeId="5196" r:id="rId22" name="ComboBox13">
          <controlPr defaultSize="0" print="0" autoLine="0" linkedCell="#REF!" listFillRange="#REF!" r:id="rId23">
            <anchor moveWithCells="1" sizeWithCells="1">
              <from>
                <xdr:col>14</xdr:col>
                <xdr:colOff>0</xdr:colOff>
                <xdr:row>40</xdr:row>
                <xdr:rowOff>0</xdr:rowOff>
              </from>
              <to>
                <xdr:col>14</xdr:col>
                <xdr:colOff>0</xdr:colOff>
                <xdr:row>41</xdr:row>
                <xdr:rowOff>25400</xdr:rowOff>
              </to>
            </anchor>
          </controlPr>
        </control>
      </mc:Choice>
      <mc:Fallback>
        <control shapeId="5196" r:id="rId22" name="ComboBox13"/>
      </mc:Fallback>
    </mc:AlternateContent>
    <mc:AlternateContent xmlns:mc="http://schemas.openxmlformats.org/markup-compatibility/2006">
      <mc:Choice Requires="x14">
        <control shapeId="5197" r:id="rId24" name="ComboBox11">
          <controlPr defaultSize="0" print="0" autoLine="0" linkedCell="#REF!" listFillRange="#REF!" r:id="rId25">
            <anchor moveWithCells="1" sizeWithCells="1">
              <from>
                <xdr:col>14</xdr:col>
                <xdr:colOff>0</xdr:colOff>
                <xdr:row>40</xdr:row>
                <xdr:rowOff>6350</xdr:rowOff>
              </from>
              <to>
                <xdr:col>14</xdr:col>
                <xdr:colOff>0</xdr:colOff>
                <xdr:row>41</xdr:row>
                <xdr:rowOff>19050</xdr:rowOff>
              </to>
            </anchor>
          </controlPr>
        </control>
      </mc:Choice>
      <mc:Fallback>
        <control shapeId="5197" r:id="rId24" name="ComboBox11"/>
      </mc:Fallback>
    </mc:AlternateContent>
    <mc:AlternateContent xmlns:mc="http://schemas.openxmlformats.org/markup-compatibility/2006">
      <mc:Choice Requires="x14">
        <control shapeId="5198" r:id="rId26" name="ComboBox12">
          <controlPr defaultSize="0" print="0" autoLine="0" linkedCell="#REF!" listFillRange="#REF!" r:id="rId27">
            <anchor moveWithCells="1" sizeWithCells="1">
              <from>
                <xdr:col>14</xdr:col>
                <xdr:colOff>0</xdr:colOff>
                <xdr:row>40</xdr:row>
                <xdr:rowOff>12700</xdr:rowOff>
              </from>
              <to>
                <xdr:col>14</xdr:col>
                <xdr:colOff>0</xdr:colOff>
                <xdr:row>41</xdr:row>
                <xdr:rowOff>31750</xdr:rowOff>
              </to>
            </anchor>
          </controlPr>
        </control>
      </mc:Choice>
      <mc:Fallback>
        <control shapeId="5198" r:id="rId26" name="ComboBox12"/>
      </mc:Fallback>
    </mc:AlternateContent>
    <mc:AlternateContent xmlns:mc="http://schemas.openxmlformats.org/markup-compatibility/2006">
      <mc:Choice Requires="x14">
        <control shapeId="5199" r:id="rId28" name="ComboBox2">
          <controlPr defaultSize="0" print="0" autoLine="0" linkedCell="#REF!" listFillRange="#REF!" r:id="rId29">
            <anchor moveWithCells="1" sizeWithCells="1">
              <from>
                <xdr:col>14</xdr:col>
                <xdr:colOff>0</xdr:colOff>
                <xdr:row>14</xdr:row>
                <xdr:rowOff>177800</xdr:rowOff>
              </from>
              <to>
                <xdr:col>14</xdr:col>
                <xdr:colOff>0</xdr:colOff>
                <xdr:row>16</xdr:row>
                <xdr:rowOff>25400</xdr:rowOff>
              </to>
            </anchor>
          </controlPr>
        </control>
      </mc:Choice>
      <mc:Fallback>
        <control shapeId="5199" r:id="rId28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AB71"/>
  <sheetViews>
    <sheetView showGridLines="0" zoomScale="80" zoomScaleNormal="80" workbookViewId="0">
      <pane ySplit="1" topLeftCell="A2" activePane="bottomLeft" state="frozen"/>
      <selection activeCell="X43" sqref="X43:AD140"/>
      <selection pane="bottomLeft" activeCell="E32" sqref="B29:E32"/>
    </sheetView>
  </sheetViews>
  <sheetFormatPr defaultColWidth="9.08984375" defaultRowHeight="14.5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4" width="11" style="45" customWidth="1"/>
    <col min="5" max="5" width="17.453125" style="45" customWidth="1"/>
    <col min="6" max="7" width="11" style="45" customWidth="1"/>
    <col min="8" max="8" width="16.7265625" style="45" customWidth="1"/>
    <col min="9" max="9" width="20.81640625" style="45" customWidth="1" outlineLevel="1"/>
    <col min="10" max="10" width="5.6328125" style="45" customWidth="1" outlineLevel="1"/>
    <col min="11" max="11" width="5.453125" style="45" customWidth="1" outlineLevel="1"/>
    <col min="12" max="12" width="5.54296875" style="45" customWidth="1" outlineLevel="1"/>
    <col min="13" max="13" width="5.36328125" style="41" customWidth="1" outlineLevel="1"/>
    <col min="14" max="14" width="5.1796875" style="143" customWidth="1" outlineLevel="1"/>
    <col min="15" max="15" width="5.6328125" style="143" customWidth="1" outlineLevel="1" collapsed="1"/>
    <col min="16" max="16" width="10.453125" style="3" customWidth="1"/>
    <col min="17" max="16384" width="9.08984375" style="45"/>
  </cols>
  <sheetData>
    <row r="1" spans="1:16" s="3" customFormat="1" ht="21" customHeight="1" x14ac:dyDescent="0.35">
      <c r="A1" s="340" t="s">
        <v>128</v>
      </c>
      <c r="B1" s="340"/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10"/>
    </row>
    <row r="2" spans="1:16" ht="15" thickBot="1" x14ac:dyDescent="0.35">
      <c r="A2" s="46"/>
      <c r="B2" s="111"/>
      <c r="I2" s="177" t="s">
        <v>109</v>
      </c>
      <c r="J2" s="63"/>
      <c r="K2" s="177">
        <v>2025</v>
      </c>
      <c r="L2" s="177">
        <v>2026</v>
      </c>
      <c r="M2" s="177">
        <v>2027</v>
      </c>
      <c r="N2" s="177">
        <v>2028</v>
      </c>
      <c r="O2" s="178">
        <v>2029</v>
      </c>
    </row>
    <row r="3" spans="1:16" ht="15" thickTop="1" x14ac:dyDescent="0.35">
      <c r="A3" s="63"/>
      <c r="B3"/>
      <c r="C3"/>
      <c r="D3"/>
      <c r="E3"/>
      <c r="I3" s="166" t="s">
        <v>110</v>
      </c>
      <c r="K3" s="176">
        <v>0.06</v>
      </c>
      <c r="L3" s="176">
        <f>IFERROR(K3,"")</f>
        <v>0.06</v>
      </c>
      <c r="M3" s="176">
        <f t="shared" ref="M3:O3" si="0">IFERROR(L3,"")</f>
        <v>0.06</v>
      </c>
      <c r="N3" s="176">
        <f t="shared" si="0"/>
        <v>0.06</v>
      </c>
      <c r="O3" s="176">
        <f t="shared" si="0"/>
        <v>0.06</v>
      </c>
    </row>
    <row r="4" spans="1:16" ht="14.5" customHeight="1" x14ac:dyDescent="0.35">
      <c r="A4" s="46"/>
      <c r="B4"/>
      <c r="C4"/>
      <c r="D4"/>
      <c r="E4"/>
      <c r="I4" s="166" t="s">
        <v>86</v>
      </c>
      <c r="K4" s="133">
        <v>0.16047026655059971</v>
      </c>
      <c r="L4" s="134">
        <v>0.10475297619473106</v>
      </c>
      <c r="M4" s="134">
        <v>9.6653207296289179E-2</v>
      </c>
      <c r="N4" s="161">
        <v>8.9716126219999692E-2</v>
      </c>
      <c r="O4" s="161">
        <v>8.370814949538341E-2</v>
      </c>
    </row>
    <row r="5" spans="1:16" x14ac:dyDescent="0.35">
      <c r="A5" s="46"/>
      <c r="B5"/>
      <c r="C5"/>
      <c r="D5"/>
      <c r="E5"/>
      <c r="I5" s="166" t="s">
        <v>77</v>
      </c>
      <c r="K5" s="133">
        <v>0.12837621324047976</v>
      </c>
      <c r="L5" s="134">
        <v>8.380238095578485E-2</v>
      </c>
      <c r="M5" s="134">
        <v>7.7322565837031343E-2</v>
      </c>
      <c r="N5" s="161">
        <v>7.1772900975999754E-2</v>
      </c>
      <c r="O5" s="161">
        <v>6.6966519596306728E-2</v>
      </c>
    </row>
    <row r="6" spans="1:16" ht="15" customHeight="1" x14ac:dyDescent="0.35">
      <c r="A6" s="56"/>
      <c r="B6" s="63"/>
      <c r="C6" s="63"/>
      <c r="D6" s="63"/>
      <c r="E6" s="63"/>
      <c r="I6" s="166" t="s">
        <v>78</v>
      </c>
      <c r="K6" s="133">
        <v>9.6972158805956887E-2</v>
      </c>
      <c r="L6" s="134">
        <v>6.2851785716838637E-2</v>
      </c>
      <c r="M6" s="134">
        <v>5.7991924377773507E-2</v>
      </c>
      <c r="N6" s="161">
        <v>5.3829675731999815E-2</v>
      </c>
      <c r="O6" s="161">
        <v>5.0224889697230046E-2</v>
      </c>
    </row>
    <row r="7" spans="1:16" ht="20" customHeight="1" x14ac:dyDescent="0.35">
      <c r="A7" s="46"/>
      <c r="B7" s="253" t="s">
        <v>171</v>
      </c>
      <c r="C7" s="370" t="s">
        <v>78</v>
      </c>
      <c r="D7" s="371"/>
      <c r="E7" s="112"/>
      <c r="I7" s="166" t="s">
        <v>87</v>
      </c>
      <c r="K7" s="133">
        <v>7.2729119104467665E-2</v>
      </c>
      <c r="L7" s="134">
        <v>4.7138839287628978E-2</v>
      </c>
      <c r="M7" s="134">
        <v>4.349394328333013E-2</v>
      </c>
      <c r="N7" s="161">
        <v>4.0372256798999862E-2</v>
      </c>
      <c r="O7" s="161">
        <v>3.7668667272922535E-2</v>
      </c>
    </row>
    <row r="8" spans="1:16" ht="14.5" customHeight="1" x14ac:dyDescent="0.35">
      <c r="A8" s="56"/>
      <c r="I8" s="180" t="s">
        <v>98</v>
      </c>
      <c r="J8" s="180"/>
      <c r="K8" s="180"/>
      <c r="L8" s="180"/>
      <c r="M8" s="180"/>
      <c r="N8" s="181"/>
      <c r="O8" s="167"/>
    </row>
    <row r="9" spans="1:16" ht="15" thickBot="1" x14ac:dyDescent="0.35">
      <c r="A9" s="56"/>
      <c r="B9" s="372" t="s">
        <v>85</v>
      </c>
      <c r="C9" s="372"/>
      <c r="D9" s="195">
        <f>_xlfn.XLOOKUP($C$7,$I$3:$I$7,$K$3:$K$7,"")</f>
        <v>9.6972158805956887E-2</v>
      </c>
      <c r="E9" s="195">
        <f>_xlfn.XLOOKUP($C$7,$I$3:$I$7,$L$3:$L$7,"")</f>
        <v>6.2851785716838637E-2</v>
      </c>
      <c r="F9" s="195">
        <f>_xlfn.XLOOKUP($C$7,$I$3:$I$7,$M$3:$M$7,"")</f>
        <v>5.7991924377773507E-2</v>
      </c>
      <c r="G9" s="195">
        <f>_xlfn.XLOOKUP($C$7,$I$3:$I$7,$N$3:$N$7,"")</f>
        <v>5.3829675731999815E-2</v>
      </c>
      <c r="H9" s="195">
        <f>_xlfn.XLOOKUP($C$7,$I$3:$I$7,$O$3:$O$7,"")</f>
        <v>5.0224889697230046E-2</v>
      </c>
      <c r="I9" s="59"/>
      <c r="J9" s="59"/>
      <c r="K9" s="59"/>
      <c r="M9" s="42"/>
      <c r="N9" s="3"/>
      <c r="O9" s="3"/>
    </row>
    <row r="10" spans="1:16" ht="15" thickBot="1" x14ac:dyDescent="0.4">
      <c r="A10" s="56"/>
      <c r="B10" s="205" t="s">
        <v>95</v>
      </c>
      <c r="C10" s="206">
        <v>2024</v>
      </c>
      <c r="D10" s="207">
        <v>2025</v>
      </c>
      <c r="E10" s="207">
        <v>2026</v>
      </c>
      <c r="F10" s="207">
        <v>2027</v>
      </c>
      <c r="G10" s="207">
        <v>2028</v>
      </c>
      <c r="H10" s="208">
        <v>2029</v>
      </c>
      <c r="I10" s="59"/>
      <c r="J10" s="59"/>
      <c r="K10" s="59"/>
      <c r="L10" s="113"/>
      <c r="M10" s="42"/>
      <c r="N10" s="3"/>
      <c r="O10" s="3"/>
    </row>
    <row r="11" spans="1:16" ht="16" customHeight="1" x14ac:dyDescent="0.35">
      <c r="A11" s="114"/>
      <c r="B11" s="187" t="s">
        <v>56</v>
      </c>
      <c r="C11" s="172">
        <v>61988811.160000004</v>
      </c>
      <c r="D11" s="115">
        <f>IFERROR(C11*(1+$D$9),"")</f>
        <v>68000000</v>
      </c>
      <c r="E11" s="115">
        <f>IFERROR(D11*(1+$E$9),"")</f>
        <v>72273921.428745031</v>
      </c>
      <c r="F11" s="115">
        <f>IFERROR(E11*(1+$F$9),"")</f>
        <v>76465225.214725956</v>
      </c>
      <c r="G11" s="115">
        <f>IFERROR(F11*(1+$G$9),"")</f>
        <v>80581323.492808998</v>
      </c>
      <c r="H11" s="115">
        <f>IFERROR(G11*(1+$H$9),"")</f>
        <v>84628511.576892152</v>
      </c>
      <c r="I11" s="188"/>
      <c r="J11" s="59"/>
      <c r="K11" s="59"/>
      <c r="M11" s="126"/>
      <c r="N11" s="4"/>
      <c r="O11" s="4"/>
    </row>
    <row r="12" spans="1:16" ht="15" thickBot="1" x14ac:dyDescent="0.4">
      <c r="A12" s="116"/>
      <c r="B12" s="187" t="s">
        <v>57</v>
      </c>
      <c r="C12" s="172">
        <v>37392078.449600004</v>
      </c>
      <c r="D12" s="115">
        <f>IFERROR((C12/C11)*D11,"")</f>
        <v>41018069.019099414</v>
      </c>
      <c r="E12" s="115">
        <f t="shared" ref="E12:H12" si="1">IFERROR((D12/D11)*E11,"")</f>
        <v>43596127.903606348</v>
      </c>
      <c r="F12" s="115">
        <f t="shared" si="1"/>
        <v>46124351.256156027</v>
      </c>
      <c r="G12" s="115">
        <f t="shared" si="1"/>
        <v>48607210.127623767</v>
      </c>
      <c r="H12" s="115">
        <f t="shared" si="1"/>
        <v>51048501.894773766</v>
      </c>
      <c r="I12" s="189"/>
      <c r="J12" s="59"/>
      <c r="K12" s="59"/>
      <c r="M12" s="43"/>
      <c r="N12" s="2"/>
      <c r="O12" s="2"/>
      <c r="P12" s="4"/>
    </row>
    <row r="13" spans="1:16" ht="14.5" customHeight="1" thickBot="1" x14ac:dyDescent="0.4">
      <c r="A13" s="116"/>
      <c r="B13" s="183" t="s">
        <v>6</v>
      </c>
      <c r="C13" s="184">
        <f>IFERROR(C11-C12,"")</f>
        <v>24596732.7104</v>
      </c>
      <c r="D13" s="185">
        <f>IFERROR(D11-D12,"")</f>
        <v>26981930.980900586</v>
      </c>
      <c r="E13" s="185">
        <f t="shared" ref="E13:H13" si="2">IFERROR(E11-E12,"")</f>
        <v>28677793.525138684</v>
      </c>
      <c r="F13" s="185">
        <f t="shared" si="2"/>
        <v>30340873.958569929</v>
      </c>
      <c r="G13" s="185">
        <f t="shared" si="2"/>
        <v>31974113.365185231</v>
      </c>
      <c r="H13" s="186">
        <f t="shared" si="2"/>
        <v>33580009.682118386</v>
      </c>
      <c r="I13" s="189"/>
      <c r="J13" s="59"/>
      <c r="K13" s="59"/>
      <c r="M13" s="42"/>
      <c r="N13" s="3"/>
      <c r="O13" s="3"/>
      <c r="P13" s="2"/>
    </row>
    <row r="14" spans="1:16" x14ac:dyDescent="0.35">
      <c r="A14" s="117"/>
      <c r="B14" s="63"/>
      <c r="C14" s="130"/>
      <c r="D14" s="115"/>
      <c r="E14" s="115"/>
      <c r="F14" s="115"/>
      <c r="G14" s="115"/>
      <c r="H14" s="115"/>
      <c r="I14" s="189"/>
      <c r="J14" s="59"/>
      <c r="K14" s="59"/>
      <c r="M14" s="42"/>
      <c r="N14" s="3"/>
      <c r="O14" s="3"/>
    </row>
    <row r="15" spans="1:16" x14ac:dyDescent="0.35">
      <c r="A15" s="117"/>
      <c r="B15" s="187" t="s">
        <v>58</v>
      </c>
      <c r="C15" s="171">
        <v>12389729.5623</v>
      </c>
      <c r="D15" s="119">
        <f>IFERROR((C15/C11)*D11,"")</f>
        <v>13591188.384978214</v>
      </c>
      <c r="E15" s="119">
        <f t="shared" ref="E15:H15" si="3">IFERROR((D15/D11)*E11,"")</f>
        <v>14445418.844988054</v>
      </c>
      <c r="F15" s="119">
        <f t="shared" si="3"/>
        <v>15283136.482251864</v>
      </c>
      <c r="G15" s="119">
        <f t="shared" si="3"/>
        <v>16105822.763259379</v>
      </c>
      <c r="H15" s="119">
        <f t="shared" si="3"/>
        <v>16914735.935027219</v>
      </c>
      <c r="I15" s="189"/>
      <c r="J15" s="59"/>
      <c r="K15" s="59"/>
      <c r="M15" s="3"/>
      <c r="N15" s="3"/>
      <c r="O15" s="3"/>
    </row>
    <row r="16" spans="1:16" ht="15" customHeight="1" thickBot="1" x14ac:dyDescent="0.4">
      <c r="A16" s="116"/>
      <c r="B16" s="63"/>
      <c r="C16" s="131"/>
      <c r="D16" s="65"/>
      <c r="E16" s="65"/>
      <c r="F16" s="65"/>
      <c r="G16" s="65"/>
      <c r="H16" s="65"/>
      <c r="I16" s="63"/>
      <c r="M16" s="3"/>
      <c r="N16" s="3"/>
      <c r="O16" s="3"/>
    </row>
    <row r="17" spans="1:16" ht="14.5" customHeight="1" thickBot="1" x14ac:dyDescent="0.4">
      <c r="A17" s="117"/>
      <c r="B17" s="294" t="s">
        <v>8</v>
      </c>
      <c r="C17" s="295">
        <f>IFERROR(C13-C15,"")</f>
        <v>12207003.1481</v>
      </c>
      <c r="D17" s="252">
        <f>IFERROR(D13-D15,"")</f>
        <v>13390742.595922371</v>
      </c>
      <c r="E17" s="296">
        <f t="shared" ref="E17:H17" si="4">IFERROR(E13-E15,"")</f>
        <v>14232374.68015063</v>
      </c>
      <c r="F17" s="296">
        <f t="shared" si="4"/>
        <v>15057737.476318065</v>
      </c>
      <c r="G17" s="296">
        <f t="shared" si="4"/>
        <v>15868290.601925852</v>
      </c>
      <c r="H17" s="297">
        <f t="shared" si="4"/>
        <v>16665273.747091167</v>
      </c>
      <c r="I17" s="63"/>
      <c r="M17" s="3"/>
      <c r="N17" s="3"/>
      <c r="O17" s="3"/>
    </row>
    <row r="18" spans="1:16" ht="14.5" customHeight="1" x14ac:dyDescent="0.35">
      <c r="A18"/>
      <c r="B18" s="187" t="s">
        <v>9</v>
      </c>
      <c r="C18" s="171">
        <v>1200000</v>
      </c>
      <c r="D18" s="115">
        <f>IFERROR(C$18*(1+D$9),"")</f>
        <v>1316366.5905671483</v>
      </c>
      <c r="E18" s="115">
        <f t="shared" ref="E18:H18" si="5">IFERROR(D$18*(1+E$9),"")</f>
        <v>1399102.5814422802</v>
      </c>
      <c r="F18" s="115">
        <f t="shared" si="5"/>
        <v>1480239.2325420287</v>
      </c>
      <c r="G18" s="115">
        <f t="shared" si="5"/>
        <v>1559920.0304355503</v>
      </c>
      <c r="H18" s="115">
        <f t="shared" si="5"/>
        <v>1638266.8419006758</v>
      </c>
      <c r="I18" s="152"/>
      <c r="J18"/>
      <c r="K18"/>
      <c r="L18"/>
      <c r="M18"/>
      <c r="N18"/>
      <c r="O18"/>
      <c r="P18"/>
    </row>
    <row r="19" spans="1:16" ht="14.5" customHeight="1" thickBot="1" x14ac:dyDescent="0.4">
      <c r="A19"/>
      <c r="B19" s="187" t="s">
        <v>10</v>
      </c>
      <c r="C19" s="172">
        <v>40000</v>
      </c>
      <c r="D19" s="115">
        <f>IFERROR(C19,"")</f>
        <v>40000</v>
      </c>
      <c r="E19" s="115">
        <f t="shared" ref="E19:H19" si="6">IFERROR(D19,"")</f>
        <v>40000</v>
      </c>
      <c r="F19" s="115">
        <f t="shared" si="6"/>
        <v>40000</v>
      </c>
      <c r="G19" s="115">
        <f t="shared" si="6"/>
        <v>40000</v>
      </c>
      <c r="H19" s="115">
        <f t="shared" si="6"/>
        <v>40000</v>
      </c>
      <c r="I19" s="152"/>
      <c r="J19"/>
      <c r="K19"/>
      <c r="L19"/>
      <c r="M19"/>
      <c r="N19"/>
      <c r="O19"/>
      <c r="P19"/>
    </row>
    <row r="20" spans="1:16" ht="15" customHeight="1" thickBot="1" x14ac:dyDescent="0.4">
      <c r="A20"/>
      <c r="B20" s="231" t="s">
        <v>11</v>
      </c>
      <c r="C20" s="232">
        <f>C17-C18-C19</f>
        <v>10967003.1481</v>
      </c>
      <c r="D20" s="232">
        <f>IFERROR(D17-D18-D19,"")</f>
        <v>12034376.005355224</v>
      </c>
      <c r="E20" s="232">
        <f t="shared" ref="E20:H20" si="7">IFERROR(E17-E18-E19,"")</f>
        <v>12793272.09870835</v>
      </c>
      <c r="F20" s="232">
        <f t="shared" si="7"/>
        <v>13537498.243776036</v>
      </c>
      <c r="G20" s="232">
        <f t="shared" si="7"/>
        <v>14268370.571490301</v>
      </c>
      <c r="H20" s="233">
        <f t="shared" si="7"/>
        <v>14987006.90519049</v>
      </c>
      <c r="I20" s="152"/>
      <c r="J20"/>
      <c r="K20"/>
      <c r="L20"/>
      <c r="M20"/>
      <c r="N20"/>
      <c r="O20"/>
      <c r="P20"/>
    </row>
    <row r="21" spans="1:16" x14ac:dyDescent="0.35">
      <c r="A21"/>
      <c r="C21" s="234"/>
      <c r="I21" s="152"/>
      <c r="J21"/>
      <c r="K21"/>
      <c r="L21"/>
      <c r="M21"/>
      <c r="N21"/>
      <c r="O21"/>
      <c r="P21"/>
    </row>
    <row r="22" spans="1:16" ht="15" customHeight="1" thickBot="1" x14ac:dyDescent="0.4">
      <c r="A22"/>
      <c r="B22" s="187" t="s">
        <v>12</v>
      </c>
      <c r="C22" s="172">
        <v>600000</v>
      </c>
      <c r="D22" s="115">
        <f>IFERROR(C22,"")</f>
        <v>600000</v>
      </c>
      <c r="E22" s="115">
        <f t="shared" ref="E22:H22" si="8">IFERROR(D22,"")</f>
        <v>600000</v>
      </c>
      <c r="F22" s="115">
        <f t="shared" si="8"/>
        <v>600000</v>
      </c>
      <c r="G22" s="115">
        <f t="shared" si="8"/>
        <v>600000</v>
      </c>
      <c r="H22" s="115">
        <f t="shared" si="8"/>
        <v>600000</v>
      </c>
      <c r="I22" s="152"/>
      <c r="J22"/>
      <c r="K22"/>
      <c r="L22"/>
      <c r="M22"/>
      <c r="N22"/>
      <c r="O22"/>
      <c r="P22"/>
    </row>
    <row r="23" spans="1:16" ht="15" thickBot="1" x14ac:dyDescent="0.4">
      <c r="A23"/>
      <c r="B23" s="231" t="s">
        <v>13</v>
      </c>
      <c r="C23" s="232">
        <f>C20-C22</f>
        <v>10367003.1481</v>
      </c>
      <c r="D23" s="232">
        <f>IFERROR(D20-D22,"")</f>
        <v>11434376.005355224</v>
      </c>
      <c r="E23" s="232">
        <f t="shared" ref="E23:H23" si="9">IFERROR(E20-E22,"")</f>
        <v>12193272.09870835</v>
      </c>
      <c r="F23" s="232">
        <f t="shared" si="9"/>
        <v>12937498.243776036</v>
      </c>
      <c r="G23" s="232">
        <f t="shared" si="9"/>
        <v>13668370.571490301</v>
      </c>
      <c r="H23" s="233">
        <f t="shared" si="9"/>
        <v>14387006.90519049</v>
      </c>
      <c r="I23" s="152"/>
      <c r="J23"/>
      <c r="K23"/>
      <c r="L23"/>
      <c r="M23"/>
      <c r="N23"/>
      <c r="O23"/>
      <c r="P23"/>
    </row>
    <row r="24" spans="1:16" ht="14" customHeight="1" thickBot="1" x14ac:dyDescent="0.4">
      <c r="A24"/>
      <c r="B24" s="187" t="s">
        <v>127</v>
      </c>
      <c r="C24" s="230">
        <v>152355.04722149999</v>
      </c>
      <c r="D24" s="115">
        <f>IFERROR(D$23*1.5%,"")</f>
        <v>171515.64008032836</v>
      </c>
      <c r="E24" s="115">
        <f t="shared" ref="E24:H24" si="10">IFERROR(E$23*1.5%,"")</f>
        <v>182899.08148062526</v>
      </c>
      <c r="F24" s="115">
        <f t="shared" si="10"/>
        <v>194062.47365664053</v>
      </c>
      <c r="G24" s="115">
        <f t="shared" si="10"/>
        <v>205025.55857235449</v>
      </c>
      <c r="H24" s="115">
        <f t="shared" si="10"/>
        <v>215805.10357785734</v>
      </c>
      <c r="I24" s="152"/>
      <c r="J24"/>
      <c r="K24"/>
      <c r="L24"/>
      <c r="M24"/>
      <c r="N24"/>
      <c r="O24"/>
      <c r="P24"/>
    </row>
    <row r="25" spans="1:16" ht="15.5" customHeight="1" thickBot="1" x14ac:dyDescent="0.4">
      <c r="A25"/>
      <c r="B25" s="231" t="s">
        <v>72</v>
      </c>
      <c r="C25" s="232">
        <f>IFERROR(C23-C24,"")</f>
        <v>10214648.100878499</v>
      </c>
      <c r="D25" s="232">
        <f t="shared" ref="D25:H25" si="11">IFERROR(D23-D24,"")</f>
        <v>11262860.365274895</v>
      </c>
      <c r="E25" s="232">
        <f t="shared" si="11"/>
        <v>12010373.017227724</v>
      </c>
      <c r="F25" s="232">
        <f t="shared" si="11"/>
        <v>12743435.770119395</v>
      </c>
      <c r="G25" s="232">
        <f t="shared" si="11"/>
        <v>13463345.012917947</v>
      </c>
      <c r="H25" s="233">
        <f t="shared" si="11"/>
        <v>14171201.801612632</v>
      </c>
      <c r="I25" s="152"/>
      <c r="J25"/>
      <c r="K25"/>
      <c r="L25"/>
      <c r="M25"/>
      <c r="N25"/>
      <c r="O25"/>
      <c r="P25"/>
    </row>
    <row r="26" spans="1:16" s="48" customFormat="1" ht="16" customHeight="1" x14ac:dyDescent="0.35">
      <c r="A26"/>
      <c r="B26" s="152"/>
      <c r="C26" s="152"/>
      <c r="D26" s="152"/>
      <c r="E26" s="152"/>
      <c r="F26" s="152"/>
      <c r="G26" s="152"/>
      <c r="H26" s="152"/>
      <c r="I26" s="152"/>
      <c r="J26"/>
      <c r="K26"/>
      <c r="L26"/>
      <c r="M26"/>
      <c r="N26"/>
      <c r="O26"/>
      <c r="P26"/>
    </row>
    <row r="27" spans="1:16" ht="18" customHeight="1" thickBot="1" x14ac:dyDescent="0.4">
      <c r="A27"/>
      <c r="B27" s="152"/>
      <c r="C27" s="152"/>
      <c r="D27" s="152"/>
      <c r="E27" s="152"/>
      <c r="F27" s="152"/>
      <c r="G27" s="152"/>
      <c r="H27" s="152"/>
      <c r="I27" s="152"/>
      <c r="J27"/>
      <c r="K27"/>
      <c r="L27"/>
      <c r="M27"/>
      <c r="N27"/>
      <c r="O27"/>
      <c r="P27"/>
    </row>
    <row r="28" spans="1:16" ht="14.5" customHeight="1" thickBot="1" x14ac:dyDescent="0.4">
      <c r="A28"/>
      <c r="B28" s="359" t="s">
        <v>170</v>
      </c>
      <c r="C28" s="360"/>
      <c r="D28" s="360"/>
      <c r="E28" s="361"/>
      <c r="F28" s="152"/>
      <c r="G28" s="152"/>
      <c r="H28" s="152"/>
      <c r="I28" s="152"/>
      <c r="J28"/>
      <c r="K28"/>
      <c r="L28"/>
      <c r="M28"/>
      <c r="N28"/>
      <c r="O28"/>
      <c r="P28"/>
    </row>
    <row r="29" spans="1:16" ht="30.5" customHeight="1" thickBot="1" x14ac:dyDescent="0.4">
      <c r="A29"/>
      <c r="B29" s="223" t="s">
        <v>168</v>
      </c>
      <c r="C29" s="224" t="s">
        <v>71</v>
      </c>
      <c r="D29" s="224" t="s">
        <v>83</v>
      </c>
      <c r="E29" s="225" t="s">
        <v>68</v>
      </c>
      <c r="F29" s="152"/>
      <c r="G29" s="152"/>
      <c r="H29" s="152"/>
      <c r="I29" s="152"/>
      <c r="J29"/>
      <c r="K29"/>
      <c r="L29"/>
      <c r="M29"/>
      <c r="N29"/>
      <c r="O29"/>
      <c r="P29"/>
    </row>
    <row r="30" spans="1:16" ht="15" customHeight="1" thickBot="1" x14ac:dyDescent="0.4">
      <c r="A30"/>
      <c r="B30" s="193">
        <f>IFERROR(B31*C30,"")</f>
        <v>12.051668336330135</v>
      </c>
      <c r="C30" s="191">
        <v>0.9</v>
      </c>
      <c r="D30" s="191">
        <v>0.5</v>
      </c>
      <c r="E30" s="137" t="s">
        <v>69</v>
      </c>
      <c r="F30" s="152"/>
      <c r="G30" s="152"/>
      <c r="H30" s="152"/>
      <c r="I30" s="152"/>
      <c r="J30"/>
      <c r="K30"/>
      <c r="L30"/>
      <c r="M30"/>
      <c r="N30"/>
      <c r="O30"/>
      <c r="P30"/>
    </row>
    <row r="31" spans="1:16" ht="15.5" customHeight="1" thickBot="1" x14ac:dyDescent="0.4">
      <c r="A31"/>
      <c r="B31" s="251">
        <f>IFERROR(($D$17)/1000000,"")</f>
        <v>13.390742595922372</v>
      </c>
      <c r="C31" s="141">
        <v>1</v>
      </c>
      <c r="D31" s="129">
        <v>1</v>
      </c>
      <c r="E31" s="204" t="s">
        <v>70</v>
      </c>
      <c r="F31" s="152"/>
      <c r="G31" s="152"/>
      <c r="H31" s="152"/>
      <c r="I31" s="152"/>
      <c r="J31"/>
      <c r="K31"/>
      <c r="L31"/>
      <c r="M31"/>
      <c r="N31"/>
      <c r="O31"/>
      <c r="P31"/>
    </row>
    <row r="32" spans="1:16" ht="15.5" customHeight="1" x14ac:dyDescent="0.35">
      <c r="A32"/>
      <c r="B32" s="194">
        <f>IFERROR($B$31*$C$32,"")</f>
        <v>14.72981685551461</v>
      </c>
      <c r="C32" s="192">
        <v>1.1000000000000001</v>
      </c>
      <c r="D32" s="192">
        <v>1.5</v>
      </c>
      <c r="E32" s="138" t="s">
        <v>89</v>
      </c>
      <c r="F32"/>
      <c r="G32"/>
      <c r="H32"/>
      <c r="I32"/>
      <c r="J32"/>
      <c r="K32"/>
      <c r="L32"/>
      <c r="M32"/>
      <c r="N32"/>
      <c r="O32"/>
      <c r="P32"/>
    </row>
    <row r="33" spans="1:16" ht="14" customHeight="1" x14ac:dyDescent="0.35">
      <c r="A33"/>
      <c r="B33" s="368" t="s">
        <v>191</v>
      </c>
      <c r="C33" s="368"/>
      <c r="D33" s="368"/>
      <c r="E33" s="368"/>
      <c r="F33"/>
      <c r="G33"/>
      <c r="H33"/>
      <c r="I33"/>
      <c r="J33"/>
      <c r="K33"/>
      <c r="L33"/>
      <c r="M33"/>
      <c r="N33"/>
      <c r="O33"/>
      <c r="P33"/>
    </row>
    <row r="34" spans="1:16" ht="14" customHeight="1" x14ac:dyDescent="0.35">
      <c r="A34"/>
      <c r="B34" s="369"/>
      <c r="C34" s="369"/>
      <c r="D34" s="369"/>
      <c r="E34" s="369"/>
      <c r="F34"/>
      <c r="G34"/>
      <c r="H34"/>
      <c r="I34"/>
      <c r="J34"/>
      <c r="K34"/>
      <c r="L34"/>
      <c r="M34"/>
      <c r="N34"/>
      <c r="O34"/>
      <c r="P34"/>
    </row>
    <row r="35" spans="1:16" ht="16.5" customHeight="1" x14ac:dyDescent="0.35">
      <c r="A35"/>
      <c r="B35" s="369"/>
      <c r="C35" s="369"/>
      <c r="D35" s="369"/>
      <c r="E35" s="369"/>
      <c r="F35"/>
      <c r="G35"/>
      <c r="H35"/>
      <c r="I35"/>
      <c r="J35"/>
      <c r="K35"/>
      <c r="L35"/>
      <c r="M35"/>
      <c r="N35"/>
      <c r="O35"/>
      <c r="P35"/>
    </row>
    <row r="36" spans="1:16" ht="18.5" customHeight="1" x14ac:dyDescent="0.35">
      <c r="A36"/>
      <c r="B36" s="369"/>
      <c r="C36" s="369"/>
      <c r="D36" s="369"/>
      <c r="E36" s="369"/>
      <c r="F36" s="300" t="s">
        <v>166</v>
      </c>
      <c r="G36" s="300"/>
      <c r="H36" s="300"/>
      <c r="I36" s="300"/>
      <c r="J36"/>
      <c r="K36"/>
      <c r="L36"/>
      <c r="M36"/>
      <c r="N36"/>
      <c r="O36"/>
      <c r="P36"/>
    </row>
    <row r="37" spans="1:16" ht="16" customHeight="1" x14ac:dyDescent="0.35">
      <c r="A37"/>
      <c r="B37" s="369"/>
      <c r="C37" s="369"/>
      <c r="D37" s="369"/>
      <c r="E37" s="369"/>
      <c r="F37"/>
      <c r="G37"/>
      <c r="H37"/>
      <c r="I37"/>
      <c r="J37"/>
      <c r="K37"/>
      <c r="L37"/>
      <c r="M37"/>
      <c r="N37"/>
      <c r="O37"/>
      <c r="P37"/>
    </row>
    <row r="38" spans="1:16" ht="15" thickBot="1" x14ac:dyDescent="0.4">
      <c r="B38" s="369"/>
      <c r="C38" s="369"/>
      <c r="D38" s="369"/>
      <c r="E38" s="369"/>
      <c r="M38" s="140"/>
      <c r="N38" s="45"/>
      <c r="O38" s="45"/>
      <c r="P38" s="2"/>
    </row>
    <row r="39" spans="1:16" ht="15" customHeight="1" thickBot="1" x14ac:dyDescent="0.4">
      <c r="B39" s="369"/>
      <c r="C39" s="369"/>
      <c r="D39" s="369"/>
      <c r="E39" s="369"/>
      <c r="F39" s="362" t="s">
        <v>169</v>
      </c>
      <c r="G39" s="363"/>
      <c r="H39" s="364"/>
      <c r="M39" s="45"/>
      <c r="N39" s="45"/>
      <c r="O39" s="45"/>
      <c r="P39" s="2"/>
    </row>
    <row r="40" spans="1:16" ht="26.5" thickBot="1" x14ac:dyDescent="0.35">
      <c r="B40" s="369"/>
      <c r="C40" s="369"/>
      <c r="D40" s="369"/>
      <c r="E40" s="369"/>
      <c r="F40" s="223" t="s">
        <v>172</v>
      </c>
      <c r="G40" s="226" t="s">
        <v>90</v>
      </c>
      <c r="H40" s="226" t="s">
        <v>91</v>
      </c>
      <c r="M40" s="45"/>
      <c r="N40" s="45"/>
      <c r="O40" s="45"/>
      <c r="P40" s="2"/>
    </row>
    <row r="41" spans="1:16" s="46" customFormat="1" ht="14.65" customHeight="1" x14ac:dyDescent="0.35">
      <c r="B41" s="369"/>
      <c r="C41" s="369"/>
      <c r="D41" s="369"/>
      <c r="E41" s="369"/>
      <c r="F41" s="319">
        <v>12.7</v>
      </c>
      <c r="G41" s="365">
        <f>IFERROR(F41/(B31),"")</f>
        <v>0.94841640850204145</v>
      </c>
      <c r="H41" s="325" t="str">
        <f>IFERROR((IF(ISNUMBER(G41),
IF(G41&lt;C30,0,
IF(G41&lt;C31,D30+(G41-C30)*(D31-D30)/(C31-C30),
IF(G41&lt;C32,D31+(G41-C31)*(D32-D31)/(C32-C31),
D32))),
0))*#REF!,"")</f>
        <v/>
      </c>
      <c r="K41" s="47"/>
      <c r="L41" s="122"/>
      <c r="M41" s="42"/>
      <c r="N41" s="2"/>
      <c r="O41" s="2"/>
      <c r="P41" s="2"/>
    </row>
    <row r="42" spans="1:16" ht="14.5" customHeight="1" x14ac:dyDescent="0.35">
      <c r="F42" s="320"/>
      <c r="G42" s="366"/>
      <c r="H42" s="326"/>
      <c r="M42" s="45"/>
      <c r="N42" s="45"/>
      <c r="O42" s="45"/>
      <c r="P42" s="2"/>
    </row>
    <row r="43" spans="1:16" ht="16" customHeight="1" thickBot="1" x14ac:dyDescent="0.4">
      <c r="F43" s="321"/>
      <c r="G43" s="367"/>
      <c r="H43" s="327"/>
      <c r="K43" s="47"/>
      <c r="M43" s="45"/>
      <c r="N43" s="45"/>
      <c r="O43" s="45"/>
      <c r="P43" s="2"/>
    </row>
    <row r="44" spans="1:16" ht="15" customHeight="1" x14ac:dyDescent="0.35">
      <c r="M44" s="127"/>
      <c r="N44" s="2"/>
      <c r="O44" s="2"/>
      <c r="P44" s="2"/>
    </row>
    <row r="45" spans="1:16" ht="16" customHeight="1" x14ac:dyDescent="0.35">
      <c r="B45" s="46"/>
      <c r="M45" s="42"/>
      <c r="N45" s="2"/>
      <c r="O45" s="2"/>
      <c r="P45" s="2"/>
    </row>
    <row r="46" spans="1:16" s="46" customFormat="1" ht="14.25" customHeight="1" x14ac:dyDescent="0.35">
      <c r="F46" s="45"/>
      <c r="G46" s="45"/>
      <c r="H46" s="45"/>
      <c r="K46" s="47"/>
      <c r="L46" s="122"/>
      <c r="M46" s="42"/>
      <c r="N46" s="2"/>
      <c r="O46" s="2"/>
      <c r="P46" s="2"/>
    </row>
    <row r="47" spans="1:16" s="46" customFormat="1" ht="14.25" customHeight="1" x14ac:dyDescent="0.35">
      <c r="F47" s="315" t="s">
        <v>162</v>
      </c>
      <c r="G47" s="315"/>
      <c r="H47" s="315"/>
      <c r="K47" s="47"/>
      <c r="L47" s="122"/>
      <c r="M47" s="42"/>
      <c r="N47" s="2"/>
      <c r="O47" s="2"/>
      <c r="P47" s="2"/>
    </row>
    <row r="48" spans="1:16" s="46" customFormat="1" ht="14.25" customHeight="1" x14ac:dyDescent="0.35">
      <c r="B48" s="47"/>
      <c r="F48" s="312" t="s">
        <v>88</v>
      </c>
      <c r="G48" s="313"/>
      <c r="H48" s="314"/>
      <c r="K48" s="47"/>
      <c r="L48" s="122"/>
      <c r="M48" s="42"/>
      <c r="N48" s="2"/>
      <c r="O48" s="2"/>
      <c r="P48" s="2"/>
    </row>
    <row r="49" spans="1:16" s="47" customFormat="1" ht="14.65" customHeight="1" x14ac:dyDescent="0.35">
      <c r="F49" s="271" t="s">
        <v>80</v>
      </c>
      <c r="G49" s="272"/>
      <c r="H49" s="262" t="e">
        <f>#REF!</f>
        <v>#REF!</v>
      </c>
      <c r="K49" s="123"/>
      <c r="L49" s="123"/>
      <c r="M49" s="97"/>
      <c r="N49" s="2"/>
      <c r="O49" s="2"/>
      <c r="P49" s="2"/>
    </row>
    <row r="50" spans="1:16" s="47" customFormat="1" x14ac:dyDescent="0.35">
      <c r="B50" s="45"/>
      <c r="F50" s="273" t="s">
        <v>163</v>
      </c>
      <c r="G50" s="250"/>
      <c r="H50" s="263" t="e">
        <f>#REF!</f>
        <v>#REF!</v>
      </c>
      <c r="K50" s="123"/>
      <c r="L50" s="123"/>
      <c r="M50" s="97"/>
      <c r="N50" s="2"/>
      <c r="O50" s="2"/>
      <c r="P50" s="2"/>
    </row>
    <row r="51" spans="1:16" ht="15" customHeight="1" thickBot="1" x14ac:dyDescent="0.4">
      <c r="B51" s="98"/>
      <c r="F51" s="255" t="s">
        <v>164</v>
      </c>
      <c r="G51" s="46"/>
      <c r="H51" s="258" t="e">
        <f>H50*H49</f>
        <v>#REF!</v>
      </c>
      <c r="K51" s="98"/>
      <c r="L51" s="98"/>
      <c r="M51" s="97"/>
      <c r="N51" s="2"/>
      <c r="O51" s="2"/>
      <c r="P51" s="2"/>
    </row>
    <row r="52" spans="1:16" ht="14.5" customHeight="1" thickTop="1" x14ac:dyDescent="0.35">
      <c r="A52" s="14"/>
      <c r="F52" s="274" t="s">
        <v>76</v>
      </c>
      <c r="G52" s="275"/>
      <c r="H52" s="264" t="str">
        <f>IFERROR(H51+H49,"")</f>
        <v/>
      </c>
      <c r="I52" s="132"/>
      <c r="K52" s="98"/>
      <c r="L52" s="98"/>
      <c r="M52" s="97"/>
      <c r="N52" s="2"/>
      <c r="O52" s="2"/>
      <c r="P52" s="2"/>
    </row>
    <row r="53" spans="1:16" ht="14.5" customHeight="1" thickBot="1" x14ac:dyDescent="0.4">
      <c r="A53" s="14"/>
      <c r="F53" s="273" t="s">
        <v>174</v>
      </c>
      <c r="G53" s="250"/>
      <c r="H53" s="265" t="str">
        <f>H41</f>
        <v/>
      </c>
      <c r="I53" s="98"/>
      <c r="J53" s="98"/>
      <c r="K53" s="98"/>
      <c r="L53" s="98"/>
      <c r="M53" s="97"/>
      <c r="N53" s="2"/>
      <c r="O53" s="2"/>
      <c r="P53" s="45"/>
    </row>
    <row r="54" spans="1:16" ht="15.5" customHeight="1" thickTop="1" x14ac:dyDescent="0.35">
      <c r="A54" s="14"/>
      <c r="F54" s="276" t="s">
        <v>75</v>
      </c>
      <c r="G54" s="277"/>
      <c r="H54" s="266" t="str">
        <f>IFERROR(H53+H52,"")</f>
        <v/>
      </c>
      <c r="I54" s="98"/>
      <c r="J54" s="98"/>
      <c r="K54" s="98"/>
      <c r="L54" s="98"/>
      <c r="M54" s="97"/>
      <c r="N54" s="2"/>
      <c r="O54" s="2"/>
      <c r="P54" s="45"/>
    </row>
    <row r="55" spans="1:16" ht="14.5" customHeight="1" x14ac:dyDescent="0.35">
      <c r="A55" s="14"/>
      <c r="F55" s="332" t="s">
        <v>188</v>
      </c>
      <c r="G55" s="332"/>
      <c r="H55" s="332"/>
      <c r="I55" s="98"/>
      <c r="J55" s="98"/>
      <c r="K55" s="98"/>
      <c r="L55" s="98"/>
      <c r="M55" s="97"/>
      <c r="N55" s="2"/>
      <c r="O55" s="2"/>
      <c r="P55" s="45"/>
    </row>
    <row r="56" spans="1:16" x14ac:dyDescent="0.35">
      <c r="A56" s="14"/>
      <c r="B56" s="98"/>
      <c r="F56" s="333"/>
      <c r="G56" s="333"/>
      <c r="H56" s="333"/>
      <c r="I56" s="132"/>
      <c r="K56" s="98"/>
      <c r="L56" s="98"/>
      <c r="M56" s="97"/>
      <c r="N56" s="2"/>
      <c r="O56" s="2"/>
      <c r="P56" s="2"/>
    </row>
    <row r="57" spans="1:16" x14ac:dyDescent="0.35">
      <c r="A57" s="14"/>
      <c r="C57" s="98"/>
      <c r="D57" s="98"/>
      <c r="E57" s="98"/>
      <c r="F57" s="333"/>
      <c r="G57" s="333"/>
      <c r="H57" s="333"/>
      <c r="I57" s="98"/>
      <c r="J57" s="98"/>
      <c r="K57" s="98"/>
      <c r="L57" s="98"/>
      <c r="M57" s="97"/>
      <c r="N57" s="2"/>
      <c r="O57" s="2"/>
      <c r="P57" s="45"/>
    </row>
    <row r="58" spans="1:16" ht="16" customHeight="1" x14ac:dyDescent="0.35">
      <c r="F58" s="333"/>
      <c r="G58" s="333"/>
      <c r="H58" s="333"/>
      <c r="M58" s="45"/>
      <c r="N58" s="45"/>
      <c r="O58" s="45"/>
      <c r="P58" s="2"/>
    </row>
    <row r="59" spans="1:16" x14ac:dyDescent="0.35">
      <c r="A59" s="116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7"/>
      <c r="N59" s="2"/>
      <c r="O59" s="2"/>
      <c r="P59" s="45"/>
    </row>
    <row r="60" spans="1:16" x14ac:dyDescent="0.35">
      <c r="A60" s="14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7"/>
      <c r="N60" s="2"/>
      <c r="O60" s="2"/>
      <c r="P60" s="45"/>
    </row>
    <row r="61" spans="1:16" s="156" customFormat="1" x14ac:dyDescent="0.35">
      <c r="A61" s="14"/>
      <c r="B61" s="45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7"/>
      <c r="N61" s="2"/>
      <c r="O61" s="2"/>
      <c r="P61" s="45"/>
    </row>
    <row r="62" spans="1:16" s="156" customFormat="1" x14ac:dyDescent="0.35">
      <c r="A62" s="14"/>
      <c r="B62" s="45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7"/>
      <c r="N62" s="2"/>
      <c r="O62" s="2"/>
      <c r="P62" s="45"/>
    </row>
    <row r="63" spans="1:16" s="156" customFormat="1" x14ac:dyDescent="0.35">
      <c r="A63" s="14"/>
      <c r="B63" s="45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7"/>
      <c r="N63" s="21"/>
      <c r="O63" s="21"/>
      <c r="P63" s="45"/>
    </row>
    <row r="64" spans="1:16" s="156" customFormat="1" x14ac:dyDescent="0.35">
      <c r="A64" s="9"/>
      <c r="B64" s="45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9"/>
      <c r="N64" s="21"/>
      <c r="O64" s="21"/>
      <c r="P64" s="45"/>
    </row>
    <row r="65" spans="1:16" s="156" customFormat="1" x14ac:dyDescent="0.35">
      <c r="A65" s="14"/>
      <c r="B65" s="45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7"/>
      <c r="N65" s="179"/>
      <c r="O65" s="179"/>
      <c r="P65" s="45"/>
    </row>
    <row r="66" spans="1:16" s="156" customFormat="1" x14ac:dyDescent="0.35">
      <c r="A66" s="14"/>
      <c r="B66" s="45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100"/>
      <c r="N66" s="21"/>
      <c r="O66" s="21"/>
      <c r="P66" s="45"/>
    </row>
    <row r="67" spans="1:16" s="156" customFormat="1" x14ac:dyDescent="0.35">
      <c r="A67" s="14"/>
      <c r="B67" s="45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100"/>
      <c r="N67" s="21"/>
      <c r="O67" s="21"/>
      <c r="P67" s="45"/>
    </row>
    <row r="68" spans="1:16" s="156" customFormat="1" x14ac:dyDescent="0.35">
      <c r="A68" s="14"/>
      <c r="B68" s="45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100"/>
      <c r="N68" s="21"/>
      <c r="O68" s="21"/>
      <c r="P68" s="45"/>
    </row>
    <row r="69" spans="1:16" s="156" customFormat="1" x14ac:dyDescent="0.35">
      <c r="A69" s="14"/>
      <c r="B69" s="45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100"/>
      <c r="N69" s="21"/>
      <c r="O69" s="21"/>
      <c r="P69" s="45"/>
    </row>
    <row r="70" spans="1:16" s="156" customFormat="1" x14ac:dyDescent="0.35">
      <c r="A70" s="14"/>
      <c r="B70" s="45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100"/>
      <c r="N70" s="21"/>
      <c r="O70" s="21"/>
      <c r="P70" s="45"/>
    </row>
    <row r="71" spans="1:16" s="156" customFormat="1" x14ac:dyDescent="0.3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21"/>
      <c r="P71" s="45"/>
    </row>
  </sheetData>
  <mergeCells count="12">
    <mergeCell ref="C7:D7"/>
    <mergeCell ref="B9:C9"/>
    <mergeCell ref="B28:E28"/>
    <mergeCell ref="F39:H39"/>
    <mergeCell ref="F41:F43"/>
    <mergeCell ref="G41:G43"/>
    <mergeCell ref="H41:H43"/>
    <mergeCell ref="B33:E41"/>
    <mergeCell ref="A1:O1"/>
    <mergeCell ref="F47:H47"/>
    <mergeCell ref="F48:H48"/>
    <mergeCell ref="F55:H58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omboBox1">
          <controlPr defaultSize="0" print="0" autoLine="0" linkedCell="C7" listFillRange="I2:I7" r:id="rId5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65" r:id="rId4" name="ComboBox1"/>
      </mc:Fallback>
    </mc:AlternateContent>
    <mc:AlternateContent xmlns:mc="http://schemas.openxmlformats.org/markup-compatibility/2006">
      <mc:Choice Requires="x14">
        <control shapeId="11266" r:id="rId6" name="ComboBox2">
          <controlPr defaultSize="0" print="0" autoLine="0" linkedCell="#REF!" listFillRange="#REF!" r:id="rId7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6" r:id="rId6" name="ComboBox2"/>
      </mc:Fallback>
    </mc:AlternateContent>
    <mc:AlternateContent xmlns:mc="http://schemas.openxmlformats.org/markup-compatibility/2006">
      <mc:Choice Requires="x14">
        <control shapeId="11267" r:id="rId8" name="ComboBox3">
          <controlPr defaultSize="0" print="0" autoLine="0" linkedCell="#REF!" listFillRange="#REF!" r:id="rId9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7" r:id="rId8" name="ComboBox3"/>
      </mc:Fallback>
    </mc:AlternateContent>
    <mc:AlternateContent xmlns:mc="http://schemas.openxmlformats.org/markup-compatibility/2006">
      <mc:Choice Requires="x14">
        <control shapeId="11268" r:id="rId10" name="ComboBox4">
          <controlPr defaultSize="0" print="0" autoLine="0" linkedCell="#REF!" listFillRange="#REF!" r:id="rId11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8" r:id="rId10" name="ComboBox4"/>
      </mc:Fallback>
    </mc:AlternateContent>
    <mc:AlternateContent xmlns:mc="http://schemas.openxmlformats.org/markup-compatibility/2006">
      <mc:Choice Requires="x14">
        <control shapeId="11269" r:id="rId12" name="ComboBox5">
          <controlPr defaultSize="0" print="0" autoLine="0" linkedCell="#REF!" listFillRange="#REF!" r:id="rId13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69" r:id="rId12" name="ComboBox5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print="0" autoLine="0" linkedCell="#REF!" listFillRange="#REF!" r:id="rId15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#REF!" listFillRange="#REF!" r:id="rId17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2" r:id="rId18" name="ComboBox8">
          <controlPr defaultSize="0" print="0" autoLine="0" linkedCell="#REF!" listFillRange="#REF!" r:id="rId19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2" r:id="rId18" name="ComboBox8"/>
      </mc:Fallback>
    </mc:AlternateContent>
    <mc:AlternateContent xmlns:mc="http://schemas.openxmlformats.org/markup-compatibility/2006">
      <mc:Choice Requires="x14">
        <control shapeId="11273" r:id="rId20" name="ComboBox9">
          <controlPr defaultSize="0" print="0" autoLine="0" linkedCell="#REF!" listFillRange="#REF!" r:id="rId21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3" r:id="rId20" name="ComboBox9"/>
      </mc:Fallback>
    </mc:AlternateContent>
    <mc:AlternateContent xmlns:mc="http://schemas.openxmlformats.org/markup-compatibility/2006">
      <mc:Choice Requires="x14">
        <control shapeId="11274" r:id="rId22" name="ComboBox10">
          <controlPr defaultSize="0" print="0" autoLine="0" linkedCell="#REF!" listFillRange="#REF!" r:id="rId23">
            <anchor moveWithCells="1" sizeWithCells="1">
              <from>
                <xdr:col>16</xdr:col>
                <xdr:colOff>0</xdr:colOff>
                <xdr:row>34</xdr:row>
                <xdr:rowOff>12700</xdr:rowOff>
              </from>
              <to>
                <xdr:col>16</xdr:col>
                <xdr:colOff>0</xdr:colOff>
                <xdr:row>35</xdr:row>
                <xdr:rowOff>6350</xdr:rowOff>
              </to>
            </anchor>
          </controlPr>
        </control>
      </mc:Choice>
      <mc:Fallback>
        <control shapeId="11274" r:id="rId22" name="ComboBox10"/>
      </mc:Fallback>
    </mc:AlternateContent>
    <mc:AlternateContent xmlns:mc="http://schemas.openxmlformats.org/markup-compatibility/2006">
      <mc:Choice Requires="x14">
        <control shapeId="11275" r:id="rId24" name="ComboBox13">
          <controlPr defaultSize="0" print="0" autoLine="0" linkedCell="#REF!" listFillRange="#REF!" r:id="rId25">
            <anchor moveWithCells="1" siz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0</xdr:colOff>
                <xdr:row>49</xdr:row>
                <xdr:rowOff>25400</xdr:rowOff>
              </to>
            </anchor>
          </controlPr>
        </control>
      </mc:Choice>
      <mc:Fallback>
        <control shapeId="11275" r:id="rId24" name="ComboBox13"/>
      </mc:Fallback>
    </mc:AlternateContent>
    <mc:AlternateContent xmlns:mc="http://schemas.openxmlformats.org/markup-compatibility/2006">
      <mc:Choice Requires="x14">
        <control shapeId="11276" r:id="rId26" name="ComboBox11">
          <controlPr defaultSize="0" print="0" autoLine="0" linkedCell="#REF!" listFillRange="#REF!" r:id="rId27">
            <anchor moveWithCells="1" sizeWithCells="1">
              <from>
                <xdr:col>16</xdr:col>
                <xdr:colOff>0</xdr:colOff>
                <xdr:row>48</xdr:row>
                <xdr:rowOff>6350</xdr:rowOff>
              </from>
              <to>
                <xdr:col>16</xdr:col>
                <xdr:colOff>0</xdr:colOff>
                <xdr:row>49</xdr:row>
                <xdr:rowOff>19050</xdr:rowOff>
              </to>
            </anchor>
          </controlPr>
        </control>
      </mc:Choice>
      <mc:Fallback>
        <control shapeId="11276" r:id="rId26" name="ComboBox11"/>
      </mc:Fallback>
    </mc:AlternateContent>
    <mc:AlternateContent xmlns:mc="http://schemas.openxmlformats.org/markup-compatibility/2006">
      <mc:Choice Requires="x14">
        <control shapeId="11277" r:id="rId28" name="ComboBox12">
          <controlPr defaultSize="0" print="0" autoLine="0" linkedCell="#REF!" listFillRange="#REF!" r:id="rId29">
            <anchor moveWithCells="1" sizeWithCells="1">
              <from>
                <xdr:col>16</xdr:col>
                <xdr:colOff>0</xdr:colOff>
                <xdr:row>48</xdr:row>
                <xdr:rowOff>12700</xdr:rowOff>
              </from>
              <to>
                <xdr:col>16</xdr:col>
                <xdr:colOff>0</xdr:colOff>
                <xdr:row>49</xdr:row>
                <xdr:rowOff>31750</xdr:rowOff>
              </to>
            </anchor>
          </controlPr>
        </control>
      </mc:Choice>
      <mc:Fallback>
        <control shapeId="11277" r:id="rId28" name="ComboBox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47D3-CE32-44FA-9777-0817E38FD08D}">
  <sheetPr codeName="Sheet5">
    <tabColor theme="0"/>
  </sheetPr>
  <dimension ref="A1:AB71"/>
  <sheetViews>
    <sheetView showGridLines="0" zoomScale="80" zoomScaleNormal="80" workbookViewId="0">
      <pane ySplit="1" topLeftCell="A2" activePane="bottomLeft" state="frozen"/>
      <selection activeCell="X43" sqref="X43:AD140"/>
      <selection pane="bottomLeft" activeCell="J27" sqref="J27"/>
    </sheetView>
  </sheetViews>
  <sheetFormatPr defaultColWidth="9.08984375" defaultRowHeight="14.5" outlineLevelCol="1" x14ac:dyDescent="0.35"/>
  <cols>
    <col min="1" max="1" width="25.1796875" style="45" customWidth="1"/>
    <col min="2" max="2" width="29.08984375" style="45" customWidth="1"/>
    <col min="3" max="3" width="18.08984375" style="45" customWidth="1"/>
    <col min="4" max="4" width="25.1796875" style="45" customWidth="1"/>
    <col min="5" max="5" width="29.1796875" style="45" customWidth="1"/>
    <col min="6" max="6" width="14" style="45" customWidth="1"/>
    <col min="7" max="7" width="25" style="45" customWidth="1"/>
    <col min="8" max="8" width="28.6328125" style="45" customWidth="1"/>
    <col min="9" max="9" width="5.6328125" style="65" customWidth="1" outlineLevel="1" collapsed="1"/>
    <col min="10" max="10" width="30.6328125" style="156" customWidth="1" outlineLevel="1"/>
    <col min="11" max="11" width="13.1796875" style="156" customWidth="1" outlineLevel="1"/>
    <col min="12" max="12" width="12.90625" style="156" customWidth="1" outlineLevel="1"/>
    <col min="13" max="16384" width="9.08984375" style="45"/>
  </cols>
  <sheetData>
    <row r="1" spans="1:17" s="3" customFormat="1" ht="21" customHeight="1" thickBot="1" x14ac:dyDescent="0.4">
      <c r="A1" s="373"/>
      <c r="B1" s="373"/>
      <c r="C1" s="373"/>
      <c r="D1" s="373"/>
      <c r="E1" s="373"/>
      <c r="F1" s="373"/>
      <c r="G1" s="373"/>
      <c r="H1" s="373"/>
      <c r="I1" s="165"/>
      <c r="J1" s="157"/>
      <c r="K1" s="158"/>
      <c r="L1" s="158"/>
      <c r="M1" s="128"/>
      <c r="N1" s="128"/>
      <c r="O1" s="128"/>
      <c r="P1" s="128"/>
      <c r="Q1" s="128"/>
    </row>
    <row r="2" spans="1:17" x14ac:dyDescent="0.35">
      <c r="A2" s="352" t="s">
        <v>192</v>
      </c>
      <c r="B2" s="353"/>
      <c r="C2" s="353"/>
      <c r="D2" s="353"/>
      <c r="E2" s="353"/>
      <c r="F2" s="353"/>
      <c r="G2" s="353"/>
      <c r="H2" s="354"/>
      <c r="J2" s="163" t="s">
        <v>114</v>
      </c>
      <c r="K2" s="150">
        <v>0.5</v>
      </c>
      <c r="L2" s="162">
        <f>IFERROR($K2*$D$6,"")</f>
        <v>0.25</v>
      </c>
    </row>
    <row r="3" spans="1:17" ht="15" thickBot="1" x14ac:dyDescent="0.4">
      <c r="A3" s="355"/>
      <c r="B3" s="356"/>
      <c r="C3" s="356"/>
      <c r="D3" s="356"/>
      <c r="E3" s="356"/>
      <c r="F3" s="356"/>
      <c r="G3" s="356"/>
      <c r="H3" s="357"/>
      <c r="J3" s="163" t="s">
        <v>115</v>
      </c>
      <c r="K3" s="150">
        <v>1</v>
      </c>
      <c r="L3" s="162">
        <f>IFERROR($K3*$D$6,"")</f>
        <v>0.5</v>
      </c>
    </row>
    <row r="4" spans="1:17" ht="14.5" customHeight="1" x14ac:dyDescent="0.35">
      <c r="J4" s="163" t="s">
        <v>116</v>
      </c>
      <c r="K4" s="164">
        <v>2</v>
      </c>
      <c r="L4" s="162">
        <f>IFERROR($K4*$D$6,"")</f>
        <v>1</v>
      </c>
    </row>
    <row r="5" spans="1:17" x14ac:dyDescent="0.35">
      <c r="A5" s="66" t="s">
        <v>64</v>
      </c>
      <c r="B5" s="174">
        <v>45777</v>
      </c>
      <c r="C5" s="66" t="s">
        <v>96</v>
      </c>
      <c r="D5" s="173">
        <v>350000</v>
      </c>
      <c r="F5" s="59"/>
      <c r="J5" s="163" t="s">
        <v>117</v>
      </c>
      <c r="K5" s="164">
        <v>0</v>
      </c>
      <c r="L5" s="162">
        <f>IFERROR($K5*$D$6,"")</f>
        <v>0</v>
      </c>
    </row>
    <row r="6" spans="1:17" ht="15" customHeight="1" x14ac:dyDescent="0.35">
      <c r="A6" s="66" t="s">
        <v>66</v>
      </c>
      <c r="B6" s="147">
        <v>46022</v>
      </c>
      <c r="C6" s="66" t="s">
        <v>103</v>
      </c>
      <c r="D6" s="203">
        <v>0.5</v>
      </c>
      <c r="F6" s="59"/>
      <c r="J6" s="163" t="s">
        <v>121</v>
      </c>
      <c r="K6" s="175">
        <v>0.73</v>
      </c>
      <c r="L6" s="162">
        <f>IFERROR($K6*$D$6,"")</f>
        <v>0.36499999999999999</v>
      </c>
    </row>
    <row r="7" spans="1:17" ht="20" customHeight="1" x14ac:dyDescent="0.35">
      <c r="A7" s="66" t="s">
        <v>84</v>
      </c>
      <c r="B7" s="148">
        <f>IFERROR(($B$6-$B$5+1)/365,"")</f>
        <v>0.67397260273972603</v>
      </c>
      <c r="C7" s="66" t="s">
        <v>104</v>
      </c>
      <c r="D7" s="173">
        <v>200000</v>
      </c>
      <c r="F7" s="59"/>
      <c r="J7" s="163" t="s">
        <v>122</v>
      </c>
      <c r="K7" s="175">
        <v>1.27</v>
      </c>
      <c r="L7" s="162">
        <f>IFERROR($K7*$D$6,"")</f>
        <v>0.63500000000000001</v>
      </c>
    </row>
    <row r="8" spans="1:17" ht="14.5" customHeight="1" x14ac:dyDescent="0.35">
      <c r="K8" s="170"/>
    </row>
    <row r="9" spans="1:17" x14ac:dyDescent="0.35">
      <c r="J9" s="163" t="s">
        <v>119</v>
      </c>
      <c r="K9" s="150">
        <v>1</v>
      </c>
      <c r="L9" s="118">
        <f t="shared" ref="L9:L13" si="0">IFERROR(K9*$D$7,"")</f>
        <v>200000</v>
      </c>
    </row>
    <row r="10" spans="1:17" x14ac:dyDescent="0.35">
      <c r="A10" s="358" t="s">
        <v>99</v>
      </c>
      <c r="B10" s="358"/>
      <c r="C10" s="143"/>
      <c r="D10" s="374" t="s">
        <v>100</v>
      </c>
      <c r="E10" s="374"/>
      <c r="F10" s="159"/>
      <c r="G10" s="375" t="s">
        <v>108</v>
      </c>
      <c r="H10" s="375"/>
      <c r="J10" s="163" t="s">
        <v>120</v>
      </c>
      <c r="K10" s="164">
        <v>1.5</v>
      </c>
      <c r="L10" s="118">
        <f t="shared" si="0"/>
        <v>300000</v>
      </c>
    </row>
    <row r="11" spans="1:17" ht="16" customHeight="1" thickBot="1" x14ac:dyDescent="0.4">
      <c r="A11" s="358"/>
      <c r="B11" s="358"/>
      <c r="C11" s="143"/>
      <c r="D11" s="374"/>
      <c r="E11" s="374"/>
      <c r="F11" s="159"/>
      <c r="G11" s="375"/>
      <c r="H11" s="375"/>
      <c r="J11" s="163" t="s">
        <v>117</v>
      </c>
      <c r="K11" s="164">
        <v>0</v>
      </c>
      <c r="L11" s="118">
        <f t="shared" si="0"/>
        <v>0</v>
      </c>
    </row>
    <row r="12" spans="1:17" ht="15" thickBot="1" x14ac:dyDescent="0.4">
      <c r="A12" s="344" t="s">
        <v>88</v>
      </c>
      <c r="B12" s="345"/>
      <c r="C12" s="152"/>
      <c r="D12" s="346" t="s">
        <v>88</v>
      </c>
      <c r="E12" s="347"/>
      <c r="F12" s="160"/>
      <c r="G12" s="348" t="s">
        <v>88</v>
      </c>
      <c r="H12" s="349"/>
      <c r="J12" s="163" t="s">
        <v>123</v>
      </c>
      <c r="K12" s="176">
        <v>0.63</v>
      </c>
      <c r="L12" s="118">
        <f t="shared" si="0"/>
        <v>126000</v>
      </c>
    </row>
    <row r="13" spans="1:17" ht="14.5" customHeight="1" x14ac:dyDescent="0.35">
      <c r="A13" s="211" t="s">
        <v>80</v>
      </c>
      <c r="B13" s="217">
        <f>IFERROR($D$5,"")</f>
        <v>350000</v>
      </c>
      <c r="C13" s="63"/>
      <c r="D13" s="211" t="s">
        <v>80</v>
      </c>
      <c r="E13" s="217">
        <f>IFERROR($D$5,"")</f>
        <v>350000</v>
      </c>
      <c r="F13" s="63"/>
      <c r="G13" s="211" t="s">
        <v>80</v>
      </c>
      <c r="H13" s="217">
        <f>IFERROR($D$5,"")</f>
        <v>350000</v>
      </c>
      <c r="J13" s="163" t="s">
        <v>124</v>
      </c>
      <c r="K13" s="176">
        <v>1.23</v>
      </c>
      <c r="L13" s="118">
        <f t="shared" si="0"/>
        <v>246000</v>
      </c>
    </row>
    <row r="14" spans="1:17" x14ac:dyDescent="0.35">
      <c r="A14" s="209"/>
      <c r="B14" s="210" t="s">
        <v>114</v>
      </c>
      <c r="C14" s="63" t="s">
        <v>67</v>
      </c>
      <c r="D14" s="209"/>
      <c r="E14" s="210" t="s">
        <v>115</v>
      </c>
      <c r="F14" s="63"/>
      <c r="G14" s="209"/>
      <c r="H14" s="210" t="s">
        <v>116</v>
      </c>
      <c r="K14" s="170"/>
    </row>
    <row r="15" spans="1:17" x14ac:dyDescent="0.35">
      <c r="A15" s="211" t="s">
        <v>105</v>
      </c>
      <c r="B15" s="212">
        <f>_xlfn.XLOOKUP(B$14,$J$2:$J$7,$L$2:$L$7,"")</f>
        <v>0.25</v>
      </c>
      <c r="C15" s="63"/>
      <c r="D15" s="211" t="s">
        <v>105</v>
      </c>
      <c r="E15" s="212">
        <f>_xlfn.XLOOKUP(E$14,$J$2:$J$7,$L$2:$L$7,"")</f>
        <v>0.5</v>
      </c>
      <c r="F15" s="63"/>
      <c r="G15" s="211" t="s">
        <v>105</v>
      </c>
      <c r="H15" s="212">
        <f>_xlfn.XLOOKUP(H$14,$J$2:$J$7,$L$2:$L$7,"")</f>
        <v>1</v>
      </c>
      <c r="J15" s="120"/>
      <c r="K15" s="144"/>
      <c r="L15" s="120"/>
    </row>
    <row r="16" spans="1:17" ht="15" customHeight="1" thickBot="1" x14ac:dyDescent="0.4">
      <c r="A16" s="211" t="s">
        <v>106</v>
      </c>
      <c r="B16" s="213">
        <f>IFERROR(B15*B13,"")</f>
        <v>87500</v>
      </c>
      <c r="C16" s="63" t="s">
        <v>67</v>
      </c>
      <c r="D16" s="211" t="s">
        <v>106</v>
      </c>
      <c r="E16" s="213">
        <f>IFERROR(E15*E13,"")</f>
        <v>175000</v>
      </c>
      <c r="F16" s="63"/>
      <c r="G16" s="211" t="s">
        <v>106</v>
      </c>
      <c r="H16" s="213">
        <f>IFERROR(H15*H13,"")</f>
        <v>350000</v>
      </c>
      <c r="J16" s="120"/>
      <c r="K16" s="144"/>
      <c r="L16" s="120"/>
    </row>
    <row r="17" spans="1:12" ht="14.5" customHeight="1" thickTop="1" x14ac:dyDescent="0.35">
      <c r="A17" s="214" t="s">
        <v>76</v>
      </c>
      <c r="B17" s="215">
        <f>IFERROR(B16+B13,"")</f>
        <v>437500</v>
      </c>
      <c r="C17" s="63"/>
      <c r="D17" s="214" t="s">
        <v>76</v>
      </c>
      <c r="E17" s="215">
        <f>IFERROR(E16+E13,"")</f>
        <v>525000</v>
      </c>
      <c r="F17" s="63"/>
      <c r="G17" s="214" t="s">
        <v>76</v>
      </c>
      <c r="H17" s="215">
        <f>IFERROR(H16+H13,"")</f>
        <v>700000</v>
      </c>
      <c r="J17" s="120"/>
      <c r="K17" s="144"/>
      <c r="L17" s="120"/>
    </row>
    <row r="18" spans="1:12" ht="14.5" customHeight="1" x14ac:dyDescent="0.35">
      <c r="A18" s="209"/>
      <c r="B18" s="210" t="s">
        <v>118</v>
      </c>
      <c r="C18" s="63" t="s">
        <v>67</v>
      </c>
      <c r="D18" s="209"/>
      <c r="E18" s="210" t="s">
        <v>119</v>
      </c>
      <c r="F18" s="63"/>
      <c r="G18" s="209"/>
      <c r="H18" s="210" t="s">
        <v>120</v>
      </c>
      <c r="J18" s="120"/>
      <c r="K18" s="120"/>
      <c r="L18" s="120"/>
    </row>
    <row r="19" spans="1:12" ht="14.5" customHeight="1" thickBot="1" x14ac:dyDescent="0.4">
      <c r="A19" s="211" t="s">
        <v>81</v>
      </c>
      <c r="B19" s="213" t="str">
        <f>_xlfn.XLOOKUP(B$18,$J$9:$J$13,$L$9:$L$13,"")</f>
        <v/>
      </c>
      <c r="C19" s="63"/>
      <c r="D19" s="211" t="s">
        <v>81</v>
      </c>
      <c r="E19" s="213">
        <f>_xlfn.XLOOKUP(E$18,$J$9:$J$13,$L$9:$L$13,"")</f>
        <v>200000</v>
      </c>
      <c r="F19" s="63"/>
      <c r="G19" s="211" t="s">
        <v>81</v>
      </c>
      <c r="H19" s="213">
        <f>_xlfn.XLOOKUP(H$18,$J$9:$J$13,$L$9:$L$13,"")</f>
        <v>300000</v>
      </c>
      <c r="J19" s="120"/>
      <c r="K19" s="120"/>
      <c r="L19" s="120"/>
    </row>
    <row r="20" spans="1:12" ht="15" customHeight="1" thickTop="1" x14ac:dyDescent="0.35">
      <c r="A20" s="216" t="s">
        <v>75</v>
      </c>
      <c r="B20" s="227" t="str">
        <f>IFERROR(B19+B17,"")</f>
        <v/>
      </c>
      <c r="C20" s="63"/>
      <c r="D20" s="216" t="s">
        <v>75</v>
      </c>
      <c r="E20" s="227">
        <f>IFERROR(E19+E17,"")</f>
        <v>725000</v>
      </c>
      <c r="F20" s="64"/>
      <c r="G20" s="216" t="s">
        <v>75</v>
      </c>
      <c r="H20" s="227">
        <f>IFERROR(H19+H17,"")</f>
        <v>1000000</v>
      </c>
      <c r="J20" s="120"/>
      <c r="K20" s="120"/>
      <c r="L20" s="120"/>
    </row>
    <row r="21" spans="1:12" ht="15" thickBot="1" x14ac:dyDescent="0.4">
      <c r="A21" s="63"/>
      <c r="B21" s="63"/>
      <c r="C21" s="63"/>
      <c r="D21" s="63"/>
      <c r="E21" s="63"/>
      <c r="F21" s="63"/>
      <c r="G21" s="63"/>
      <c r="H21" s="63"/>
      <c r="J21" s="120"/>
      <c r="K21" s="120"/>
      <c r="L21" s="120"/>
    </row>
    <row r="22" spans="1:12" ht="15" customHeight="1" thickBot="1" x14ac:dyDescent="0.4">
      <c r="A22" s="344" t="s">
        <v>79</v>
      </c>
      <c r="B22" s="345"/>
      <c r="C22" s="121"/>
      <c r="D22" s="350" t="s">
        <v>79</v>
      </c>
      <c r="E22" s="351"/>
      <c r="F22" s="63"/>
      <c r="G22" s="348" t="s">
        <v>79</v>
      </c>
      <c r="H22" s="349"/>
      <c r="I22" s="168"/>
      <c r="J22" s="120"/>
      <c r="K22" s="120"/>
      <c r="L22" s="120"/>
    </row>
    <row r="23" spans="1:12" x14ac:dyDescent="0.35">
      <c r="A23" s="211" t="s">
        <v>80</v>
      </c>
      <c r="B23" s="222">
        <f>IFERROR(B13*B7,"")</f>
        <v>235890.4109589041</v>
      </c>
      <c r="C23" s="63"/>
      <c r="D23" s="211" t="s">
        <v>80</v>
      </c>
      <c r="E23" s="222">
        <f>IFERROR(E13*B7,"")</f>
        <v>235890.4109589041</v>
      </c>
      <c r="F23" s="63"/>
      <c r="G23" s="211" t="s">
        <v>80</v>
      </c>
      <c r="H23" s="222">
        <f>IFERROR($H$13*$B$7,"")</f>
        <v>235890.4109589041</v>
      </c>
    </row>
    <row r="24" spans="1:12" ht="14" customHeight="1" x14ac:dyDescent="0.35">
      <c r="A24" s="211" t="s">
        <v>105</v>
      </c>
      <c r="B24" s="218">
        <f>IFERROR(B15*B7,"")</f>
        <v>0.16849315068493151</v>
      </c>
      <c r="C24" s="63"/>
      <c r="D24" s="211" t="s">
        <v>105</v>
      </c>
      <c r="E24" s="218">
        <f>IFERROR(E15*B7,"")</f>
        <v>0.33698630136986302</v>
      </c>
      <c r="F24" s="63"/>
      <c r="G24" s="211" t="s">
        <v>105</v>
      </c>
      <c r="H24" s="218">
        <f>IFERROR($H$15*$B$7,"")</f>
        <v>0.67397260273972603</v>
      </c>
    </row>
    <row r="25" spans="1:12" ht="15.5" customHeight="1" x14ac:dyDescent="0.35">
      <c r="A25" s="211" t="s">
        <v>106</v>
      </c>
      <c r="B25" s="219">
        <f>IFERROR(B24*B13,"")</f>
        <v>58972.602739726026</v>
      </c>
      <c r="C25" s="63"/>
      <c r="D25" s="211" t="s">
        <v>106</v>
      </c>
      <c r="E25" s="219">
        <f>IFERROR(E24*E13,"")</f>
        <v>117945.20547945205</v>
      </c>
      <c r="F25" s="63"/>
      <c r="G25" s="211" t="s">
        <v>106</v>
      </c>
      <c r="H25" s="219">
        <f>IFERROR(H24*H13,"")</f>
        <v>235890.4109589041</v>
      </c>
    </row>
    <row r="26" spans="1:12" s="48" customFormat="1" ht="16" customHeight="1" thickBot="1" x14ac:dyDescent="0.4">
      <c r="A26" s="211" t="s">
        <v>101</v>
      </c>
      <c r="B26" s="213" t="str">
        <f>IFERROR($B7*$B$19,"")</f>
        <v/>
      </c>
      <c r="C26" s="63"/>
      <c r="D26" s="211" t="s">
        <v>101</v>
      </c>
      <c r="E26" s="213">
        <f>IFERROR($B7*$E$19,"")</f>
        <v>134794.5205479452</v>
      </c>
      <c r="F26" s="63"/>
      <c r="G26" s="211" t="s">
        <v>101</v>
      </c>
      <c r="H26" s="213">
        <f>IFERROR($B7*$H$19,"")</f>
        <v>202191.78082191781</v>
      </c>
      <c r="I26" s="166"/>
      <c r="J26" s="149"/>
      <c r="K26" s="149"/>
      <c r="L26" s="149"/>
    </row>
    <row r="27" spans="1:12" ht="18" customHeight="1" thickTop="1" x14ac:dyDescent="0.35">
      <c r="A27" s="214" t="s">
        <v>75</v>
      </c>
      <c r="B27" s="228" t="str">
        <f>IFERROR(B26+B25+B23,"")</f>
        <v/>
      </c>
      <c r="C27" s="63"/>
      <c r="D27" s="216" t="s">
        <v>75</v>
      </c>
      <c r="E27" s="227">
        <f>IFERROR(E26+E25+E23,"")</f>
        <v>488630.1369863014</v>
      </c>
      <c r="F27" s="63"/>
      <c r="G27" s="216" t="s">
        <v>75</v>
      </c>
      <c r="H27" s="227">
        <f>IFERROR(H26+H25+H23,"")</f>
        <v>673972.60273972596</v>
      </c>
    </row>
    <row r="28" spans="1:12" ht="14.5" customHeight="1" x14ac:dyDescent="0.35">
      <c r="A28" s="220"/>
      <c r="B28" s="221"/>
      <c r="D28" s="124"/>
      <c r="E28" s="125"/>
      <c r="G28" s="124"/>
      <c r="H28" s="125"/>
    </row>
    <row r="29" spans="1:12" ht="30.5" customHeight="1" x14ac:dyDescent="0.35"/>
    <row r="30" spans="1:12" ht="15" customHeight="1" x14ac:dyDescent="0.35"/>
    <row r="31" spans="1:12" ht="15.5" customHeight="1" x14ac:dyDescent="0.35">
      <c r="A31" s="341" t="s">
        <v>125</v>
      </c>
      <c r="B31" s="341"/>
      <c r="D31" s="342" t="s">
        <v>102</v>
      </c>
      <c r="E31" s="342"/>
      <c r="G31" s="343" t="s">
        <v>126</v>
      </c>
      <c r="H31" s="343"/>
    </row>
    <row r="32" spans="1:12" ht="15.5" customHeight="1" thickBot="1" x14ac:dyDescent="0.4">
      <c r="A32" s="341"/>
      <c r="B32" s="341"/>
      <c r="D32" s="342"/>
      <c r="E32" s="342"/>
      <c r="G32" s="343"/>
      <c r="H32" s="343"/>
    </row>
    <row r="33" spans="1:12" ht="14" customHeight="1" thickBot="1" x14ac:dyDescent="0.4">
      <c r="A33" s="334" t="s">
        <v>88</v>
      </c>
      <c r="B33" s="335"/>
      <c r="D33" s="336" t="s">
        <v>88</v>
      </c>
      <c r="E33" s="337"/>
      <c r="G33" s="338" t="s">
        <v>88</v>
      </c>
      <c r="H33" s="339"/>
    </row>
    <row r="34" spans="1:12" ht="14" customHeight="1" x14ac:dyDescent="0.35">
      <c r="A34" s="211" t="s">
        <v>80</v>
      </c>
      <c r="B34" s="217">
        <f>IFERROR($D$5,"")</f>
        <v>350000</v>
      </c>
      <c r="D34" s="211" t="s">
        <v>80</v>
      </c>
      <c r="E34" s="217">
        <f>IFERROR($D$5,"")</f>
        <v>350000</v>
      </c>
      <c r="G34" s="211" t="s">
        <v>80</v>
      </c>
      <c r="H34" s="217">
        <f>IFERROR($D$5,"")</f>
        <v>350000</v>
      </c>
    </row>
    <row r="35" spans="1:12" ht="16.5" customHeight="1" x14ac:dyDescent="0.35">
      <c r="A35" s="209"/>
      <c r="B35" s="210" t="s">
        <v>121</v>
      </c>
      <c r="C35" s="63"/>
      <c r="D35" s="209"/>
      <c r="E35" s="210" t="s">
        <v>122</v>
      </c>
      <c r="F35" s="63"/>
      <c r="G35" s="209"/>
      <c r="H35" s="210" t="s">
        <v>115</v>
      </c>
    </row>
    <row r="36" spans="1:12" ht="18.5" customHeight="1" x14ac:dyDescent="0.35">
      <c r="A36" s="211" t="s">
        <v>105</v>
      </c>
      <c r="B36" s="212">
        <f>_xlfn.XLOOKUP(B$35,$J$2:$J$7,$L$2:$L$7,"")</f>
        <v>0.36499999999999999</v>
      </c>
      <c r="D36" s="211" t="s">
        <v>105</v>
      </c>
      <c r="E36" s="212">
        <f>_xlfn.XLOOKUP(E$35,$J$2:$J$7,$L$2:$L$7,"")</f>
        <v>0.63500000000000001</v>
      </c>
      <c r="G36" s="211" t="s">
        <v>105</v>
      </c>
      <c r="H36" s="212">
        <f>_xlfn.XLOOKUP(H$35,$J$2:$J$7,$L$2:$L$7,"")</f>
        <v>0.5</v>
      </c>
    </row>
    <row r="37" spans="1:12" ht="16" customHeight="1" thickBot="1" x14ac:dyDescent="0.4">
      <c r="A37" s="211" t="s">
        <v>106</v>
      </c>
      <c r="B37" s="213">
        <f>IFERROR(B36*B34,"")</f>
        <v>127750</v>
      </c>
      <c r="D37" s="211" t="s">
        <v>106</v>
      </c>
      <c r="E37" s="213">
        <f>IFERROR(E36*E34,"")</f>
        <v>222250</v>
      </c>
      <c r="G37" s="211" t="s">
        <v>106</v>
      </c>
      <c r="H37" s="213">
        <f>IFERROR(H36*H34,"")</f>
        <v>175000</v>
      </c>
    </row>
    <row r="38" spans="1:12" ht="15" thickTop="1" x14ac:dyDescent="0.35">
      <c r="A38" s="214" t="s">
        <v>76</v>
      </c>
      <c r="B38" s="215">
        <f>IFERROR(B37+B34,"")</f>
        <v>477750</v>
      </c>
      <c r="D38" s="214" t="s">
        <v>76</v>
      </c>
      <c r="E38" s="215">
        <f>IFERROR(E37+E34,"")</f>
        <v>572250</v>
      </c>
      <c r="G38" s="214" t="s">
        <v>76</v>
      </c>
      <c r="H38" s="215">
        <f>IFERROR(H37+H34,"")</f>
        <v>525000</v>
      </c>
    </row>
    <row r="39" spans="1:12" ht="15" customHeight="1" x14ac:dyDescent="0.35">
      <c r="A39" s="209"/>
      <c r="B39" s="210" t="s">
        <v>123</v>
      </c>
      <c r="C39" s="63" t="s">
        <v>67</v>
      </c>
      <c r="D39" s="209"/>
      <c r="E39" s="210" t="s">
        <v>124</v>
      </c>
      <c r="F39" s="63"/>
      <c r="G39" s="209"/>
      <c r="H39" s="210" t="s">
        <v>123</v>
      </c>
    </row>
    <row r="40" spans="1:12" ht="15" thickBot="1" x14ac:dyDescent="0.4">
      <c r="A40" s="211" t="s">
        <v>81</v>
      </c>
      <c r="B40" s="213">
        <f>_xlfn.XLOOKUP(B$39,$J$9:$J$13,$L$9:$L$13,"")</f>
        <v>126000</v>
      </c>
      <c r="D40" s="211" t="s">
        <v>81</v>
      </c>
      <c r="E40" s="213">
        <f>_xlfn.XLOOKUP(E$39,$J$9:$J$13,$L$9:$L$13,"")</f>
        <v>246000</v>
      </c>
      <c r="G40" s="211" t="s">
        <v>81</v>
      </c>
      <c r="H40" s="213">
        <f>_xlfn.XLOOKUP(H$39,$J$9:$J$13,$L$9:$L$13,"")</f>
        <v>126000</v>
      </c>
    </row>
    <row r="41" spans="1:12" s="46" customFormat="1" ht="14.65" customHeight="1" thickTop="1" x14ac:dyDescent="0.35">
      <c r="A41" s="216" t="s">
        <v>75</v>
      </c>
      <c r="B41" s="227">
        <f>IFERROR(B40+B38,"")</f>
        <v>603750</v>
      </c>
      <c r="C41" s="45"/>
      <c r="D41" s="216" t="s">
        <v>75</v>
      </c>
      <c r="E41" s="227">
        <f>IFERROR(E40+E38,"")</f>
        <v>818250</v>
      </c>
      <c r="F41" s="45"/>
      <c r="G41" s="216" t="s">
        <v>75</v>
      </c>
      <c r="H41" s="227">
        <f>IFERROR(H40+H38,"")</f>
        <v>651000</v>
      </c>
      <c r="I41" s="169"/>
      <c r="J41" s="156"/>
      <c r="K41" s="156"/>
      <c r="L41" s="156"/>
    </row>
    <row r="42" spans="1:12" ht="14.5" customHeight="1" thickBot="1" x14ac:dyDescent="0.4">
      <c r="A42" s="63"/>
      <c r="B42" s="63"/>
      <c r="D42" s="63"/>
      <c r="E42" s="63"/>
      <c r="G42" s="63"/>
      <c r="H42" s="63"/>
    </row>
    <row r="43" spans="1:12" ht="16" customHeight="1" thickBot="1" x14ac:dyDescent="0.4">
      <c r="A43" s="334" t="s">
        <v>79</v>
      </c>
      <c r="B43" s="335"/>
      <c r="D43" s="336" t="s">
        <v>79</v>
      </c>
      <c r="E43" s="337"/>
      <c r="G43" s="338" t="s">
        <v>79</v>
      </c>
      <c r="H43" s="339"/>
    </row>
    <row r="44" spans="1:12" ht="15" customHeight="1" x14ac:dyDescent="0.35">
      <c r="A44" s="211" t="s">
        <v>80</v>
      </c>
      <c r="B44" s="222">
        <f>IFERROR($B$7*B34,"")</f>
        <v>235890.4109589041</v>
      </c>
      <c r="D44" s="211" t="s">
        <v>80</v>
      </c>
      <c r="E44" s="222">
        <f>IFERROR($B$7*E34,"")</f>
        <v>235890.4109589041</v>
      </c>
      <c r="G44" s="211" t="s">
        <v>80</v>
      </c>
      <c r="H44" s="222">
        <f>IFERROR($B$7*H34,"")</f>
        <v>235890.4109589041</v>
      </c>
    </row>
    <row r="45" spans="1:12" ht="16" customHeight="1" x14ac:dyDescent="0.35">
      <c r="A45" s="211" t="s">
        <v>105</v>
      </c>
      <c r="B45" s="218">
        <f>IFERROR(B36*B7,"")</f>
        <v>0.246</v>
      </c>
      <c r="D45" s="211" t="s">
        <v>105</v>
      </c>
      <c r="E45" s="218">
        <f>IFERROR(E36*B7,"")</f>
        <v>0.42797260273972604</v>
      </c>
      <c r="G45" s="211" t="s">
        <v>105</v>
      </c>
      <c r="H45" s="218">
        <f>IFERROR(H36*E7,"")</f>
        <v>0</v>
      </c>
    </row>
    <row r="46" spans="1:12" s="46" customFormat="1" ht="14.25" customHeight="1" x14ac:dyDescent="0.35">
      <c r="A46" s="211" t="s">
        <v>106</v>
      </c>
      <c r="B46" s="219">
        <f>IFERROR(B45*B34,"")</f>
        <v>86100</v>
      </c>
      <c r="C46" s="45"/>
      <c r="D46" s="211" t="s">
        <v>106</v>
      </c>
      <c r="E46" s="219">
        <f>IFERROR(E45*E34,"")</f>
        <v>149790.4109589041</v>
      </c>
      <c r="F46" s="45"/>
      <c r="G46" s="211" t="s">
        <v>106</v>
      </c>
      <c r="H46" s="219">
        <f>IFERROR(H45*H34,"")</f>
        <v>0</v>
      </c>
      <c r="I46" s="65"/>
      <c r="J46" s="156"/>
      <c r="K46" s="156"/>
      <c r="L46" s="156"/>
    </row>
    <row r="47" spans="1:12" s="46" customFormat="1" ht="14.25" customHeight="1" thickBot="1" x14ac:dyDescent="0.4">
      <c r="A47" s="211" t="s">
        <v>101</v>
      </c>
      <c r="B47" s="213">
        <f>IFERROR($B40*$B$7,"")</f>
        <v>84920.547945205486</v>
      </c>
      <c r="C47" s="45"/>
      <c r="D47" s="211" t="s">
        <v>101</v>
      </c>
      <c r="E47" s="213">
        <f>IFERROR($E40*$B$7,"")</f>
        <v>165797.26027397261</v>
      </c>
      <c r="F47" s="45"/>
      <c r="G47" s="211" t="s">
        <v>101</v>
      </c>
      <c r="H47" s="213">
        <f>IFERROR($H40*$B$7,"")</f>
        <v>84920.547945205486</v>
      </c>
      <c r="I47" s="65"/>
      <c r="J47" s="156"/>
      <c r="K47" s="156"/>
      <c r="L47" s="156"/>
    </row>
    <row r="48" spans="1:12" s="46" customFormat="1" ht="14.25" customHeight="1" thickTop="1" x14ac:dyDescent="0.35">
      <c r="A48" s="216" t="s">
        <v>75</v>
      </c>
      <c r="B48" s="227">
        <f>IFERROR(B47+B46+B44,"")</f>
        <v>406910.95890410955</v>
      </c>
      <c r="C48" s="45"/>
      <c r="D48" s="216" t="s">
        <v>75</v>
      </c>
      <c r="E48" s="227">
        <f>IFERROR(E47+E46+E44,"")</f>
        <v>551478.08219178079</v>
      </c>
      <c r="F48" s="45"/>
      <c r="G48" s="216" t="s">
        <v>75</v>
      </c>
      <c r="H48" s="227">
        <f>IFERROR(H47+H46+H44,"")</f>
        <v>320810.9589041096</v>
      </c>
      <c r="I48" s="65"/>
      <c r="J48" s="156"/>
      <c r="K48" s="156"/>
      <c r="L48" s="156"/>
    </row>
    <row r="49" spans="1:17" s="47" customFormat="1" ht="14.65" customHeight="1" x14ac:dyDescent="0.35">
      <c r="A49" s="45"/>
      <c r="B49" s="45"/>
      <c r="C49" s="45"/>
      <c r="D49" s="45"/>
      <c r="E49" s="45"/>
      <c r="F49" s="45"/>
      <c r="G49" s="45"/>
      <c r="H49" s="45"/>
      <c r="I49" s="169"/>
      <c r="J49" s="149"/>
      <c r="K49" s="149"/>
      <c r="L49" s="149"/>
    </row>
    <row r="50" spans="1:17" s="47" customFormat="1" x14ac:dyDescent="0.35">
      <c r="A50" s="45"/>
      <c r="B50" s="45"/>
      <c r="C50" s="45"/>
      <c r="D50" s="45"/>
      <c r="E50" s="45"/>
      <c r="F50" s="45"/>
      <c r="G50" s="45"/>
      <c r="H50" s="45"/>
      <c r="I50" s="169"/>
      <c r="J50" s="149"/>
      <c r="K50" s="149"/>
      <c r="L50" s="149"/>
    </row>
    <row r="51" spans="1:17" ht="15" customHeight="1" x14ac:dyDescent="0.35">
      <c r="I51" s="169"/>
    </row>
    <row r="52" spans="1:17" ht="14.5" customHeight="1" x14ac:dyDescent="0.35"/>
    <row r="53" spans="1:17" ht="14.5" customHeight="1" x14ac:dyDescent="0.35">
      <c r="I53" s="169"/>
    </row>
    <row r="54" spans="1:17" ht="15.5" customHeight="1" x14ac:dyDescent="0.35">
      <c r="I54" s="169"/>
    </row>
    <row r="55" spans="1:17" ht="14.5" customHeight="1" x14ac:dyDescent="0.35">
      <c r="I55" s="169"/>
    </row>
    <row r="57" spans="1:17" x14ac:dyDescent="0.35">
      <c r="I57" s="169"/>
    </row>
    <row r="58" spans="1:17" ht="16" customHeight="1" x14ac:dyDescent="0.35"/>
    <row r="59" spans="1:17" x14ac:dyDescent="0.35">
      <c r="I59" s="45"/>
      <c r="J59" s="45"/>
    </row>
    <row r="60" spans="1:17" x14ac:dyDescent="0.35">
      <c r="I60" s="45"/>
      <c r="J60" s="45"/>
    </row>
    <row r="61" spans="1:17" s="156" customFormat="1" x14ac:dyDescent="0.35">
      <c r="A61" s="45"/>
      <c r="B61" s="45"/>
      <c r="C61" s="45"/>
      <c r="D61" s="45"/>
      <c r="E61" s="45"/>
      <c r="F61" s="45"/>
      <c r="G61" s="45"/>
      <c r="H61" s="45"/>
      <c r="I61" s="45"/>
      <c r="J61" s="45"/>
      <c r="M61" s="45"/>
      <c r="N61" s="45"/>
      <c r="O61" s="45"/>
      <c r="P61" s="45"/>
      <c r="Q61" s="45"/>
    </row>
    <row r="62" spans="1:17" s="156" customFormat="1" x14ac:dyDescent="0.35">
      <c r="A62" s="45"/>
      <c r="B62" s="45"/>
      <c r="C62" s="45"/>
      <c r="D62" s="45"/>
      <c r="E62" s="45"/>
      <c r="F62" s="45"/>
      <c r="G62" s="45"/>
      <c r="H62" s="45"/>
      <c r="I62" s="45"/>
      <c r="J62" s="45"/>
      <c r="M62" s="45"/>
      <c r="N62" s="45"/>
      <c r="O62" s="45"/>
      <c r="P62" s="45"/>
      <c r="Q62" s="45"/>
    </row>
    <row r="63" spans="1:17" s="156" customFormat="1" x14ac:dyDescent="0.35">
      <c r="A63" s="45"/>
      <c r="B63" s="45"/>
      <c r="C63" s="45"/>
      <c r="D63" s="45"/>
      <c r="E63" s="45"/>
      <c r="F63" s="45"/>
      <c r="G63" s="45"/>
      <c r="H63" s="45"/>
      <c r="I63" s="45"/>
      <c r="J63" s="45"/>
      <c r="M63" s="45"/>
      <c r="N63" s="45"/>
      <c r="O63" s="45"/>
      <c r="P63" s="45"/>
      <c r="Q63" s="45"/>
    </row>
    <row r="64" spans="1:17" s="156" customFormat="1" x14ac:dyDescent="0.35">
      <c r="A64" s="45"/>
      <c r="B64" s="45"/>
      <c r="C64" s="45"/>
      <c r="D64" s="45"/>
      <c r="E64" s="45"/>
      <c r="F64" s="45"/>
      <c r="G64" s="45"/>
      <c r="H64" s="45"/>
      <c r="I64" s="45"/>
      <c r="J64" s="45"/>
      <c r="M64" s="45"/>
      <c r="N64" s="45"/>
      <c r="O64" s="45"/>
      <c r="P64" s="45"/>
      <c r="Q64" s="45"/>
    </row>
    <row r="65" spans="1:17" s="156" customFormat="1" x14ac:dyDescent="0.35">
      <c r="A65" s="45"/>
      <c r="B65" s="45"/>
      <c r="C65" s="45"/>
      <c r="D65" s="45"/>
      <c r="E65" s="45"/>
      <c r="F65" s="45"/>
      <c r="G65" s="45"/>
      <c r="H65" s="45"/>
      <c r="I65" s="45"/>
      <c r="J65" s="45"/>
      <c r="M65" s="45"/>
      <c r="N65" s="45"/>
      <c r="O65" s="45"/>
      <c r="P65" s="45"/>
      <c r="Q65" s="45"/>
    </row>
    <row r="66" spans="1:17" s="156" customFormat="1" x14ac:dyDescent="0.35">
      <c r="A66" s="45"/>
      <c r="B66" s="45"/>
      <c r="C66" s="45"/>
      <c r="D66" s="45"/>
      <c r="E66" s="45"/>
      <c r="F66" s="45"/>
      <c r="G66" s="45"/>
      <c r="H66" s="45"/>
      <c r="I66" s="45"/>
      <c r="J66" s="45"/>
      <c r="M66" s="45"/>
      <c r="N66" s="45"/>
      <c r="O66" s="45"/>
      <c r="P66" s="45"/>
      <c r="Q66" s="45"/>
    </row>
    <row r="67" spans="1:17" s="156" customFormat="1" x14ac:dyDescent="0.35">
      <c r="A67" s="45"/>
      <c r="B67" s="45"/>
      <c r="C67" s="45"/>
      <c r="D67" s="45"/>
      <c r="E67" s="45"/>
      <c r="F67" s="45"/>
      <c r="G67" s="45"/>
      <c r="H67" s="45"/>
      <c r="I67" s="45"/>
      <c r="J67" s="45"/>
      <c r="M67" s="45"/>
      <c r="N67" s="45"/>
      <c r="O67" s="45"/>
      <c r="P67" s="45"/>
      <c r="Q67" s="45"/>
    </row>
    <row r="68" spans="1:17" s="156" customFormat="1" x14ac:dyDescent="0.35">
      <c r="A68" s="45"/>
      <c r="B68" s="45"/>
      <c r="C68" s="45"/>
      <c r="D68" s="45"/>
      <c r="E68" s="45"/>
      <c r="F68" s="45"/>
      <c r="G68" s="45"/>
      <c r="H68" s="45"/>
      <c r="I68" s="45"/>
      <c r="J68" s="45"/>
      <c r="M68" s="45"/>
      <c r="N68" s="45"/>
      <c r="O68" s="45"/>
      <c r="P68" s="45"/>
      <c r="Q68" s="45"/>
    </row>
    <row r="69" spans="1:17" s="156" customFormat="1" x14ac:dyDescent="0.35">
      <c r="A69" s="45"/>
      <c r="B69" s="45"/>
      <c r="C69" s="45"/>
      <c r="D69" s="45"/>
      <c r="E69" s="45"/>
      <c r="F69" s="45"/>
      <c r="G69" s="45"/>
      <c r="H69" s="45"/>
      <c r="I69" s="45"/>
      <c r="J69" s="45"/>
      <c r="M69" s="45"/>
      <c r="N69" s="45"/>
      <c r="O69" s="45"/>
      <c r="P69" s="45"/>
      <c r="Q69" s="45"/>
    </row>
    <row r="70" spans="1:17" s="156" customFormat="1" x14ac:dyDescent="0.35">
      <c r="A70" s="45"/>
      <c r="B70" s="45"/>
      <c r="C70" s="45"/>
      <c r="D70" s="45"/>
      <c r="E70" s="45"/>
      <c r="F70" s="45"/>
      <c r="G70" s="45"/>
      <c r="H70" s="45"/>
      <c r="I70" s="45"/>
      <c r="J70" s="45"/>
      <c r="M70" s="45"/>
      <c r="N70" s="45"/>
      <c r="O70" s="45"/>
      <c r="P70" s="45"/>
      <c r="Q70" s="45"/>
    </row>
    <row r="71" spans="1:17" s="156" customFormat="1" x14ac:dyDescent="0.35">
      <c r="A71" s="45"/>
      <c r="B71" s="45"/>
      <c r="C71" s="45"/>
      <c r="D71" s="45"/>
      <c r="E71" s="45"/>
      <c r="F71" s="45"/>
      <c r="G71" s="45"/>
      <c r="H71" s="45"/>
      <c r="I71" s="45"/>
      <c r="J71" s="45"/>
      <c r="M71" s="45"/>
      <c r="N71" s="45"/>
      <c r="O71" s="45"/>
      <c r="P71" s="45"/>
      <c r="Q71" s="45"/>
    </row>
  </sheetData>
  <mergeCells count="20">
    <mergeCell ref="A43:B43"/>
    <mergeCell ref="D43:E43"/>
    <mergeCell ref="G43:H43"/>
    <mergeCell ref="D31:E32"/>
    <mergeCell ref="G31:H32"/>
    <mergeCell ref="A33:B33"/>
    <mergeCell ref="D33:E33"/>
    <mergeCell ref="G33:H33"/>
    <mergeCell ref="A31:B32"/>
    <mergeCell ref="A12:B12"/>
    <mergeCell ref="D12:E12"/>
    <mergeCell ref="G12:H12"/>
    <mergeCell ref="A22:B22"/>
    <mergeCell ref="D22:E22"/>
    <mergeCell ref="G22:H22"/>
    <mergeCell ref="A1:H1"/>
    <mergeCell ref="A2:H3"/>
    <mergeCell ref="A10:B11"/>
    <mergeCell ref="D10:E11"/>
    <mergeCell ref="G10:H11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4349" r:id="rId4" name="ComboBox12">
          <controlPr defaultSize="0" print="0" autoLine="0" linkedCell="E39" listFillRange="J9:J13" r:id="rId5">
            <anchor moveWithCells="1" sizeWithCells="1">
              <from>
                <xdr:col>3</xdr:col>
                <xdr:colOff>1758950</xdr:colOff>
                <xdr:row>38</xdr:row>
                <xdr:rowOff>12700</xdr:rowOff>
              </from>
              <to>
                <xdr:col>4</xdr:col>
                <xdr:colOff>2038350</xdr:colOff>
                <xdr:row>39</xdr:row>
                <xdr:rowOff>31750</xdr:rowOff>
              </to>
            </anchor>
          </controlPr>
        </control>
      </mc:Choice>
      <mc:Fallback>
        <control shapeId="14349" r:id="rId4" name="ComboBox12"/>
      </mc:Fallback>
    </mc:AlternateContent>
    <mc:AlternateContent xmlns:mc="http://schemas.openxmlformats.org/markup-compatibility/2006">
      <mc:Choice Requires="x14">
        <control shapeId="14348" r:id="rId6" name="ComboBox11">
          <controlPr defaultSize="0" print="0" autoLine="0" linkedCell="B39" listFillRange="J9:J13" r:id="rId7">
            <anchor moveWithCells="1" sizeWithCells="1">
              <from>
                <xdr:col>1</xdr:col>
                <xdr:colOff>6350</xdr:colOff>
                <xdr:row>38</xdr:row>
                <xdr:rowOff>6350</xdr:rowOff>
              </from>
              <to>
                <xdr:col>2</xdr:col>
                <xdr:colOff>6350</xdr:colOff>
                <xdr:row>39</xdr:row>
                <xdr:rowOff>19050</xdr:rowOff>
              </to>
            </anchor>
          </controlPr>
        </control>
      </mc:Choice>
      <mc:Fallback>
        <control shapeId="14348" r:id="rId6" name="ComboBox11"/>
      </mc:Fallback>
    </mc:AlternateContent>
    <mc:AlternateContent xmlns:mc="http://schemas.openxmlformats.org/markup-compatibility/2006">
      <mc:Choice Requires="x14">
        <control shapeId="14347" r:id="rId8" name="ComboBox13">
          <controlPr defaultSize="0" print="0" autoLine="0" linkedCell="H39" listFillRange="J9:J13" r:id="rId9">
            <anchor moveWithCells="1" sizeWithCells="1">
              <from>
                <xdr:col>6</xdr:col>
                <xdr:colOff>1746250</xdr:colOff>
                <xdr:row>38</xdr:row>
                <xdr:rowOff>0</xdr:rowOff>
              </from>
              <to>
                <xdr:col>7</xdr:col>
                <xdr:colOff>2000250</xdr:colOff>
                <xdr:row>39</xdr:row>
                <xdr:rowOff>25400</xdr:rowOff>
              </to>
            </anchor>
          </controlPr>
        </control>
      </mc:Choice>
      <mc:Fallback>
        <control shapeId="14347" r:id="rId8" name="ComboBox13"/>
      </mc:Fallback>
    </mc:AlternateContent>
    <mc:AlternateContent xmlns:mc="http://schemas.openxmlformats.org/markup-compatibility/2006">
      <mc:Choice Requires="x14">
        <control shapeId="14346" r:id="rId10" name="ComboBox10">
          <controlPr defaultSize="0" print="0" autoLine="0" linkedCell="H18" listFillRange="J9:J13" r:id="rId11">
            <anchor moveWithCells="1" sizeWithCells="1">
              <from>
                <xdr:col>7</xdr:col>
                <xdr:colOff>12700</xdr:colOff>
                <xdr:row>34</xdr:row>
                <xdr:rowOff>12700</xdr:rowOff>
              </from>
              <to>
                <xdr:col>8</xdr:col>
                <xdr:colOff>12700</xdr:colOff>
                <xdr:row>35</xdr:row>
                <xdr:rowOff>6350</xdr:rowOff>
              </to>
            </anchor>
          </controlPr>
        </control>
      </mc:Choice>
      <mc:Fallback>
        <control shapeId="14346" r:id="rId10" name="ComboBox10"/>
      </mc:Fallback>
    </mc:AlternateContent>
    <mc:AlternateContent xmlns:mc="http://schemas.openxmlformats.org/markup-compatibility/2006">
      <mc:Choice Requires="x14">
        <control shapeId="14345" r:id="rId12" name="ComboBox9">
          <controlPr defaultSize="0" print="0" autoLine="0" linkedCell="E18" listFillRange="J9:J13" r:id="rId13">
            <anchor moveWithCells="1" sizeWithCells="1">
              <from>
                <xdr:col>4</xdr:col>
                <xdr:colOff>12700</xdr:colOff>
                <xdr:row>17</xdr:row>
                <xdr:rowOff>12700</xdr:rowOff>
              </from>
              <to>
                <xdr:col>5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45" r:id="rId12" name="ComboBox9"/>
      </mc:Fallback>
    </mc:AlternateContent>
    <mc:AlternateContent xmlns:mc="http://schemas.openxmlformats.org/markup-compatibility/2006">
      <mc:Choice Requires="x14">
        <control shapeId="14344" r:id="rId14" name="ComboBox8">
          <controlPr defaultSize="0" print="0" autoLine="0" linkedCell="B18" listFillRange="J9:J13" r:id="rId15">
            <anchor moveWithCells="1" sizeWithCells="1">
              <from>
                <xdr:col>1</xdr:col>
                <xdr:colOff>12700</xdr:colOff>
                <xdr:row>17</xdr:row>
                <xdr:rowOff>12700</xdr:rowOff>
              </from>
              <to>
                <xdr:col>2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44" r:id="rId14" name="ComboBox8"/>
      </mc:Fallback>
    </mc:AlternateContent>
    <mc:AlternateContent xmlns:mc="http://schemas.openxmlformats.org/markup-compatibility/2006">
      <mc:Choice Requires="x14">
        <control shapeId="14343" r:id="rId16" name="ComboBox7">
          <controlPr defaultSize="0" print="0" autoLine="0" linkedCell="H35" listFillRange="J2:J7" r:id="rId17">
            <anchor moveWithCells="1" sizeWithCells="1">
              <from>
                <xdr:col>6</xdr:col>
                <xdr:colOff>1758950</xdr:colOff>
                <xdr:row>33</xdr:row>
                <xdr:rowOff>184150</xdr:rowOff>
              </from>
              <to>
                <xdr:col>7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3" r:id="rId16" name="ComboBox7"/>
      </mc:Fallback>
    </mc:AlternateContent>
    <mc:AlternateContent xmlns:mc="http://schemas.openxmlformats.org/markup-compatibility/2006">
      <mc:Choice Requires="x14">
        <control shapeId="14342" r:id="rId18" name="ComboBox6">
          <controlPr defaultSize="0" print="0" autoLine="0" linkedCell="E35" listFillRange="J2:J7" r:id="rId19">
            <anchor moveWithCells="1" sizeWithCells="1">
              <from>
                <xdr:col>3</xdr:col>
                <xdr:colOff>1758950</xdr:colOff>
                <xdr:row>33</xdr:row>
                <xdr:rowOff>184150</xdr:rowOff>
              </from>
              <to>
                <xdr:col>4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2" r:id="rId18" name="ComboBox6"/>
      </mc:Fallback>
    </mc:AlternateContent>
    <mc:AlternateContent xmlns:mc="http://schemas.openxmlformats.org/markup-compatibility/2006">
      <mc:Choice Requires="x14">
        <control shapeId="14341" r:id="rId20" name="ComboBox5">
          <controlPr defaultSize="0" print="0" autoLine="0" linkedCell="B35" listFillRange="J2:J7" r:id="rId21">
            <anchor moveWithCells="1" sizeWithCells="1">
              <from>
                <xdr:col>0</xdr:col>
                <xdr:colOff>1758950</xdr:colOff>
                <xdr:row>33</xdr:row>
                <xdr:rowOff>184150</xdr:rowOff>
              </from>
              <to>
                <xdr:col>1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1" r:id="rId20" name="ComboBox5"/>
      </mc:Fallback>
    </mc:AlternateContent>
    <mc:AlternateContent xmlns:mc="http://schemas.openxmlformats.org/markup-compatibility/2006">
      <mc:Choice Requires="x14">
        <control shapeId="14340" r:id="rId22" name="ComboBox4">
          <controlPr defaultSize="0" print="0" autoLine="0" linkedCell="H14" listFillRange="J2:J7" r:id="rId23">
            <anchor moveWithCells="1" sizeWithCells="1">
              <from>
                <xdr:col>6</xdr:col>
                <xdr:colOff>1758950</xdr:colOff>
                <xdr:row>12</xdr:row>
                <xdr:rowOff>184150</xdr:rowOff>
              </from>
              <to>
                <xdr:col>7</xdr:col>
                <xdr:colOff>2051050</xdr:colOff>
                <xdr:row>13</xdr:row>
                <xdr:rowOff>190500</xdr:rowOff>
              </to>
            </anchor>
          </controlPr>
        </control>
      </mc:Choice>
      <mc:Fallback>
        <control shapeId="14340" r:id="rId22" name="ComboBox4"/>
      </mc:Fallback>
    </mc:AlternateContent>
    <mc:AlternateContent xmlns:mc="http://schemas.openxmlformats.org/markup-compatibility/2006">
      <mc:Choice Requires="x14">
        <control shapeId="14339" r:id="rId24" name="ComboBox3">
          <controlPr defaultSize="0" print="0" autoLine="0" linkedCell="E14" listFillRange="J2:J7" r:id="rId25">
            <anchor moveWithCells="1" sizeWithCells="1">
              <from>
                <xdr:col>3</xdr:col>
                <xdr:colOff>1758950</xdr:colOff>
                <xdr:row>12</xdr:row>
                <xdr:rowOff>184150</xdr:rowOff>
              </from>
              <to>
                <xdr:col>4</xdr:col>
                <xdr:colOff>2051050</xdr:colOff>
                <xdr:row>13</xdr:row>
                <xdr:rowOff>190500</xdr:rowOff>
              </to>
            </anchor>
          </controlPr>
        </control>
      </mc:Choice>
      <mc:Fallback>
        <control shapeId="14339" r:id="rId24" name="ComboBox3"/>
      </mc:Fallback>
    </mc:AlternateContent>
    <mc:AlternateContent xmlns:mc="http://schemas.openxmlformats.org/markup-compatibility/2006">
      <mc:Choice Requires="x14">
        <control shapeId="14338" r:id="rId26" name="ComboBox2">
          <controlPr defaultSize="0" print="0" autoLine="0" linkedCell="B14" listFillRange="J2:J7" r:id="rId27">
            <anchor moveWithCells="1" sizeWithCells="1">
              <from>
                <xdr:col>0</xdr:col>
                <xdr:colOff>1758950</xdr:colOff>
                <xdr:row>12</xdr:row>
                <xdr:rowOff>184150</xdr:rowOff>
              </from>
              <to>
                <xdr:col>1</xdr:col>
                <xdr:colOff>2051050</xdr:colOff>
                <xdr:row>13</xdr:row>
                <xdr:rowOff>190500</xdr:rowOff>
              </to>
            </anchor>
          </controlPr>
        </control>
      </mc:Choice>
      <mc:Fallback>
        <control shapeId="14338" r:id="rId26" name="ComboBox2"/>
      </mc:Fallback>
    </mc:AlternateContent>
    <mc:AlternateContent xmlns:mc="http://schemas.openxmlformats.org/markup-compatibility/2006">
      <mc:Choice Requires="x14">
        <control shapeId="14337" r:id="rId28" name="ComboBox1">
          <controlPr defaultSize="0" print="0" autoLine="0" linkedCell="#REF!" listFillRange="#REF!" r:id="rId29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4337" r:id="rId28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AF0-56A9-4C19-AA1A-4191A594FA43}">
  <sheetPr>
    <tabColor theme="0"/>
  </sheetPr>
  <dimension ref="A5:E15"/>
  <sheetViews>
    <sheetView showGridLines="0" zoomScale="70" zoomScaleNormal="70" workbookViewId="0">
      <selection activeCell="E30" sqref="E30"/>
    </sheetView>
  </sheetViews>
  <sheetFormatPr defaultRowHeight="14.5" x14ac:dyDescent="0.35"/>
  <cols>
    <col min="1" max="1" width="5.08984375" style="139" customWidth="1"/>
    <col min="2" max="2" width="19.08984375" style="240" customWidth="1"/>
    <col min="3" max="5" width="33.453125" style="240" customWidth="1"/>
    <col min="6" max="16384" width="8.7265625" style="139"/>
  </cols>
  <sheetData>
    <row r="5" spans="1:5" ht="18.5" x14ac:dyDescent="0.35">
      <c r="B5" s="244" t="s">
        <v>158</v>
      </c>
      <c r="C5" s="245"/>
      <c r="D5" s="245"/>
      <c r="E5" s="245"/>
    </row>
    <row r="7" spans="1:5" s="239" customFormat="1" ht="15.5" x14ac:dyDescent="0.35">
      <c r="B7" s="241" t="s">
        <v>134</v>
      </c>
      <c r="C7" s="241" t="s">
        <v>135</v>
      </c>
      <c r="D7" s="241" t="s">
        <v>136</v>
      </c>
      <c r="E7" s="241" t="s">
        <v>137</v>
      </c>
    </row>
    <row r="8" spans="1:5" ht="56" customHeight="1" x14ac:dyDescent="0.35">
      <c r="B8" s="242" t="s">
        <v>159</v>
      </c>
      <c r="C8" s="243" t="s">
        <v>142</v>
      </c>
      <c r="D8" s="243" t="s">
        <v>147</v>
      </c>
      <c r="E8" s="243" t="s">
        <v>148</v>
      </c>
    </row>
    <row r="9" spans="1:5" ht="56" customHeight="1" x14ac:dyDescent="0.35">
      <c r="A9" s="140"/>
      <c r="B9" s="242" t="s">
        <v>140</v>
      </c>
      <c r="C9" s="243" t="s">
        <v>143</v>
      </c>
      <c r="D9" s="243" t="s">
        <v>149</v>
      </c>
      <c r="E9" s="243" t="s">
        <v>183</v>
      </c>
    </row>
    <row r="10" spans="1:5" ht="56" customHeight="1" x14ac:dyDescent="0.35">
      <c r="A10" s="140"/>
      <c r="B10" s="242" t="s">
        <v>141</v>
      </c>
      <c r="C10" s="243" t="s">
        <v>144</v>
      </c>
      <c r="D10" s="243" t="s">
        <v>150</v>
      </c>
      <c r="E10" s="243" t="s">
        <v>151</v>
      </c>
    </row>
    <row r="11" spans="1:5" ht="56" customHeight="1" x14ac:dyDescent="0.35">
      <c r="A11" s="140"/>
      <c r="B11" s="242" t="s">
        <v>138</v>
      </c>
      <c r="C11" s="243" t="s">
        <v>145</v>
      </c>
      <c r="D11" s="243" t="s">
        <v>152</v>
      </c>
      <c r="E11" s="243" t="s">
        <v>153</v>
      </c>
    </row>
    <row r="12" spans="1:5" ht="56" customHeight="1" x14ac:dyDescent="0.35">
      <c r="A12" s="140"/>
      <c r="B12" s="242" t="s">
        <v>139</v>
      </c>
      <c r="C12" s="243" t="s">
        <v>184</v>
      </c>
      <c r="D12" s="243" t="s">
        <v>154</v>
      </c>
      <c r="E12" s="243" t="s">
        <v>155</v>
      </c>
    </row>
    <row r="13" spans="1:5" ht="56" customHeight="1" x14ac:dyDescent="0.35">
      <c r="A13" s="140"/>
      <c r="B13" s="242" t="s">
        <v>11</v>
      </c>
      <c r="C13" s="243" t="s">
        <v>146</v>
      </c>
      <c r="D13" s="243" t="s">
        <v>156</v>
      </c>
      <c r="E13" s="243" t="s">
        <v>157</v>
      </c>
    </row>
    <row r="14" spans="1:5" x14ac:dyDescent="0.35">
      <c r="A14" s="140"/>
    </row>
    <row r="15" spans="1:5" x14ac:dyDescent="0.35">
      <c r="A15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3 Linked Financial Statements</vt:lpstr>
      <vt:lpstr>Enterprise Valuation Method</vt:lpstr>
      <vt:lpstr>EBITDA Method</vt:lpstr>
      <vt:lpstr>TDC Interactive Calculator</vt:lpstr>
      <vt:lpstr>LTIP Financial Metric Compariso</vt:lpstr>
      <vt:lpstr>'3 Linked Financial Statements'!Print_Area</vt:lpstr>
      <vt:lpstr>'EBITDA Method'!Print_Area</vt:lpstr>
      <vt:lpstr>'Enterprise Valuation Method'!Print_Area</vt:lpstr>
      <vt:lpstr>'TDC Interactive Calculator'!Print_Area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2025-05-08T19:30:18Z</dcterms:modified>
</cp:coreProperties>
</file>