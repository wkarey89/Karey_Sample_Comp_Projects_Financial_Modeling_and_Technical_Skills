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kare\OneDrive\Desktop\1) Comp Portfolio\0) GitHub\"/>
    </mc:Choice>
  </mc:AlternateContent>
  <xr:revisionPtr revIDLastSave="0" documentId="13_ncr:1_{F1521BBA-42A7-4B6A-A835-EE113AF656A1}" xr6:coauthVersionLast="47" xr6:coauthVersionMax="47" xr10:uidLastSave="{00000000-0000-0000-0000-000000000000}"/>
  <bookViews>
    <workbookView xWindow="-110" yWindow="-110" windowWidth="38620" windowHeight="21100" activeTab="2" xr2:uid="{96E9E096-924C-40F0-9D07-41941820CE90}"/>
  </bookViews>
  <sheets>
    <sheet name="STI Calculator" sheetId="1" r:id="rId1"/>
    <sheet name="Proration " sheetId="8" state="hidden" r:id="rId2"/>
    <sheet name="LTI Model- draft" sheetId="3" r:id="rId3"/>
    <sheet name="Board Presentation Ideas- Draft" sheetId="9" r:id="rId4"/>
    <sheet name="Income Statement" sheetId="6" state="veryHidden" r:id="rId5"/>
    <sheet name="Simulations" sheetId="7" state="very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2" i="1"/>
  <c r="N11" i="8"/>
  <c r="B4" i="8"/>
  <c r="N13" i="8"/>
  <c r="D11" i="8"/>
  <c r="D13" i="8"/>
  <c r="D14" i="8"/>
  <c r="E11" i="8"/>
  <c r="E13" i="8"/>
  <c r="E14" i="8"/>
  <c r="F11" i="8"/>
  <c r="F13" i="8"/>
  <c r="F14" i="8"/>
  <c r="G11" i="8"/>
  <c r="G13" i="8"/>
  <c r="G14" i="8"/>
  <c r="H11" i="8"/>
  <c r="H13" i="8"/>
  <c r="H14" i="8"/>
  <c r="I11" i="8"/>
  <c r="I13" i="8"/>
  <c r="I14" i="8"/>
  <c r="J11" i="8"/>
  <c r="J13" i="8"/>
  <c r="J14" i="8"/>
  <c r="K11" i="8"/>
  <c r="K13" i="8"/>
  <c r="K14" i="8"/>
  <c r="L11" i="8"/>
  <c r="L13" i="8"/>
  <c r="L14" i="8"/>
  <c r="M11" i="8"/>
  <c r="M13" i="8"/>
  <c r="M14" i="8"/>
  <c r="N14" i="8"/>
  <c r="C11" i="8"/>
  <c r="C13" i="8"/>
  <c r="C14" i="8"/>
  <c r="B6" i="8"/>
  <c r="R12" i="8"/>
  <c r="B5" i="8"/>
  <c r="C11" i="1"/>
  <c r="C32" i="1"/>
  <c r="G34" i="6"/>
  <c r="H34" i="6"/>
  <c r="I34" i="6"/>
  <c r="J34" i="6"/>
  <c r="K34" i="6"/>
  <c r="L34" i="6"/>
  <c r="M34" i="6"/>
  <c r="N34" i="6"/>
  <c r="O34" i="6"/>
  <c r="O21" i="6"/>
  <c r="O6" i="6"/>
  <c r="O13" i="6"/>
  <c r="F22" i="3"/>
  <c r="N21" i="6"/>
  <c r="N6" i="6"/>
  <c r="N13" i="6"/>
  <c r="F21" i="3"/>
  <c r="G22" i="3"/>
  <c r="J22" i="3"/>
  <c r="H22" i="3"/>
  <c r="L22" i="3"/>
  <c r="M22" i="3"/>
  <c r="M21" i="6"/>
  <c r="M6" i="6"/>
  <c r="M13" i="6"/>
  <c r="F20" i="3"/>
  <c r="G21" i="3"/>
  <c r="J21" i="3"/>
  <c r="H21" i="3"/>
  <c r="L21" i="3"/>
  <c r="M21" i="3"/>
  <c r="L21" i="6"/>
  <c r="L6" i="6"/>
  <c r="L13" i="6"/>
  <c r="F19" i="3"/>
  <c r="G20" i="3"/>
  <c r="J20" i="3"/>
  <c r="H20" i="3"/>
  <c r="L20" i="3"/>
  <c r="M20" i="3"/>
  <c r="K21" i="6"/>
  <c r="K6" i="6"/>
  <c r="K13" i="6"/>
  <c r="F18" i="3"/>
  <c r="G19" i="3"/>
  <c r="J19" i="3"/>
  <c r="H19" i="3"/>
  <c r="L19" i="3"/>
  <c r="M19" i="3"/>
  <c r="J21" i="6"/>
  <c r="J6" i="6"/>
  <c r="J13" i="6"/>
  <c r="F17" i="3"/>
  <c r="G18" i="3"/>
  <c r="J18" i="3"/>
  <c r="H18" i="3"/>
  <c r="L18" i="3"/>
  <c r="M18" i="3"/>
  <c r="I21" i="6"/>
  <c r="I6" i="6"/>
  <c r="I13" i="6"/>
  <c r="F16" i="3"/>
  <c r="G17" i="3"/>
  <c r="J17" i="3"/>
  <c r="H17" i="3"/>
  <c r="L17" i="3"/>
  <c r="M17" i="3"/>
  <c r="H21" i="6"/>
  <c r="H6" i="6"/>
  <c r="H13" i="6"/>
  <c r="F15" i="3"/>
  <c r="G16" i="3"/>
  <c r="J16" i="3"/>
  <c r="H16" i="3"/>
  <c r="L16" i="3"/>
  <c r="M16" i="3"/>
  <c r="G21" i="6"/>
  <c r="G6" i="6"/>
  <c r="G13" i="6"/>
  <c r="F14" i="3"/>
  <c r="G15" i="3"/>
  <c r="J15" i="3"/>
  <c r="H15" i="3"/>
  <c r="L15" i="3"/>
  <c r="M15" i="3"/>
  <c r="K22" i="3"/>
  <c r="K21" i="3"/>
  <c r="K20" i="3"/>
  <c r="K19" i="3"/>
  <c r="K18" i="3"/>
  <c r="D16" i="1"/>
  <c r="B19" i="1"/>
  <c r="F18" i="7"/>
  <c r="F19" i="7" s="1"/>
  <c r="F20" i="7" s="1"/>
  <c r="F21" i="7" s="1"/>
  <c r="F22" i="7" s="1"/>
  <c r="F23" i="7" s="1"/>
  <c r="F24" i="7" s="1"/>
  <c r="F25" i="7" s="1"/>
  <c r="F26" i="7" s="1"/>
  <c r="F27" i="7" s="1"/>
  <c r="G18" i="7"/>
  <c r="G19" i="7" s="1"/>
  <c r="G20" i="7" s="1"/>
  <c r="G21" i="7" s="1"/>
  <c r="G22" i="7" s="1"/>
  <c r="G23" i="7" s="1"/>
  <c r="G24" i="7" s="1"/>
  <c r="G25" i="7" s="1"/>
  <c r="G26" i="7" s="1"/>
  <c r="G27" i="7" s="1"/>
  <c r="H18" i="7"/>
  <c r="H19" i="7" s="1"/>
  <c r="H20" i="7" s="1"/>
  <c r="H21" i="7" s="1"/>
  <c r="H22" i="7" s="1"/>
  <c r="H23" i="7" s="1"/>
  <c r="H24" i="7" s="1"/>
  <c r="H25" i="7" s="1"/>
  <c r="H26" i="7" s="1"/>
  <c r="H27" i="7" s="1"/>
  <c r="I18" i="7"/>
  <c r="I19" i="7" s="1"/>
  <c r="I20" i="7" s="1"/>
  <c r="I21" i="7" s="1"/>
  <c r="I22" i="7" s="1"/>
  <c r="I23" i="7" s="1"/>
  <c r="I24" i="7" s="1"/>
  <c r="I25" i="7" s="1"/>
  <c r="I26" i="7" s="1"/>
  <c r="J18" i="7"/>
  <c r="J19" i="7" s="1"/>
  <c r="J20" i="7" s="1"/>
  <c r="J21" i="7" s="1"/>
  <c r="J22" i="7" s="1"/>
  <c r="J23" i="7" s="1"/>
  <c r="J24" i="7" s="1"/>
  <c r="J25" i="7" s="1"/>
  <c r="J26" i="7" s="1"/>
  <c r="K18" i="7"/>
  <c r="K19" i="7" s="1"/>
  <c r="K20" i="7" s="1"/>
  <c r="K21" i="7" s="1"/>
  <c r="K22" i="7" s="1"/>
  <c r="K23" i="7" s="1"/>
  <c r="K24" i="7" s="1"/>
  <c r="K25" i="7" s="1"/>
  <c r="K26" i="7" s="1"/>
  <c r="K27" i="7" s="1"/>
  <c r="L18" i="7"/>
  <c r="L19" i="7" s="1"/>
  <c r="L20" i="7" s="1"/>
  <c r="L21" i="7" s="1"/>
  <c r="L22" i="7" s="1"/>
  <c r="L23" i="7" s="1"/>
  <c r="L24" i="7" s="1"/>
  <c r="L25" i="7" s="1"/>
  <c r="L26" i="7" s="1"/>
  <c r="L27" i="7" s="1"/>
  <c r="M18" i="7"/>
  <c r="M19" i="7" s="1"/>
  <c r="M20" i="7" s="1"/>
  <c r="M21" i="7" s="1"/>
  <c r="M22" i="7" s="1"/>
  <c r="M23" i="7" s="1"/>
  <c r="M24" i="7" s="1"/>
  <c r="M25" i="7" s="1"/>
  <c r="M26" i="7" s="1"/>
  <c r="M27" i="7" s="1"/>
  <c r="N18" i="7"/>
  <c r="N19" i="7" s="1"/>
  <c r="N20" i="7" s="1"/>
  <c r="N21" i="7" s="1"/>
  <c r="N22" i="7" s="1"/>
  <c r="N23" i="7" s="1"/>
  <c r="N24" i="7" s="1"/>
  <c r="N25" i="7" s="1"/>
  <c r="N26" i="7" s="1"/>
  <c r="N27" i="7" s="1"/>
  <c r="O18" i="7"/>
  <c r="O19" i="7" s="1"/>
  <c r="O20" i="7" s="1"/>
  <c r="O21" i="7" s="1"/>
  <c r="O22" i="7" s="1"/>
  <c r="O23" i="7" s="1"/>
  <c r="O24" i="7" s="1"/>
  <c r="O25" i="7" s="1"/>
  <c r="O26" i="7" s="1"/>
  <c r="O27" i="7" s="1"/>
  <c r="P18" i="7"/>
  <c r="P19" i="7" s="1"/>
  <c r="P20" i="7" s="1"/>
  <c r="P21" i="7" s="1"/>
  <c r="P22" i="7" s="1"/>
  <c r="P23" i="7" s="1"/>
  <c r="P24" i="7" s="1"/>
  <c r="P25" i="7" s="1"/>
  <c r="P26" i="7" s="1"/>
  <c r="P27" i="7" s="1"/>
  <c r="Q18" i="7"/>
  <c r="Q19" i="7" s="1"/>
  <c r="Q20" i="7" s="1"/>
  <c r="Q21" i="7" s="1"/>
  <c r="Q22" i="7" s="1"/>
  <c r="Q23" i="7" s="1"/>
  <c r="Q24" i="7" s="1"/>
  <c r="Q25" i="7" s="1"/>
  <c r="Q26" i="7" s="1"/>
  <c r="Q27" i="7" s="1"/>
  <c r="R18" i="7"/>
  <c r="R19" i="7" s="1"/>
  <c r="R20" i="7" s="1"/>
  <c r="R21" i="7" s="1"/>
  <c r="R22" i="7" s="1"/>
  <c r="R23" i="7" s="1"/>
  <c r="R24" i="7" s="1"/>
  <c r="R25" i="7" s="1"/>
  <c r="R26" i="7" s="1"/>
  <c r="R27" i="7" s="1"/>
  <c r="S18" i="7"/>
  <c r="S19" i="7" s="1"/>
  <c r="S20" i="7" s="1"/>
  <c r="S21" i="7" s="1"/>
  <c r="S22" i="7" s="1"/>
  <c r="S23" i="7" s="1"/>
  <c r="S24" i="7" s="1"/>
  <c r="S25" i="7" s="1"/>
  <c r="S26" i="7" s="1"/>
  <c r="S27" i="7" s="1"/>
  <c r="T18" i="7"/>
  <c r="T19" i="7" s="1"/>
  <c r="T20" i="7" s="1"/>
  <c r="T21" i="7" s="1"/>
  <c r="T22" i="7" s="1"/>
  <c r="T23" i="7" s="1"/>
  <c r="T24" i="7" s="1"/>
  <c r="T25" i="7" s="1"/>
  <c r="T26" i="7" s="1"/>
  <c r="T27" i="7" s="1"/>
  <c r="U18" i="7"/>
  <c r="U19" i="7" s="1"/>
  <c r="U20" i="7" s="1"/>
  <c r="U21" i="7" s="1"/>
  <c r="U22" i="7" s="1"/>
  <c r="U23" i="7" s="1"/>
  <c r="U24" i="7" s="1"/>
  <c r="U25" i="7" s="1"/>
  <c r="U26" i="7" s="1"/>
  <c r="U27" i="7" s="1"/>
  <c r="V18" i="7"/>
  <c r="V19" i="7" s="1"/>
  <c r="V20" i="7" s="1"/>
  <c r="V21" i="7" s="1"/>
  <c r="V22" i="7" s="1"/>
  <c r="V23" i="7" s="1"/>
  <c r="V24" i="7" s="1"/>
  <c r="V25" i="7" s="1"/>
  <c r="V26" i="7" s="1"/>
  <c r="V27" i="7" s="1"/>
  <c r="W18" i="7"/>
  <c r="W19" i="7" s="1"/>
  <c r="W20" i="7" s="1"/>
  <c r="W21" i="7" s="1"/>
  <c r="W22" i="7" s="1"/>
  <c r="W23" i="7" s="1"/>
  <c r="W24" i="7" s="1"/>
  <c r="W25" i="7" s="1"/>
  <c r="W26" i="7" s="1"/>
  <c r="W27" i="7" s="1"/>
  <c r="X18" i="7"/>
  <c r="X19" i="7" s="1"/>
  <c r="X20" i="7" s="1"/>
  <c r="X21" i="7" s="1"/>
  <c r="X22" i="7" s="1"/>
  <c r="X23" i="7" s="1"/>
  <c r="X24" i="7" s="1"/>
  <c r="X25" i="7" s="1"/>
  <c r="X26" i="7" s="1"/>
  <c r="X27" i="7" s="1"/>
  <c r="Y18" i="7"/>
  <c r="Y19" i="7" s="1"/>
  <c r="Y20" i="7" s="1"/>
  <c r="Y21" i="7" s="1"/>
  <c r="Y22" i="7" s="1"/>
  <c r="Y23" i="7" s="1"/>
  <c r="Y24" i="7" s="1"/>
  <c r="Y25" i="7" s="1"/>
  <c r="Y26" i="7" s="1"/>
  <c r="Y27" i="7" s="1"/>
  <c r="Z18" i="7"/>
  <c r="Z19" i="7" s="1"/>
  <c r="Z20" i="7" s="1"/>
  <c r="Z21" i="7" s="1"/>
  <c r="Z22" i="7" s="1"/>
  <c r="Z23" i="7" s="1"/>
  <c r="Z24" i="7" s="1"/>
  <c r="Z25" i="7" s="1"/>
  <c r="Z26" i="7" s="1"/>
  <c r="Z27" i="7" s="1"/>
  <c r="AA18" i="7"/>
  <c r="AA19" i="7" s="1"/>
  <c r="AA20" i="7" s="1"/>
  <c r="AA21" i="7" s="1"/>
  <c r="AA22" i="7" s="1"/>
  <c r="AA23" i="7" s="1"/>
  <c r="AA24" i="7" s="1"/>
  <c r="AA25" i="7" s="1"/>
  <c r="AA26" i="7" s="1"/>
  <c r="AA27" i="7" s="1"/>
  <c r="AB18" i="7"/>
  <c r="AB19" i="7" s="1"/>
  <c r="AB20" i="7" s="1"/>
  <c r="AB21" i="7" s="1"/>
  <c r="AB22" i="7" s="1"/>
  <c r="AB23" i="7" s="1"/>
  <c r="AB24" i="7" s="1"/>
  <c r="AB25" i="7" s="1"/>
  <c r="AB26" i="7" s="1"/>
  <c r="AB27" i="7" s="1"/>
  <c r="AC18" i="7"/>
  <c r="AC19" i="7" s="1"/>
  <c r="AC20" i="7" s="1"/>
  <c r="AC21" i="7" s="1"/>
  <c r="AC22" i="7" s="1"/>
  <c r="AC23" i="7" s="1"/>
  <c r="AC24" i="7" s="1"/>
  <c r="AC25" i="7" s="1"/>
  <c r="AC26" i="7" s="1"/>
  <c r="AC27" i="7" s="1"/>
  <c r="AD18" i="7"/>
  <c r="AD19" i="7" s="1"/>
  <c r="AD20" i="7" s="1"/>
  <c r="AD21" i="7" s="1"/>
  <c r="AD22" i="7" s="1"/>
  <c r="AD23" i="7" s="1"/>
  <c r="AD24" i="7" s="1"/>
  <c r="AD25" i="7" s="1"/>
  <c r="AD26" i="7" s="1"/>
  <c r="AD27" i="7" s="1"/>
  <c r="AE18" i="7"/>
  <c r="AE19" i="7" s="1"/>
  <c r="AE20" i="7" s="1"/>
  <c r="AE21" i="7" s="1"/>
  <c r="AE22" i="7" s="1"/>
  <c r="AE23" i="7" s="1"/>
  <c r="AE24" i="7" s="1"/>
  <c r="AE25" i="7" s="1"/>
  <c r="AE26" i="7" s="1"/>
  <c r="AE27" i="7" s="1"/>
  <c r="AF18" i="7"/>
  <c r="AF19" i="7" s="1"/>
  <c r="AF20" i="7" s="1"/>
  <c r="AF21" i="7" s="1"/>
  <c r="AF22" i="7" s="1"/>
  <c r="AF23" i="7" s="1"/>
  <c r="AF24" i="7" s="1"/>
  <c r="AF25" i="7" s="1"/>
  <c r="AF26" i="7" s="1"/>
  <c r="AF27" i="7" s="1"/>
  <c r="AG18" i="7"/>
  <c r="AG19" i="7" s="1"/>
  <c r="AG20" i="7" s="1"/>
  <c r="AG21" i="7" s="1"/>
  <c r="AG22" i="7" s="1"/>
  <c r="AG23" i="7" s="1"/>
  <c r="AG24" i="7" s="1"/>
  <c r="AG25" i="7" s="1"/>
  <c r="AG26" i="7" s="1"/>
  <c r="AG27" i="7" s="1"/>
  <c r="AH18" i="7"/>
  <c r="AH19" i="7" s="1"/>
  <c r="AH20" i="7" s="1"/>
  <c r="AH21" i="7" s="1"/>
  <c r="AH22" i="7" s="1"/>
  <c r="AH23" i="7" s="1"/>
  <c r="AH24" i="7" s="1"/>
  <c r="AH25" i="7" s="1"/>
  <c r="AH26" i="7" s="1"/>
  <c r="AH27" i="7" s="1"/>
  <c r="AI18" i="7"/>
  <c r="AI19" i="7" s="1"/>
  <c r="AI20" i="7" s="1"/>
  <c r="AI21" i="7" s="1"/>
  <c r="AI22" i="7" s="1"/>
  <c r="AI23" i="7" s="1"/>
  <c r="AI24" i="7" s="1"/>
  <c r="AI25" i="7" s="1"/>
  <c r="AI26" i="7" s="1"/>
  <c r="AI27" i="7" s="1"/>
  <c r="AJ18" i="7"/>
  <c r="AJ19" i="7" s="1"/>
  <c r="AJ20" i="7" s="1"/>
  <c r="AJ21" i="7" s="1"/>
  <c r="AJ22" i="7" s="1"/>
  <c r="AJ23" i="7" s="1"/>
  <c r="AJ24" i="7" s="1"/>
  <c r="AJ25" i="7" s="1"/>
  <c r="AJ26" i="7" s="1"/>
  <c r="AJ27" i="7" s="1"/>
  <c r="AK18" i="7"/>
  <c r="AK19" i="7" s="1"/>
  <c r="AK20" i="7" s="1"/>
  <c r="AK21" i="7" s="1"/>
  <c r="AK22" i="7" s="1"/>
  <c r="AK23" i="7" s="1"/>
  <c r="AK24" i="7" s="1"/>
  <c r="AK25" i="7" s="1"/>
  <c r="AK26" i="7" s="1"/>
  <c r="AK27" i="7" s="1"/>
  <c r="AL18" i="7"/>
  <c r="AL19" i="7" s="1"/>
  <c r="AL20" i="7" s="1"/>
  <c r="AL21" i="7" s="1"/>
  <c r="AL22" i="7" s="1"/>
  <c r="AL23" i="7" s="1"/>
  <c r="AL24" i="7" s="1"/>
  <c r="AL25" i="7" s="1"/>
  <c r="AL26" i="7" s="1"/>
  <c r="AL27" i="7" s="1"/>
  <c r="AM18" i="7"/>
  <c r="AM19" i="7" s="1"/>
  <c r="AM20" i="7" s="1"/>
  <c r="AM21" i="7" s="1"/>
  <c r="AM22" i="7" s="1"/>
  <c r="AM23" i="7" s="1"/>
  <c r="AM24" i="7" s="1"/>
  <c r="AM25" i="7" s="1"/>
  <c r="AM26" i="7" s="1"/>
  <c r="AM27" i="7" s="1"/>
  <c r="AN18" i="7"/>
  <c r="AN19" i="7" s="1"/>
  <c r="AN20" i="7" s="1"/>
  <c r="AN21" i="7" s="1"/>
  <c r="AN22" i="7" s="1"/>
  <c r="AN23" i="7" s="1"/>
  <c r="AN24" i="7" s="1"/>
  <c r="AN25" i="7" s="1"/>
  <c r="AN26" i="7" s="1"/>
  <c r="AN27" i="7" s="1"/>
  <c r="AO18" i="7"/>
  <c r="AO19" i="7" s="1"/>
  <c r="AO20" i="7" s="1"/>
  <c r="AO21" i="7" s="1"/>
  <c r="AO22" i="7" s="1"/>
  <c r="AO23" i="7" s="1"/>
  <c r="AO24" i="7" s="1"/>
  <c r="AO25" i="7" s="1"/>
  <c r="AO26" i="7" s="1"/>
  <c r="AO27" i="7" s="1"/>
  <c r="AP18" i="7"/>
  <c r="AP19" i="7" s="1"/>
  <c r="AP20" i="7" s="1"/>
  <c r="AP21" i="7" s="1"/>
  <c r="AP22" i="7" s="1"/>
  <c r="AP23" i="7" s="1"/>
  <c r="AP24" i="7" s="1"/>
  <c r="AP25" i="7" s="1"/>
  <c r="AP26" i="7" s="1"/>
  <c r="AP27" i="7" s="1"/>
  <c r="AQ18" i="7"/>
  <c r="AQ19" i="7" s="1"/>
  <c r="AQ20" i="7" s="1"/>
  <c r="AQ21" i="7" s="1"/>
  <c r="AQ22" i="7" s="1"/>
  <c r="AQ23" i="7" s="1"/>
  <c r="AQ24" i="7" s="1"/>
  <c r="AQ25" i="7" s="1"/>
  <c r="AQ26" i="7" s="1"/>
  <c r="AQ27" i="7" s="1"/>
  <c r="AR18" i="7"/>
  <c r="AR19" i="7" s="1"/>
  <c r="AR20" i="7" s="1"/>
  <c r="AR21" i="7" s="1"/>
  <c r="AR22" i="7" s="1"/>
  <c r="AR23" i="7" s="1"/>
  <c r="AR24" i="7" s="1"/>
  <c r="AR25" i="7" s="1"/>
  <c r="AR26" i="7" s="1"/>
  <c r="AR27" i="7" s="1"/>
  <c r="AS18" i="7"/>
  <c r="AS19" i="7" s="1"/>
  <c r="AS20" i="7" s="1"/>
  <c r="AS21" i="7" s="1"/>
  <c r="AS22" i="7" s="1"/>
  <c r="AS23" i="7" s="1"/>
  <c r="AS24" i="7" s="1"/>
  <c r="AS25" i="7" s="1"/>
  <c r="AS26" i="7" s="1"/>
  <c r="AS27" i="7" s="1"/>
  <c r="AT18" i="7"/>
  <c r="AT19" i="7" s="1"/>
  <c r="AT20" i="7" s="1"/>
  <c r="AT21" i="7" s="1"/>
  <c r="AT22" i="7" s="1"/>
  <c r="AT23" i="7" s="1"/>
  <c r="AT24" i="7" s="1"/>
  <c r="AT25" i="7" s="1"/>
  <c r="AT26" i="7" s="1"/>
  <c r="AT27" i="7" s="1"/>
  <c r="AU18" i="7"/>
  <c r="AU19" i="7" s="1"/>
  <c r="AU20" i="7" s="1"/>
  <c r="AU21" i="7" s="1"/>
  <c r="AU22" i="7" s="1"/>
  <c r="AU23" i="7" s="1"/>
  <c r="AU24" i="7" s="1"/>
  <c r="AU25" i="7" s="1"/>
  <c r="AU26" i="7" s="1"/>
  <c r="AU27" i="7" s="1"/>
  <c r="AV18" i="7"/>
  <c r="AV19" i="7" s="1"/>
  <c r="AV20" i="7" s="1"/>
  <c r="AV21" i="7" s="1"/>
  <c r="AV22" i="7" s="1"/>
  <c r="AV23" i="7" s="1"/>
  <c r="AV24" i="7" s="1"/>
  <c r="AV25" i="7" s="1"/>
  <c r="AV26" i="7" s="1"/>
  <c r="AV27" i="7" s="1"/>
  <c r="AW18" i="7"/>
  <c r="AW19" i="7" s="1"/>
  <c r="AW20" i="7" s="1"/>
  <c r="AW21" i="7" s="1"/>
  <c r="AW22" i="7" s="1"/>
  <c r="AW23" i="7" s="1"/>
  <c r="AW24" i="7" s="1"/>
  <c r="AW25" i="7" s="1"/>
  <c r="AW26" i="7" s="1"/>
  <c r="AW27" i="7" s="1"/>
  <c r="AX18" i="7"/>
  <c r="AX19" i="7" s="1"/>
  <c r="AX20" i="7" s="1"/>
  <c r="AX21" i="7" s="1"/>
  <c r="AX22" i="7" s="1"/>
  <c r="AX23" i="7" s="1"/>
  <c r="AX24" i="7" s="1"/>
  <c r="AX25" i="7" s="1"/>
  <c r="AX26" i="7" s="1"/>
  <c r="AX27" i="7" s="1"/>
  <c r="AY18" i="7"/>
  <c r="AY19" i="7" s="1"/>
  <c r="AY20" i="7" s="1"/>
  <c r="AY21" i="7" s="1"/>
  <c r="AY22" i="7" s="1"/>
  <c r="AY23" i="7" s="1"/>
  <c r="AY24" i="7" s="1"/>
  <c r="AY25" i="7" s="1"/>
  <c r="AY26" i="7" s="1"/>
  <c r="AY27" i="7" s="1"/>
  <c r="AZ18" i="7"/>
  <c r="AZ19" i="7" s="1"/>
  <c r="AZ20" i="7" s="1"/>
  <c r="AZ21" i="7" s="1"/>
  <c r="AZ22" i="7" s="1"/>
  <c r="AZ23" i="7" s="1"/>
  <c r="AZ24" i="7" s="1"/>
  <c r="AZ25" i="7" s="1"/>
  <c r="AZ26" i="7" s="1"/>
  <c r="AZ27" i="7" s="1"/>
  <c r="BA18" i="7"/>
  <c r="BA19" i="7" s="1"/>
  <c r="BA20" i="7" s="1"/>
  <c r="BA21" i="7" s="1"/>
  <c r="BA22" i="7" s="1"/>
  <c r="BA23" i="7" s="1"/>
  <c r="BA24" i="7" s="1"/>
  <c r="BA25" i="7" s="1"/>
  <c r="BA26" i="7" s="1"/>
  <c r="BA27" i="7" s="1"/>
  <c r="BB18" i="7"/>
  <c r="BB19" i="7" s="1"/>
  <c r="BB20" i="7" s="1"/>
  <c r="BB21" i="7" s="1"/>
  <c r="BB22" i="7" s="1"/>
  <c r="BB23" i="7" s="1"/>
  <c r="BB24" i="7" s="1"/>
  <c r="BB25" i="7" s="1"/>
  <c r="BB26" i="7" s="1"/>
  <c r="BB27" i="7" s="1"/>
  <c r="BC18" i="7"/>
  <c r="BC19" i="7" s="1"/>
  <c r="BC20" i="7" s="1"/>
  <c r="BC21" i="7" s="1"/>
  <c r="BC22" i="7" s="1"/>
  <c r="BC23" i="7" s="1"/>
  <c r="BC24" i="7" s="1"/>
  <c r="BC25" i="7" s="1"/>
  <c r="BC26" i="7" s="1"/>
  <c r="BC27" i="7" s="1"/>
  <c r="BD18" i="7"/>
  <c r="BD19" i="7" s="1"/>
  <c r="BD20" i="7" s="1"/>
  <c r="BD21" i="7" s="1"/>
  <c r="BD22" i="7" s="1"/>
  <c r="BD23" i="7" s="1"/>
  <c r="BD24" i="7" s="1"/>
  <c r="BD25" i="7" s="1"/>
  <c r="BD26" i="7" s="1"/>
  <c r="BD27" i="7" s="1"/>
  <c r="BE18" i="7"/>
  <c r="BE19" i="7" s="1"/>
  <c r="BE20" i="7" s="1"/>
  <c r="BE21" i="7" s="1"/>
  <c r="BE22" i="7" s="1"/>
  <c r="BE23" i="7" s="1"/>
  <c r="BE24" i="7" s="1"/>
  <c r="BE25" i="7" s="1"/>
  <c r="BE26" i="7" s="1"/>
  <c r="BE27" i="7" s="1"/>
  <c r="BF18" i="7"/>
  <c r="BF19" i="7" s="1"/>
  <c r="BF20" i="7" s="1"/>
  <c r="BF21" i="7" s="1"/>
  <c r="BF22" i="7" s="1"/>
  <c r="BF23" i="7" s="1"/>
  <c r="BF24" i="7" s="1"/>
  <c r="BF25" i="7" s="1"/>
  <c r="BF26" i="7" s="1"/>
  <c r="BF27" i="7" s="1"/>
  <c r="BG18" i="7"/>
  <c r="BG19" i="7" s="1"/>
  <c r="BG20" i="7" s="1"/>
  <c r="BG21" i="7" s="1"/>
  <c r="BG22" i="7" s="1"/>
  <c r="BG23" i="7" s="1"/>
  <c r="BG24" i="7" s="1"/>
  <c r="BG25" i="7" s="1"/>
  <c r="BG26" i="7" s="1"/>
  <c r="BG27" i="7" s="1"/>
  <c r="BH18" i="7"/>
  <c r="BH19" i="7" s="1"/>
  <c r="BH20" i="7" s="1"/>
  <c r="BH21" i="7" s="1"/>
  <c r="BH22" i="7" s="1"/>
  <c r="BH23" i="7" s="1"/>
  <c r="BH24" i="7" s="1"/>
  <c r="BH25" i="7" s="1"/>
  <c r="BH26" i="7" s="1"/>
  <c r="BH27" i="7" s="1"/>
  <c r="BI18" i="7"/>
  <c r="BI19" i="7" s="1"/>
  <c r="BI20" i="7" s="1"/>
  <c r="BI21" i="7" s="1"/>
  <c r="BI22" i="7" s="1"/>
  <c r="BI23" i="7" s="1"/>
  <c r="BI24" i="7" s="1"/>
  <c r="BI25" i="7" s="1"/>
  <c r="BI26" i="7" s="1"/>
  <c r="BI27" i="7" s="1"/>
  <c r="BJ18" i="7"/>
  <c r="BJ19" i="7" s="1"/>
  <c r="BJ20" i="7" s="1"/>
  <c r="BJ21" i="7" s="1"/>
  <c r="BJ22" i="7" s="1"/>
  <c r="BJ23" i="7" s="1"/>
  <c r="BJ24" i="7" s="1"/>
  <c r="BJ25" i="7" s="1"/>
  <c r="BJ26" i="7" s="1"/>
  <c r="BJ27" i="7" s="1"/>
  <c r="BK18" i="7"/>
  <c r="BK19" i="7" s="1"/>
  <c r="BK20" i="7" s="1"/>
  <c r="BK21" i="7" s="1"/>
  <c r="BK22" i="7" s="1"/>
  <c r="BK23" i="7" s="1"/>
  <c r="BK24" i="7" s="1"/>
  <c r="BK25" i="7" s="1"/>
  <c r="BK26" i="7" s="1"/>
  <c r="BK27" i="7" s="1"/>
  <c r="BL18" i="7"/>
  <c r="BL19" i="7" s="1"/>
  <c r="BL20" i="7" s="1"/>
  <c r="BL21" i="7" s="1"/>
  <c r="BL22" i="7" s="1"/>
  <c r="BL23" i="7" s="1"/>
  <c r="BL24" i="7" s="1"/>
  <c r="BL25" i="7" s="1"/>
  <c r="BL26" i="7" s="1"/>
  <c r="BL27" i="7" s="1"/>
  <c r="BM18" i="7"/>
  <c r="BM19" i="7" s="1"/>
  <c r="BM20" i="7" s="1"/>
  <c r="BM21" i="7" s="1"/>
  <c r="BM22" i="7" s="1"/>
  <c r="BM23" i="7" s="1"/>
  <c r="BM24" i="7" s="1"/>
  <c r="BM25" i="7" s="1"/>
  <c r="BM26" i="7" s="1"/>
  <c r="BM27" i="7" s="1"/>
  <c r="BN18" i="7"/>
  <c r="BN19" i="7" s="1"/>
  <c r="BN20" i="7" s="1"/>
  <c r="BN21" i="7" s="1"/>
  <c r="BN22" i="7" s="1"/>
  <c r="BN23" i="7" s="1"/>
  <c r="BN24" i="7" s="1"/>
  <c r="BN25" i="7" s="1"/>
  <c r="BN26" i="7" s="1"/>
  <c r="BN27" i="7" s="1"/>
  <c r="BO18" i="7"/>
  <c r="BO19" i="7" s="1"/>
  <c r="BO20" i="7" s="1"/>
  <c r="BO21" i="7" s="1"/>
  <c r="BO22" i="7" s="1"/>
  <c r="BO23" i="7" s="1"/>
  <c r="BO24" i="7" s="1"/>
  <c r="BO25" i="7" s="1"/>
  <c r="BO26" i="7" s="1"/>
  <c r="BO27" i="7" s="1"/>
  <c r="BP18" i="7"/>
  <c r="BP19" i="7" s="1"/>
  <c r="BP20" i="7" s="1"/>
  <c r="BP21" i="7" s="1"/>
  <c r="BP22" i="7" s="1"/>
  <c r="BP23" i="7" s="1"/>
  <c r="BP24" i="7" s="1"/>
  <c r="BP25" i="7" s="1"/>
  <c r="BP26" i="7" s="1"/>
  <c r="BP27" i="7" s="1"/>
  <c r="BQ18" i="7"/>
  <c r="BQ19" i="7" s="1"/>
  <c r="BQ20" i="7" s="1"/>
  <c r="BQ21" i="7" s="1"/>
  <c r="BQ22" i="7" s="1"/>
  <c r="BQ23" i="7" s="1"/>
  <c r="BQ24" i="7" s="1"/>
  <c r="BQ25" i="7" s="1"/>
  <c r="BQ26" i="7" s="1"/>
  <c r="BQ27" i="7" s="1"/>
  <c r="BR18" i="7"/>
  <c r="BR19" i="7" s="1"/>
  <c r="BR20" i="7" s="1"/>
  <c r="BR21" i="7" s="1"/>
  <c r="BR22" i="7" s="1"/>
  <c r="BR23" i="7" s="1"/>
  <c r="BR24" i="7" s="1"/>
  <c r="BR25" i="7" s="1"/>
  <c r="BR26" i="7" s="1"/>
  <c r="BR27" i="7" s="1"/>
  <c r="BS18" i="7"/>
  <c r="BS19" i="7" s="1"/>
  <c r="BS20" i="7" s="1"/>
  <c r="BS21" i="7" s="1"/>
  <c r="BS22" i="7" s="1"/>
  <c r="BS23" i="7" s="1"/>
  <c r="BS24" i="7" s="1"/>
  <c r="BS25" i="7" s="1"/>
  <c r="BS26" i="7" s="1"/>
  <c r="BS27" i="7" s="1"/>
  <c r="BT18" i="7"/>
  <c r="BT19" i="7" s="1"/>
  <c r="BT20" i="7" s="1"/>
  <c r="BT21" i="7" s="1"/>
  <c r="BT22" i="7" s="1"/>
  <c r="BT23" i="7" s="1"/>
  <c r="BT24" i="7" s="1"/>
  <c r="BT25" i="7" s="1"/>
  <c r="BT26" i="7" s="1"/>
  <c r="BT27" i="7" s="1"/>
  <c r="BU18" i="7"/>
  <c r="BU19" i="7" s="1"/>
  <c r="BU20" i="7" s="1"/>
  <c r="BU21" i="7" s="1"/>
  <c r="BU22" i="7" s="1"/>
  <c r="BU23" i="7" s="1"/>
  <c r="BU24" i="7" s="1"/>
  <c r="BU25" i="7" s="1"/>
  <c r="BU26" i="7" s="1"/>
  <c r="BU27" i="7" s="1"/>
  <c r="BV18" i="7"/>
  <c r="BV19" i="7" s="1"/>
  <c r="BV20" i="7" s="1"/>
  <c r="BV21" i="7" s="1"/>
  <c r="BV22" i="7" s="1"/>
  <c r="BV23" i="7" s="1"/>
  <c r="BV24" i="7" s="1"/>
  <c r="BV25" i="7" s="1"/>
  <c r="BV26" i="7" s="1"/>
  <c r="BV27" i="7" s="1"/>
  <c r="BW18" i="7"/>
  <c r="BW19" i="7" s="1"/>
  <c r="BW20" i="7" s="1"/>
  <c r="BW21" i="7" s="1"/>
  <c r="BW22" i="7" s="1"/>
  <c r="BW23" i="7" s="1"/>
  <c r="BW24" i="7" s="1"/>
  <c r="BW25" i="7" s="1"/>
  <c r="BW26" i="7" s="1"/>
  <c r="BW27" i="7" s="1"/>
  <c r="BX18" i="7"/>
  <c r="BX19" i="7" s="1"/>
  <c r="BX20" i="7" s="1"/>
  <c r="BX21" i="7" s="1"/>
  <c r="BX22" i="7" s="1"/>
  <c r="BX23" i="7" s="1"/>
  <c r="BX24" i="7" s="1"/>
  <c r="BX25" i="7" s="1"/>
  <c r="BX26" i="7" s="1"/>
  <c r="BX27" i="7" s="1"/>
  <c r="BY18" i="7"/>
  <c r="BY19" i="7" s="1"/>
  <c r="BY20" i="7" s="1"/>
  <c r="BY21" i="7" s="1"/>
  <c r="BY22" i="7" s="1"/>
  <c r="BY23" i="7" s="1"/>
  <c r="BY24" i="7" s="1"/>
  <c r="BY25" i="7" s="1"/>
  <c r="BY26" i="7" s="1"/>
  <c r="BY27" i="7" s="1"/>
  <c r="BZ18" i="7"/>
  <c r="BZ19" i="7" s="1"/>
  <c r="BZ20" i="7" s="1"/>
  <c r="BZ21" i="7" s="1"/>
  <c r="BZ22" i="7" s="1"/>
  <c r="BZ23" i="7" s="1"/>
  <c r="BZ24" i="7" s="1"/>
  <c r="BZ25" i="7" s="1"/>
  <c r="BZ26" i="7" s="1"/>
  <c r="BZ27" i="7" s="1"/>
  <c r="CA18" i="7"/>
  <c r="CA19" i="7" s="1"/>
  <c r="CA20" i="7" s="1"/>
  <c r="CA21" i="7" s="1"/>
  <c r="CA22" i="7" s="1"/>
  <c r="CA23" i="7" s="1"/>
  <c r="CA24" i="7" s="1"/>
  <c r="CA25" i="7" s="1"/>
  <c r="CA26" i="7" s="1"/>
  <c r="CA27" i="7" s="1"/>
  <c r="CB18" i="7"/>
  <c r="CB19" i="7" s="1"/>
  <c r="CB20" i="7" s="1"/>
  <c r="CB21" i="7" s="1"/>
  <c r="CB22" i="7" s="1"/>
  <c r="CB23" i="7" s="1"/>
  <c r="CB24" i="7" s="1"/>
  <c r="CB25" i="7" s="1"/>
  <c r="CB26" i="7" s="1"/>
  <c r="CB27" i="7" s="1"/>
  <c r="CC18" i="7"/>
  <c r="CC19" i="7" s="1"/>
  <c r="CC20" i="7" s="1"/>
  <c r="CC21" i="7" s="1"/>
  <c r="CC22" i="7" s="1"/>
  <c r="CC23" i="7" s="1"/>
  <c r="CC24" i="7" s="1"/>
  <c r="CC25" i="7" s="1"/>
  <c r="CC26" i="7" s="1"/>
  <c r="CC27" i="7" s="1"/>
  <c r="CD18" i="7"/>
  <c r="CD19" i="7" s="1"/>
  <c r="CD20" i="7" s="1"/>
  <c r="CD21" i="7" s="1"/>
  <c r="CD22" i="7" s="1"/>
  <c r="CD23" i="7" s="1"/>
  <c r="CD24" i="7" s="1"/>
  <c r="CD25" i="7" s="1"/>
  <c r="CD26" i="7" s="1"/>
  <c r="CD27" i="7" s="1"/>
  <c r="CE18" i="7"/>
  <c r="CE19" i="7" s="1"/>
  <c r="CE20" i="7" s="1"/>
  <c r="CE21" i="7" s="1"/>
  <c r="CE22" i="7" s="1"/>
  <c r="CE23" i="7" s="1"/>
  <c r="CE24" i="7" s="1"/>
  <c r="CE25" i="7" s="1"/>
  <c r="CE26" i="7" s="1"/>
  <c r="CE27" i="7" s="1"/>
  <c r="CF18" i="7"/>
  <c r="CF19" i="7" s="1"/>
  <c r="CF20" i="7" s="1"/>
  <c r="CF21" i="7" s="1"/>
  <c r="CF22" i="7" s="1"/>
  <c r="CF23" i="7" s="1"/>
  <c r="CF24" i="7" s="1"/>
  <c r="CF25" i="7" s="1"/>
  <c r="CF26" i="7" s="1"/>
  <c r="CF27" i="7" s="1"/>
  <c r="CG18" i="7"/>
  <c r="CG19" i="7" s="1"/>
  <c r="CG20" i="7" s="1"/>
  <c r="CG21" i="7" s="1"/>
  <c r="CG22" i="7" s="1"/>
  <c r="CG23" i="7" s="1"/>
  <c r="CG24" i="7" s="1"/>
  <c r="CG25" i="7" s="1"/>
  <c r="CG26" i="7" s="1"/>
  <c r="CG27" i="7" s="1"/>
  <c r="CH18" i="7"/>
  <c r="CH19" i="7" s="1"/>
  <c r="CH20" i="7" s="1"/>
  <c r="CH21" i="7" s="1"/>
  <c r="CH22" i="7" s="1"/>
  <c r="CH23" i="7" s="1"/>
  <c r="CH24" i="7" s="1"/>
  <c r="CH25" i="7" s="1"/>
  <c r="CH26" i="7" s="1"/>
  <c r="CH27" i="7" s="1"/>
  <c r="CI18" i="7"/>
  <c r="CI19" i="7" s="1"/>
  <c r="CI20" i="7" s="1"/>
  <c r="CI21" i="7" s="1"/>
  <c r="CI22" i="7" s="1"/>
  <c r="CI23" i="7" s="1"/>
  <c r="CI24" i="7" s="1"/>
  <c r="CI25" i="7" s="1"/>
  <c r="CI26" i="7" s="1"/>
  <c r="CI27" i="7" s="1"/>
  <c r="CJ18" i="7"/>
  <c r="CJ19" i="7" s="1"/>
  <c r="CJ20" i="7" s="1"/>
  <c r="CJ21" i="7" s="1"/>
  <c r="CJ22" i="7" s="1"/>
  <c r="CJ23" i="7" s="1"/>
  <c r="CJ24" i="7" s="1"/>
  <c r="CJ25" i="7" s="1"/>
  <c r="CJ26" i="7" s="1"/>
  <c r="CJ27" i="7" s="1"/>
  <c r="CK18" i="7"/>
  <c r="CK19" i="7" s="1"/>
  <c r="CK20" i="7" s="1"/>
  <c r="CK21" i="7" s="1"/>
  <c r="CK22" i="7" s="1"/>
  <c r="CK23" i="7" s="1"/>
  <c r="CK24" i="7" s="1"/>
  <c r="CK25" i="7" s="1"/>
  <c r="CK26" i="7" s="1"/>
  <c r="CK27" i="7" s="1"/>
  <c r="CL18" i="7"/>
  <c r="CL19" i="7" s="1"/>
  <c r="CL20" i="7" s="1"/>
  <c r="CL21" i="7" s="1"/>
  <c r="CL22" i="7" s="1"/>
  <c r="CL23" i="7" s="1"/>
  <c r="CL24" i="7" s="1"/>
  <c r="CL25" i="7" s="1"/>
  <c r="CL26" i="7" s="1"/>
  <c r="CL27" i="7" s="1"/>
  <c r="CM18" i="7"/>
  <c r="CM19" i="7" s="1"/>
  <c r="CM20" i="7" s="1"/>
  <c r="CM21" i="7" s="1"/>
  <c r="CM22" i="7" s="1"/>
  <c r="CM23" i="7" s="1"/>
  <c r="CM24" i="7" s="1"/>
  <c r="CM25" i="7" s="1"/>
  <c r="CM26" i="7" s="1"/>
  <c r="CM27" i="7" s="1"/>
  <c r="CN18" i="7"/>
  <c r="CN19" i="7" s="1"/>
  <c r="CN20" i="7" s="1"/>
  <c r="CN21" i="7" s="1"/>
  <c r="CN22" i="7" s="1"/>
  <c r="CN23" i="7" s="1"/>
  <c r="CN24" i="7" s="1"/>
  <c r="CN25" i="7" s="1"/>
  <c r="CN26" i="7" s="1"/>
  <c r="CN27" i="7" s="1"/>
  <c r="CO18" i="7"/>
  <c r="CO19" i="7" s="1"/>
  <c r="CO20" i="7" s="1"/>
  <c r="CO21" i="7" s="1"/>
  <c r="CO22" i="7" s="1"/>
  <c r="CO23" i="7" s="1"/>
  <c r="CO24" i="7" s="1"/>
  <c r="CO25" i="7" s="1"/>
  <c r="CO26" i="7" s="1"/>
  <c r="CO27" i="7" s="1"/>
  <c r="CP18" i="7"/>
  <c r="CP19" i="7" s="1"/>
  <c r="CP20" i="7" s="1"/>
  <c r="CP21" i="7" s="1"/>
  <c r="CP22" i="7" s="1"/>
  <c r="CP23" i="7" s="1"/>
  <c r="CP24" i="7" s="1"/>
  <c r="CP25" i="7" s="1"/>
  <c r="CP26" i="7" s="1"/>
  <c r="CP27" i="7" s="1"/>
  <c r="CQ18" i="7"/>
  <c r="CQ19" i="7" s="1"/>
  <c r="CQ20" i="7" s="1"/>
  <c r="CQ21" i="7" s="1"/>
  <c r="CQ22" i="7" s="1"/>
  <c r="CQ23" i="7" s="1"/>
  <c r="CQ24" i="7" s="1"/>
  <c r="CQ25" i="7" s="1"/>
  <c r="CQ26" i="7" s="1"/>
  <c r="CQ27" i="7" s="1"/>
  <c r="CR18" i="7"/>
  <c r="CR19" i="7" s="1"/>
  <c r="CR20" i="7" s="1"/>
  <c r="CR21" i="7" s="1"/>
  <c r="CR22" i="7" s="1"/>
  <c r="CR23" i="7" s="1"/>
  <c r="CR24" i="7" s="1"/>
  <c r="CR25" i="7" s="1"/>
  <c r="CR26" i="7" s="1"/>
  <c r="CR27" i="7" s="1"/>
  <c r="CS18" i="7"/>
  <c r="CS19" i="7" s="1"/>
  <c r="CS20" i="7" s="1"/>
  <c r="CS21" i="7" s="1"/>
  <c r="CS22" i="7" s="1"/>
  <c r="CS23" i="7" s="1"/>
  <c r="CS24" i="7" s="1"/>
  <c r="CS25" i="7" s="1"/>
  <c r="CS26" i="7" s="1"/>
  <c r="CS27" i="7" s="1"/>
  <c r="CT18" i="7"/>
  <c r="CT19" i="7" s="1"/>
  <c r="CT20" i="7" s="1"/>
  <c r="CT21" i="7" s="1"/>
  <c r="CT22" i="7" s="1"/>
  <c r="CT23" i="7" s="1"/>
  <c r="CT24" i="7" s="1"/>
  <c r="CT25" i="7" s="1"/>
  <c r="CT26" i="7" s="1"/>
  <c r="CT27" i="7" s="1"/>
  <c r="CU18" i="7"/>
  <c r="CU19" i="7" s="1"/>
  <c r="CU20" i="7" s="1"/>
  <c r="CU21" i="7" s="1"/>
  <c r="CU22" i="7" s="1"/>
  <c r="CU23" i="7" s="1"/>
  <c r="CU24" i="7" s="1"/>
  <c r="CU25" i="7" s="1"/>
  <c r="CU26" i="7" s="1"/>
  <c r="CU27" i="7" s="1"/>
  <c r="CV18" i="7"/>
  <c r="CV19" i="7" s="1"/>
  <c r="CV20" i="7" s="1"/>
  <c r="CV21" i="7" s="1"/>
  <c r="CV22" i="7" s="1"/>
  <c r="CV23" i="7" s="1"/>
  <c r="CV24" i="7" s="1"/>
  <c r="CV25" i="7" s="1"/>
  <c r="CV26" i="7" s="1"/>
  <c r="CV27" i="7" s="1"/>
  <c r="CW18" i="7"/>
  <c r="CW19" i="7" s="1"/>
  <c r="CW20" i="7" s="1"/>
  <c r="CW21" i="7" s="1"/>
  <c r="CW22" i="7" s="1"/>
  <c r="CW23" i="7" s="1"/>
  <c r="CW24" i="7" s="1"/>
  <c r="CW25" i="7" s="1"/>
  <c r="CW26" i="7" s="1"/>
  <c r="CW27" i="7" s="1"/>
  <c r="CX18" i="7"/>
  <c r="CX19" i="7" s="1"/>
  <c r="CX20" i="7" s="1"/>
  <c r="CX21" i="7" s="1"/>
  <c r="CX22" i="7" s="1"/>
  <c r="CX23" i="7" s="1"/>
  <c r="CX24" i="7" s="1"/>
  <c r="CX25" i="7" s="1"/>
  <c r="CX26" i="7" s="1"/>
  <c r="CX27" i="7" s="1"/>
  <c r="CY18" i="7"/>
  <c r="CY19" i="7" s="1"/>
  <c r="CY20" i="7" s="1"/>
  <c r="CY21" i="7" s="1"/>
  <c r="CY22" i="7" s="1"/>
  <c r="CY23" i="7" s="1"/>
  <c r="CY24" i="7" s="1"/>
  <c r="CY25" i="7" s="1"/>
  <c r="CY26" i="7" s="1"/>
  <c r="CY27" i="7" s="1"/>
  <c r="CZ18" i="7"/>
  <c r="CZ19" i="7" s="1"/>
  <c r="CZ20" i="7" s="1"/>
  <c r="CZ21" i="7" s="1"/>
  <c r="CZ22" i="7" s="1"/>
  <c r="CZ23" i="7" s="1"/>
  <c r="CZ24" i="7" s="1"/>
  <c r="CZ25" i="7" s="1"/>
  <c r="CZ26" i="7" s="1"/>
  <c r="CZ27" i="7" s="1"/>
  <c r="DA18" i="7"/>
  <c r="DA19" i="7" s="1"/>
  <c r="DA20" i="7" s="1"/>
  <c r="DA21" i="7" s="1"/>
  <c r="DA22" i="7" s="1"/>
  <c r="DA23" i="7" s="1"/>
  <c r="DA24" i="7" s="1"/>
  <c r="DA25" i="7" s="1"/>
  <c r="DA26" i="7" s="1"/>
  <c r="DA27" i="7" s="1"/>
  <c r="DB18" i="7"/>
  <c r="DB19" i="7" s="1"/>
  <c r="DB20" i="7" s="1"/>
  <c r="DB21" i="7" s="1"/>
  <c r="DB22" i="7" s="1"/>
  <c r="DB23" i="7" s="1"/>
  <c r="DB24" i="7" s="1"/>
  <c r="DB25" i="7" s="1"/>
  <c r="DB26" i="7" s="1"/>
  <c r="DB27" i="7" s="1"/>
  <c r="DC18" i="7"/>
  <c r="DC19" i="7" s="1"/>
  <c r="DC20" i="7" s="1"/>
  <c r="DC21" i="7" s="1"/>
  <c r="DC22" i="7" s="1"/>
  <c r="DC23" i="7" s="1"/>
  <c r="DC24" i="7" s="1"/>
  <c r="DC25" i="7" s="1"/>
  <c r="DC26" i="7" s="1"/>
  <c r="DC27" i="7" s="1"/>
  <c r="DD18" i="7"/>
  <c r="DD19" i="7" s="1"/>
  <c r="DD20" i="7" s="1"/>
  <c r="DD21" i="7" s="1"/>
  <c r="DD22" i="7" s="1"/>
  <c r="DD23" i="7" s="1"/>
  <c r="DD24" i="7" s="1"/>
  <c r="DD25" i="7" s="1"/>
  <c r="DD26" i="7" s="1"/>
  <c r="DD27" i="7" s="1"/>
  <c r="DE18" i="7"/>
  <c r="DE19" i="7" s="1"/>
  <c r="DE20" i="7" s="1"/>
  <c r="DE21" i="7" s="1"/>
  <c r="DE22" i="7" s="1"/>
  <c r="DE23" i="7" s="1"/>
  <c r="DE24" i="7" s="1"/>
  <c r="DE25" i="7" s="1"/>
  <c r="DE26" i="7" s="1"/>
  <c r="DE27" i="7" s="1"/>
  <c r="DF18" i="7"/>
  <c r="DF19" i="7" s="1"/>
  <c r="DF20" i="7" s="1"/>
  <c r="DF21" i="7" s="1"/>
  <c r="DF22" i="7" s="1"/>
  <c r="DF23" i="7" s="1"/>
  <c r="DF24" i="7" s="1"/>
  <c r="DF25" i="7" s="1"/>
  <c r="DF26" i="7" s="1"/>
  <c r="DF27" i="7" s="1"/>
  <c r="DG18" i="7"/>
  <c r="DG19" i="7" s="1"/>
  <c r="DG20" i="7" s="1"/>
  <c r="DG21" i="7" s="1"/>
  <c r="DG22" i="7" s="1"/>
  <c r="DG23" i="7" s="1"/>
  <c r="DG24" i="7" s="1"/>
  <c r="DG25" i="7" s="1"/>
  <c r="DG26" i="7" s="1"/>
  <c r="DG27" i="7" s="1"/>
  <c r="DH18" i="7"/>
  <c r="DH19" i="7" s="1"/>
  <c r="DH20" i="7" s="1"/>
  <c r="DH21" i="7" s="1"/>
  <c r="DH22" i="7" s="1"/>
  <c r="DH23" i="7" s="1"/>
  <c r="DH24" i="7" s="1"/>
  <c r="DH25" i="7" s="1"/>
  <c r="DH26" i="7" s="1"/>
  <c r="DH27" i="7" s="1"/>
  <c r="DI18" i="7"/>
  <c r="DI19" i="7" s="1"/>
  <c r="DI20" i="7" s="1"/>
  <c r="DI21" i="7" s="1"/>
  <c r="DI22" i="7" s="1"/>
  <c r="DI23" i="7" s="1"/>
  <c r="DI24" i="7" s="1"/>
  <c r="DI25" i="7" s="1"/>
  <c r="DI26" i="7" s="1"/>
  <c r="DI27" i="7" s="1"/>
  <c r="DJ18" i="7"/>
  <c r="DJ19" i="7" s="1"/>
  <c r="DJ20" i="7" s="1"/>
  <c r="DJ21" i="7" s="1"/>
  <c r="DJ22" i="7" s="1"/>
  <c r="DJ23" i="7" s="1"/>
  <c r="DJ24" i="7" s="1"/>
  <c r="DJ25" i="7" s="1"/>
  <c r="DJ26" i="7" s="1"/>
  <c r="DJ27" i="7" s="1"/>
  <c r="DK18" i="7"/>
  <c r="DK19" i="7" s="1"/>
  <c r="DK20" i="7" s="1"/>
  <c r="DK21" i="7" s="1"/>
  <c r="DK22" i="7" s="1"/>
  <c r="DK23" i="7" s="1"/>
  <c r="DK24" i="7" s="1"/>
  <c r="DK25" i="7" s="1"/>
  <c r="DK26" i="7" s="1"/>
  <c r="DK27" i="7" s="1"/>
  <c r="DL18" i="7"/>
  <c r="DL19" i="7" s="1"/>
  <c r="DL20" i="7" s="1"/>
  <c r="DL21" i="7" s="1"/>
  <c r="DL22" i="7" s="1"/>
  <c r="DL23" i="7" s="1"/>
  <c r="DL24" i="7" s="1"/>
  <c r="DL25" i="7" s="1"/>
  <c r="DL26" i="7" s="1"/>
  <c r="DL27" i="7" s="1"/>
  <c r="DM18" i="7"/>
  <c r="DM19" i="7" s="1"/>
  <c r="DM20" i="7" s="1"/>
  <c r="DM21" i="7" s="1"/>
  <c r="DM22" i="7" s="1"/>
  <c r="DM23" i="7" s="1"/>
  <c r="DM24" i="7" s="1"/>
  <c r="DM25" i="7" s="1"/>
  <c r="DM26" i="7" s="1"/>
  <c r="DM27" i="7" s="1"/>
  <c r="DN18" i="7"/>
  <c r="DN19" i="7" s="1"/>
  <c r="DN20" i="7" s="1"/>
  <c r="DN21" i="7" s="1"/>
  <c r="DN22" i="7" s="1"/>
  <c r="DN23" i="7" s="1"/>
  <c r="DN24" i="7" s="1"/>
  <c r="DN25" i="7" s="1"/>
  <c r="DN26" i="7" s="1"/>
  <c r="DN27" i="7" s="1"/>
  <c r="DO18" i="7"/>
  <c r="DO19" i="7" s="1"/>
  <c r="DO20" i="7" s="1"/>
  <c r="DO21" i="7" s="1"/>
  <c r="DO22" i="7" s="1"/>
  <c r="DO23" i="7" s="1"/>
  <c r="DO24" i="7" s="1"/>
  <c r="DO25" i="7" s="1"/>
  <c r="DO26" i="7" s="1"/>
  <c r="DO27" i="7" s="1"/>
  <c r="DP18" i="7"/>
  <c r="DP19" i="7" s="1"/>
  <c r="DP20" i="7" s="1"/>
  <c r="DP21" i="7" s="1"/>
  <c r="DP22" i="7" s="1"/>
  <c r="DP23" i="7" s="1"/>
  <c r="DP24" i="7" s="1"/>
  <c r="DP25" i="7" s="1"/>
  <c r="DP26" i="7" s="1"/>
  <c r="DP27" i="7" s="1"/>
  <c r="DQ18" i="7"/>
  <c r="DQ19" i="7" s="1"/>
  <c r="DQ20" i="7" s="1"/>
  <c r="DQ21" i="7" s="1"/>
  <c r="DQ22" i="7" s="1"/>
  <c r="DQ23" i="7" s="1"/>
  <c r="DQ24" i="7" s="1"/>
  <c r="DQ25" i="7" s="1"/>
  <c r="DQ26" i="7" s="1"/>
  <c r="DQ27" i="7" s="1"/>
  <c r="DR18" i="7"/>
  <c r="DR19" i="7" s="1"/>
  <c r="DR20" i="7" s="1"/>
  <c r="DR21" i="7" s="1"/>
  <c r="DR22" i="7" s="1"/>
  <c r="DR23" i="7" s="1"/>
  <c r="DR24" i="7" s="1"/>
  <c r="DR25" i="7" s="1"/>
  <c r="DR26" i="7" s="1"/>
  <c r="DR27" i="7" s="1"/>
  <c r="DS18" i="7"/>
  <c r="DS19" i="7" s="1"/>
  <c r="DS20" i="7" s="1"/>
  <c r="DS21" i="7" s="1"/>
  <c r="DS22" i="7" s="1"/>
  <c r="DS23" i="7" s="1"/>
  <c r="DS24" i="7" s="1"/>
  <c r="DS25" i="7" s="1"/>
  <c r="DS26" i="7" s="1"/>
  <c r="DS27" i="7" s="1"/>
  <c r="DT18" i="7"/>
  <c r="DT19" i="7" s="1"/>
  <c r="DT20" i="7" s="1"/>
  <c r="DT21" i="7" s="1"/>
  <c r="DT22" i="7" s="1"/>
  <c r="DT23" i="7" s="1"/>
  <c r="DT24" i="7" s="1"/>
  <c r="DT25" i="7" s="1"/>
  <c r="DT26" i="7" s="1"/>
  <c r="DT27" i="7" s="1"/>
  <c r="DU18" i="7"/>
  <c r="DU19" i="7" s="1"/>
  <c r="DU20" i="7" s="1"/>
  <c r="DU21" i="7" s="1"/>
  <c r="DU22" i="7" s="1"/>
  <c r="DU23" i="7" s="1"/>
  <c r="DU24" i="7" s="1"/>
  <c r="DU25" i="7" s="1"/>
  <c r="DU26" i="7" s="1"/>
  <c r="DU27" i="7" s="1"/>
  <c r="DV18" i="7"/>
  <c r="DV19" i="7" s="1"/>
  <c r="DV20" i="7" s="1"/>
  <c r="DV21" i="7" s="1"/>
  <c r="DV22" i="7" s="1"/>
  <c r="DV23" i="7" s="1"/>
  <c r="DV24" i="7" s="1"/>
  <c r="DV25" i="7" s="1"/>
  <c r="DV26" i="7" s="1"/>
  <c r="DV27" i="7" s="1"/>
  <c r="DW18" i="7"/>
  <c r="DW19" i="7" s="1"/>
  <c r="DW20" i="7" s="1"/>
  <c r="DW21" i="7" s="1"/>
  <c r="DW22" i="7" s="1"/>
  <c r="DW23" i="7" s="1"/>
  <c r="DW24" i="7" s="1"/>
  <c r="DW25" i="7" s="1"/>
  <c r="DW26" i="7" s="1"/>
  <c r="DW27" i="7" s="1"/>
  <c r="DX18" i="7"/>
  <c r="DX19" i="7" s="1"/>
  <c r="DX20" i="7" s="1"/>
  <c r="DX21" i="7" s="1"/>
  <c r="DX22" i="7" s="1"/>
  <c r="DX23" i="7" s="1"/>
  <c r="DX24" i="7" s="1"/>
  <c r="DX25" i="7" s="1"/>
  <c r="DX26" i="7" s="1"/>
  <c r="DX27" i="7" s="1"/>
  <c r="DY18" i="7"/>
  <c r="DY19" i="7" s="1"/>
  <c r="DY20" i="7" s="1"/>
  <c r="DY21" i="7" s="1"/>
  <c r="DY22" i="7" s="1"/>
  <c r="DY23" i="7" s="1"/>
  <c r="DY24" i="7" s="1"/>
  <c r="DY25" i="7" s="1"/>
  <c r="DY26" i="7" s="1"/>
  <c r="DY27" i="7" s="1"/>
  <c r="DZ18" i="7"/>
  <c r="DZ19" i="7" s="1"/>
  <c r="DZ20" i="7" s="1"/>
  <c r="DZ21" i="7" s="1"/>
  <c r="DZ22" i="7" s="1"/>
  <c r="DZ23" i="7" s="1"/>
  <c r="DZ24" i="7" s="1"/>
  <c r="DZ25" i="7" s="1"/>
  <c r="DZ26" i="7" s="1"/>
  <c r="DZ27" i="7" s="1"/>
  <c r="EA18" i="7"/>
  <c r="EA19" i="7" s="1"/>
  <c r="EA20" i="7" s="1"/>
  <c r="EA21" i="7" s="1"/>
  <c r="EA22" i="7" s="1"/>
  <c r="EA23" i="7" s="1"/>
  <c r="EA24" i="7" s="1"/>
  <c r="EA25" i="7" s="1"/>
  <c r="EA26" i="7" s="1"/>
  <c r="EA27" i="7" s="1"/>
  <c r="EB18" i="7"/>
  <c r="EB19" i="7" s="1"/>
  <c r="EB20" i="7" s="1"/>
  <c r="EB21" i="7" s="1"/>
  <c r="EB22" i="7" s="1"/>
  <c r="EB23" i="7" s="1"/>
  <c r="EB24" i="7" s="1"/>
  <c r="EB25" i="7" s="1"/>
  <c r="EB26" i="7" s="1"/>
  <c r="EB27" i="7" s="1"/>
  <c r="EC18" i="7"/>
  <c r="EC19" i="7" s="1"/>
  <c r="EC20" i="7" s="1"/>
  <c r="EC21" i="7" s="1"/>
  <c r="EC22" i="7" s="1"/>
  <c r="EC23" i="7" s="1"/>
  <c r="EC24" i="7" s="1"/>
  <c r="EC25" i="7" s="1"/>
  <c r="EC26" i="7" s="1"/>
  <c r="EC27" i="7" s="1"/>
  <c r="ED18" i="7"/>
  <c r="ED19" i="7" s="1"/>
  <c r="ED20" i="7" s="1"/>
  <c r="ED21" i="7" s="1"/>
  <c r="ED22" i="7" s="1"/>
  <c r="ED23" i="7" s="1"/>
  <c r="ED24" i="7" s="1"/>
  <c r="ED25" i="7" s="1"/>
  <c r="ED26" i="7" s="1"/>
  <c r="ED27" i="7" s="1"/>
  <c r="EE18" i="7"/>
  <c r="EE19" i="7" s="1"/>
  <c r="EE20" i="7" s="1"/>
  <c r="EE21" i="7" s="1"/>
  <c r="EE22" i="7" s="1"/>
  <c r="EE23" i="7" s="1"/>
  <c r="EE24" i="7" s="1"/>
  <c r="EE25" i="7" s="1"/>
  <c r="EE26" i="7" s="1"/>
  <c r="EE27" i="7" s="1"/>
  <c r="EF18" i="7"/>
  <c r="EF19" i="7" s="1"/>
  <c r="EF20" i="7" s="1"/>
  <c r="EF21" i="7" s="1"/>
  <c r="EF22" i="7" s="1"/>
  <c r="EF23" i="7" s="1"/>
  <c r="EF24" i="7" s="1"/>
  <c r="EF25" i="7" s="1"/>
  <c r="EF26" i="7" s="1"/>
  <c r="EF27" i="7" s="1"/>
  <c r="EG18" i="7"/>
  <c r="EG19" i="7" s="1"/>
  <c r="EG20" i="7" s="1"/>
  <c r="EG21" i="7" s="1"/>
  <c r="EG22" i="7" s="1"/>
  <c r="EG23" i="7" s="1"/>
  <c r="EG24" i="7" s="1"/>
  <c r="EG25" i="7" s="1"/>
  <c r="EG26" i="7" s="1"/>
  <c r="EG27" i="7" s="1"/>
  <c r="EH18" i="7"/>
  <c r="EH19" i="7" s="1"/>
  <c r="EH20" i="7" s="1"/>
  <c r="EH21" i="7" s="1"/>
  <c r="EH22" i="7" s="1"/>
  <c r="EH23" i="7" s="1"/>
  <c r="EH24" i="7" s="1"/>
  <c r="EH25" i="7" s="1"/>
  <c r="EH26" i="7" s="1"/>
  <c r="EH27" i="7" s="1"/>
  <c r="EI18" i="7"/>
  <c r="EI19" i="7" s="1"/>
  <c r="EI20" i="7" s="1"/>
  <c r="EI21" i="7" s="1"/>
  <c r="EI22" i="7" s="1"/>
  <c r="EI23" i="7" s="1"/>
  <c r="EI24" i="7" s="1"/>
  <c r="EI25" i="7" s="1"/>
  <c r="EI26" i="7" s="1"/>
  <c r="EI27" i="7" s="1"/>
  <c r="EJ18" i="7"/>
  <c r="EJ19" i="7" s="1"/>
  <c r="EJ20" i="7" s="1"/>
  <c r="EJ21" i="7" s="1"/>
  <c r="EJ22" i="7" s="1"/>
  <c r="EJ23" i="7" s="1"/>
  <c r="EJ24" i="7" s="1"/>
  <c r="EJ25" i="7" s="1"/>
  <c r="EJ26" i="7" s="1"/>
  <c r="EJ27" i="7" s="1"/>
  <c r="EK18" i="7"/>
  <c r="EK19" i="7" s="1"/>
  <c r="EK20" i="7" s="1"/>
  <c r="EK21" i="7" s="1"/>
  <c r="EK22" i="7" s="1"/>
  <c r="EK23" i="7" s="1"/>
  <c r="EK24" i="7" s="1"/>
  <c r="EK25" i="7" s="1"/>
  <c r="EK26" i="7" s="1"/>
  <c r="EK27" i="7" s="1"/>
  <c r="EL18" i="7"/>
  <c r="EL19" i="7" s="1"/>
  <c r="EL20" i="7" s="1"/>
  <c r="EL21" i="7" s="1"/>
  <c r="EL22" i="7" s="1"/>
  <c r="EL23" i="7" s="1"/>
  <c r="EL24" i="7" s="1"/>
  <c r="EL25" i="7" s="1"/>
  <c r="EL26" i="7" s="1"/>
  <c r="EL27" i="7" s="1"/>
  <c r="EM18" i="7"/>
  <c r="EM19" i="7" s="1"/>
  <c r="EM20" i="7" s="1"/>
  <c r="EM21" i="7" s="1"/>
  <c r="EM22" i="7" s="1"/>
  <c r="EM23" i="7" s="1"/>
  <c r="EM24" i="7" s="1"/>
  <c r="EM25" i="7" s="1"/>
  <c r="EM26" i="7" s="1"/>
  <c r="EM27" i="7" s="1"/>
  <c r="EN18" i="7"/>
  <c r="EN19" i="7" s="1"/>
  <c r="EN20" i="7" s="1"/>
  <c r="EN21" i="7" s="1"/>
  <c r="EN22" i="7" s="1"/>
  <c r="EN23" i="7" s="1"/>
  <c r="EN24" i="7" s="1"/>
  <c r="EN25" i="7" s="1"/>
  <c r="EN26" i="7" s="1"/>
  <c r="EN27" i="7" s="1"/>
  <c r="EO18" i="7"/>
  <c r="EO19" i="7" s="1"/>
  <c r="EO20" i="7" s="1"/>
  <c r="EO21" i="7" s="1"/>
  <c r="EO22" i="7" s="1"/>
  <c r="EO23" i="7" s="1"/>
  <c r="EO24" i="7" s="1"/>
  <c r="EO25" i="7" s="1"/>
  <c r="EO26" i="7" s="1"/>
  <c r="EO27" i="7" s="1"/>
  <c r="EP18" i="7"/>
  <c r="EP19" i="7" s="1"/>
  <c r="EP20" i="7" s="1"/>
  <c r="EP21" i="7" s="1"/>
  <c r="EP22" i="7" s="1"/>
  <c r="EP23" i="7" s="1"/>
  <c r="EP24" i="7" s="1"/>
  <c r="EP25" i="7" s="1"/>
  <c r="EP26" i="7" s="1"/>
  <c r="EP27" i="7" s="1"/>
  <c r="EQ18" i="7"/>
  <c r="EQ19" i="7" s="1"/>
  <c r="EQ20" i="7" s="1"/>
  <c r="EQ21" i="7" s="1"/>
  <c r="EQ22" i="7" s="1"/>
  <c r="EQ23" i="7" s="1"/>
  <c r="EQ24" i="7" s="1"/>
  <c r="EQ25" i="7" s="1"/>
  <c r="EQ26" i="7" s="1"/>
  <c r="EQ27" i="7" s="1"/>
  <c r="ER18" i="7"/>
  <c r="ER19" i="7" s="1"/>
  <c r="ER20" i="7" s="1"/>
  <c r="ER21" i="7" s="1"/>
  <c r="ER22" i="7" s="1"/>
  <c r="ER23" i="7" s="1"/>
  <c r="ER24" i="7" s="1"/>
  <c r="ER25" i="7" s="1"/>
  <c r="ER26" i="7" s="1"/>
  <c r="ER27" i="7" s="1"/>
  <c r="ES18" i="7"/>
  <c r="ES19" i="7" s="1"/>
  <c r="ES20" i="7" s="1"/>
  <c r="ES21" i="7" s="1"/>
  <c r="ES22" i="7" s="1"/>
  <c r="ES23" i="7" s="1"/>
  <c r="ES24" i="7" s="1"/>
  <c r="ES25" i="7" s="1"/>
  <c r="ES26" i="7" s="1"/>
  <c r="ES27" i="7" s="1"/>
  <c r="ET18" i="7"/>
  <c r="ET19" i="7" s="1"/>
  <c r="ET20" i="7" s="1"/>
  <c r="ET21" i="7" s="1"/>
  <c r="ET22" i="7" s="1"/>
  <c r="ET23" i="7" s="1"/>
  <c r="ET24" i="7" s="1"/>
  <c r="ET25" i="7" s="1"/>
  <c r="ET26" i="7" s="1"/>
  <c r="ET27" i="7" s="1"/>
  <c r="EU18" i="7"/>
  <c r="EU19" i="7" s="1"/>
  <c r="EU20" i="7" s="1"/>
  <c r="EU21" i="7" s="1"/>
  <c r="EU22" i="7" s="1"/>
  <c r="EU23" i="7" s="1"/>
  <c r="EU24" i="7" s="1"/>
  <c r="EU25" i="7" s="1"/>
  <c r="EU26" i="7" s="1"/>
  <c r="EU27" i="7" s="1"/>
  <c r="EV18" i="7"/>
  <c r="EV19" i="7" s="1"/>
  <c r="EV20" i="7" s="1"/>
  <c r="EV21" i="7" s="1"/>
  <c r="EV22" i="7" s="1"/>
  <c r="EV23" i="7" s="1"/>
  <c r="EV24" i="7" s="1"/>
  <c r="EV25" i="7" s="1"/>
  <c r="EV26" i="7" s="1"/>
  <c r="EV27" i="7" s="1"/>
  <c r="EW18" i="7"/>
  <c r="EW19" i="7" s="1"/>
  <c r="EW20" i="7" s="1"/>
  <c r="EW21" i="7" s="1"/>
  <c r="EW22" i="7" s="1"/>
  <c r="EW23" i="7" s="1"/>
  <c r="EW24" i="7" s="1"/>
  <c r="EW25" i="7" s="1"/>
  <c r="EW26" i="7" s="1"/>
  <c r="EW27" i="7" s="1"/>
  <c r="EX18" i="7"/>
  <c r="EX19" i="7" s="1"/>
  <c r="EX20" i="7" s="1"/>
  <c r="EX21" i="7" s="1"/>
  <c r="EX22" i="7" s="1"/>
  <c r="EX23" i="7" s="1"/>
  <c r="EX24" i="7" s="1"/>
  <c r="EX25" i="7" s="1"/>
  <c r="EX26" i="7" s="1"/>
  <c r="EX27" i="7" s="1"/>
  <c r="EY18" i="7"/>
  <c r="EY19" i="7" s="1"/>
  <c r="EY20" i="7" s="1"/>
  <c r="EY21" i="7" s="1"/>
  <c r="EY22" i="7" s="1"/>
  <c r="EY23" i="7" s="1"/>
  <c r="EY24" i="7" s="1"/>
  <c r="EY25" i="7" s="1"/>
  <c r="EY26" i="7" s="1"/>
  <c r="EY27" i="7" s="1"/>
  <c r="EZ18" i="7"/>
  <c r="EZ19" i="7" s="1"/>
  <c r="EZ20" i="7" s="1"/>
  <c r="EZ21" i="7" s="1"/>
  <c r="EZ22" i="7" s="1"/>
  <c r="EZ23" i="7" s="1"/>
  <c r="EZ24" i="7" s="1"/>
  <c r="EZ25" i="7" s="1"/>
  <c r="EZ26" i="7" s="1"/>
  <c r="EZ27" i="7" s="1"/>
  <c r="FA18" i="7"/>
  <c r="FA19" i="7" s="1"/>
  <c r="FA20" i="7" s="1"/>
  <c r="FA21" i="7" s="1"/>
  <c r="FA22" i="7" s="1"/>
  <c r="FA23" i="7" s="1"/>
  <c r="FA24" i="7" s="1"/>
  <c r="FA25" i="7" s="1"/>
  <c r="FA26" i="7" s="1"/>
  <c r="FA27" i="7" s="1"/>
  <c r="FB18" i="7"/>
  <c r="FB19" i="7" s="1"/>
  <c r="FB20" i="7" s="1"/>
  <c r="FB21" i="7" s="1"/>
  <c r="FB22" i="7" s="1"/>
  <c r="FB23" i="7" s="1"/>
  <c r="FB24" i="7" s="1"/>
  <c r="FB25" i="7" s="1"/>
  <c r="FB26" i="7" s="1"/>
  <c r="FB27" i="7" s="1"/>
  <c r="FC18" i="7"/>
  <c r="FC19" i="7" s="1"/>
  <c r="FC20" i="7" s="1"/>
  <c r="FC21" i="7" s="1"/>
  <c r="FC22" i="7" s="1"/>
  <c r="FC23" i="7" s="1"/>
  <c r="FC24" i="7" s="1"/>
  <c r="FC25" i="7" s="1"/>
  <c r="FC26" i="7" s="1"/>
  <c r="FC27" i="7" s="1"/>
  <c r="FD18" i="7"/>
  <c r="FD19" i="7" s="1"/>
  <c r="FD20" i="7" s="1"/>
  <c r="FD21" i="7" s="1"/>
  <c r="FD22" i="7" s="1"/>
  <c r="FD23" i="7" s="1"/>
  <c r="FD24" i="7" s="1"/>
  <c r="FD25" i="7" s="1"/>
  <c r="FD26" i="7" s="1"/>
  <c r="FD27" i="7" s="1"/>
  <c r="FE18" i="7"/>
  <c r="FE19" i="7" s="1"/>
  <c r="FE20" i="7" s="1"/>
  <c r="FE21" i="7" s="1"/>
  <c r="FE22" i="7" s="1"/>
  <c r="FE23" i="7" s="1"/>
  <c r="FE24" i="7" s="1"/>
  <c r="FE25" i="7" s="1"/>
  <c r="FE26" i="7" s="1"/>
  <c r="FE27" i="7" s="1"/>
  <c r="FF18" i="7"/>
  <c r="FF19" i="7" s="1"/>
  <c r="FF20" i="7" s="1"/>
  <c r="FF21" i="7" s="1"/>
  <c r="FF22" i="7" s="1"/>
  <c r="FF23" i="7" s="1"/>
  <c r="FF24" i="7" s="1"/>
  <c r="FF25" i="7" s="1"/>
  <c r="FF26" i="7" s="1"/>
  <c r="FF27" i="7" s="1"/>
  <c r="FG18" i="7"/>
  <c r="FG19" i="7" s="1"/>
  <c r="FG20" i="7" s="1"/>
  <c r="FG21" i="7" s="1"/>
  <c r="FG22" i="7" s="1"/>
  <c r="FG23" i="7" s="1"/>
  <c r="FG24" i="7" s="1"/>
  <c r="FG25" i="7" s="1"/>
  <c r="FG26" i="7" s="1"/>
  <c r="FG27" i="7" s="1"/>
  <c r="FH18" i="7"/>
  <c r="FH19" i="7" s="1"/>
  <c r="FH20" i="7" s="1"/>
  <c r="FH21" i="7" s="1"/>
  <c r="FH22" i="7" s="1"/>
  <c r="FH23" i="7" s="1"/>
  <c r="FH24" i="7" s="1"/>
  <c r="FH25" i="7" s="1"/>
  <c r="FH26" i="7" s="1"/>
  <c r="FH27" i="7" s="1"/>
  <c r="FI18" i="7"/>
  <c r="FI19" i="7" s="1"/>
  <c r="FI20" i="7" s="1"/>
  <c r="FI21" i="7" s="1"/>
  <c r="FI22" i="7" s="1"/>
  <c r="FI23" i="7" s="1"/>
  <c r="FI24" i="7" s="1"/>
  <c r="FI25" i="7" s="1"/>
  <c r="FI26" i="7" s="1"/>
  <c r="FI27" i="7" s="1"/>
  <c r="FJ18" i="7"/>
  <c r="FJ19" i="7" s="1"/>
  <c r="FJ20" i="7" s="1"/>
  <c r="FJ21" i="7" s="1"/>
  <c r="FJ22" i="7" s="1"/>
  <c r="FJ23" i="7" s="1"/>
  <c r="FJ24" i="7" s="1"/>
  <c r="FJ25" i="7" s="1"/>
  <c r="FJ26" i="7" s="1"/>
  <c r="FJ27" i="7" s="1"/>
  <c r="FK18" i="7"/>
  <c r="FK19" i="7" s="1"/>
  <c r="FK20" i="7" s="1"/>
  <c r="FK21" i="7" s="1"/>
  <c r="FK22" i="7" s="1"/>
  <c r="FK23" i="7" s="1"/>
  <c r="FK24" i="7" s="1"/>
  <c r="FK25" i="7" s="1"/>
  <c r="FK26" i="7" s="1"/>
  <c r="FK27" i="7" s="1"/>
  <c r="FL18" i="7"/>
  <c r="FL19" i="7" s="1"/>
  <c r="FL20" i="7" s="1"/>
  <c r="FL21" i="7" s="1"/>
  <c r="FL22" i="7" s="1"/>
  <c r="FL23" i="7" s="1"/>
  <c r="FL24" i="7" s="1"/>
  <c r="FL25" i="7" s="1"/>
  <c r="FL26" i="7" s="1"/>
  <c r="FL27" i="7" s="1"/>
  <c r="FM18" i="7"/>
  <c r="FM19" i="7" s="1"/>
  <c r="FM20" i="7" s="1"/>
  <c r="FM21" i="7" s="1"/>
  <c r="FM22" i="7" s="1"/>
  <c r="FM23" i="7" s="1"/>
  <c r="FM24" i="7" s="1"/>
  <c r="FM25" i="7" s="1"/>
  <c r="FM26" i="7" s="1"/>
  <c r="FM27" i="7" s="1"/>
  <c r="FN18" i="7"/>
  <c r="FN19" i="7" s="1"/>
  <c r="FN20" i="7" s="1"/>
  <c r="FN21" i="7" s="1"/>
  <c r="FN22" i="7" s="1"/>
  <c r="FN23" i="7" s="1"/>
  <c r="FN24" i="7" s="1"/>
  <c r="FN25" i="7" s="1"/>
  <c r="FN26" i="7" s="1"/>
  <c r="FN27" i="7" s="1"/>
  <c r="FO18" i="7"/>
  <c r="FO19" i="7" s="1"/>
  <c r="FO20" i="7" s="1"/>
  <c r="FO21" i="7" s="1"/>
  <c r="FO22" i="7" s="1"/>
  <c r="FO23" i="7" s="1"/>
  <c r="FO24" i="7" s="1"/>
  <c r="FO25" i="7" s="1"/>
  <c r="FO26" i="7" s="1"/>
  <c r="FO27" i="7" s="1"/>
  <c r="FP18" i="7"/>
  <c r="FP19" i="7" s="1"/>
  <c r="FP20" i="7" s="1"/>
  <c r="FP21" i="7" s="1"/>
  <c r="FP22" i="7" s="1"/>
  <c r="FP23" i="7" s="1"/>
  <c r="FP24" i="7" s="1"/>
  <c r="FP25" i="7" s="1"/>
  <c r="FP26" i="7" s="1"/>
  <c r="FP27" i="7" s="1"/>
  <c r="FQ18" i="7"/>
  <c r="FQ19" i="7" s="1"/>
  <c r="FQ20" i="7" s="1"/>
  <c r="FQ21" i="7" s="1"/>
  <c r="FQ22" i="7" s="1"/>
  <c r="FQ23" i="7" s="1"/>
  <c r="FQ24" i="7" s="1"/>
  <c r="FQ25" i="7" s="1"/>
  <c r="FQ26" i="7" s="1"/>
  <c r="FQ27" i="7" s="1"/>
  <c r="FR18" i="7"/>
  <c r="FR19" i="7" s="1"/>
  <c r="FR20" i="7" s="1"/>
  <c r="FR21" i="7" s="1"/>
  <c r="FR22" i="7" s="1"/>
  <c r="FR23" i="7" s="1"/>
  <c r="FR24" i="7" s="1"/>
  <c r="FR25" i="7" s="1"/>
  <c r="FR26" i="7" s="1"/>
  <c r="FR27" i="7" s="1"/>
  <c r="FS18" i="7"/>
  <c r="FS19" i="7" s="1"/>
  <c r="FS20" i="7" s="1"/>
  <c r="FS21" i="7" s="1"/>
  <c r="FS22" i="7" s="1"/>
  <c r="FS23" i="7" s="1"/>
  <c r="FS24" i="7" s="1"/>
  <c r="FS25" i="7" s="1"/>
  <c r="FS26" i="7" s="1"/>
  <c r="FS27" i="7" s="1"/>
  <c r="FT18" i="7"/>
  <c r="FT19" i="7" s="1"/>
  <c r="FT20" i="7" s="1"/>
  <c r="FT21" i="7" s="1"/>
  <c r="FT22" i="7" s="1"/>
  <c r="FT23" i="7" s="1"/>
  <c r="FT24" i="7" s="1"/>
  <c r="FT25" i="7" s="1"/>
  <c r="FT26" i="7" s="1"/>
  <c r="FT27" i="7" s="1"/>
  <c r="FU18" i="7"/>
  <c r="FU19" i="7" s="1"/>
  <c r="FU20" i="7" s="1"/>
  <c r="FU21" i="7" s="1"/>
  <c r="FU22" i="7" s="1"/>
  <c r="FU23" i="7" s="1"/>
  <c r="FU24" i="7" s="1"/>
  <c r="FU25" i="7" s="1"/>
  <c r="FU26" i="7" s="1"/>
  <c r="FU27" i="7" s="1"/>
  <c r="FV18" i="7"/>
  <c r="FV19" i="7" s="1"/>
  <c r="FV20" i="7" s="1"/>
  <c r="FV21" i="7" s="1"/>
  <c r="FV22" i="7" s="1"/>
  <c r="FV23" i="7" s="1"/>
  <c r="FV24" i="7" s="1"/>
  <c r="FV25" i="7" s="1"/>
  <c r="FV26" i="7" s="1"/>
  <c r="FV27" i="7" s="1"/>
  <c r="FW18" i="7"/>
  <c r="FW19" i="7" s="1"/>
  <c r="FW20" i="7" s="1"/>
  <c r="FW21" i="7" s="1"/>
  <c r="FW22" i="7" s="1"/>
  <c r="FW23" i="7" s="1"/>
  <c r="FW24" i="7" s="1"/>
  <c r="FW25" i="7" s="1"/>
  <c r="FW26" i="7" s="1"/>
  <c r="FW27" i="7" s="1"/>
  <c r="FX18" i="7"/>
  <c r="FX19" i="7" s="1"/>
  <c r="FX20" i="7" s="1"/>
  <c r="FX21" i="7" s="1"/>
  <c r="FX22" i="7" s="1"/>
  <c r="FX23" i="7" s="1"/>
  <c r="FX24" i="7" s="1"/>
  <c r="FX25" i="7" s="1"/>
  <c r="FX26" i="7" s="1"/>
  <c r="FX27" i="7" s="1"/>
  <c r="FY18" i="7"/>
  <c r="FY19" i="7" s="1"/>
  <c r="FY20" i="7" s="1"/>
  <c r="FY21" i="7" s="1"/>
  <c r="FY22" i="7" s="1"/>
  <c r="FY23" i="7" s="1"/>
  <c r="FY24" i="7" s="1"/>
  <c r="FY25" i="7" s="1"/>
  <c r="FY26" i="7" s="1"/>
  <c r="FY27" i="7" s="1"/>
  <c r="FZ18" i="7"/>
  <c r="FZ19" i="7" s="1"/>
  <c r="FZ20" i="7" s="1"/>
  <c r="FZ21" i="7" s="1"/>
  <c r="FZ22" i="7" s="1"/>
  <c r="FZ23" i="7" s="1"/>
  <c r="FZ24" i="7" s="1"/>
  <c r="FZ25" i="7" s="1"/>
  <c r="FZ26" i="7" s="1"/>
  <c r="FZ27" i="7" s="1"/>
  <c r="GA18" i="7"/>
  <c r="GA19" i="7" s="1"/>
  <c r="GA20" i="7" s="1"/>
  <c r="GA21" i="7" s="1"/>
  <c r="GA22" i="7" s="1"/>
  <c r="GA23" i="7" s="1"/>
  <c r="GA24" i="7" s="1"/>
  <c r="GA25" i="7" s="1"/>
  <c r="GA26" i="7" s="1"/>
  <c r="GA27" i="7" s="1"/>
  <c r="GB18" i="7"/>
  <c r="GB19" i="7" s="1"/>
  <c r="GB20" i="7" s="1"/>
  <c r="GB21" i="7" s="1"/>
  <c r="GB22" i="7" s="1"/>
  <c r="GB23" i="7" s="1"/>
  <c r="GB24" i="7" s="1"/>
  <c r="GB25" i="7" s="1"/>
  <c r="GB26" i="7" s="1"/>
  <c r="GB27" i="7" s="1"/>
  <c r="GC18" i="7"/>
  <c r="GC19" i="7" s="1"/>
  <c r="GC20" i="7" s="1"/>
  <c r="GC21" i="7" s="1"/>
  <c r="GC22" i="7" s="1"/>
  <c r="GC23" i="7" s="1"/>
  <c r="GC24" i="7" s="1"/>
  <c r="GC25" i="7" s="1"/>
  <c r="GC26" i="7" s="1"/>
  <c r="GC27" i="7" s="1"/>
  <c r="GD18" i="7"/>
  <c r="GD19" i="7" s="1"/>
  <c r="GD20" i="7" s="1"/>
  <c r="GD21" i="7" s="1"/>
  <c r="GD22" i="7" s="1"/>
  <c r="GD23" i="7" s="1"/>
  <c r="GD24" i="7" s="1"/>
  <c r="GD25" i="7" s="1"/>
  <c r="GD26" i="7" s="1"/>
  <c r="GD27" i="7" s="1"/>
  <c r="GE18" i="7"/>
  <c r="GE19" i="7" s="1"/>
  <c r="GE20" i="7" s="1"/>
  <c r="GE21" i="7" s="1"/>
  <c r="GE22" i="7" s="1"/>
  <c r="GE23" i="7" s="1"/>
  <c r="GE24" i="7" s="1"/>
  <c r="GE25" i="7" s="1"/>
  <c r="GE26" i="7" s="1"/>
  <c r="GE27" i="7" s="1"/>
  <c r="GF18" i="7"/>
  <c r="GF19" i="7" s="1"/>
  <c r="GF20" i="7" s="1"/>
  <c r="GF21" i="7" s="1"/>
  <c r="GF22" i="7" s="1"/>
  <c r="GF23" i="7" s="1"/>
  <c r="GF24" i="7" s="1"/>
  <c r="GF25" i="7" s="1"/>
  <c r="GF26" i="7" s="1"/>
  <c r="GF27" i="7" s="1"/>
  <c r="GG18" i="7"/>
  <c r="GG19" i="7" s="1"/>
  <c r="GG20" i="7" s="1"/>
  <c r="GG21" i="7" s="1"/>
  <c r="GG22" i="7" s="1"/>
  <c r="GG23" i="7" s="1"/>
  <c r="GG24" i="7" s="1"/>
  <c r="GG25" i="7" s="1"/>
  <c r="GG26" i="7" s="1"/>
  <c r="GG27" i="7" s="1"/>
  <c r="GH18" i="7"/>
  <c r="GH19" i="7" s="1"/>
  <c r="GH20" i="7" s="1"/>
  <c r="GH21" i="7" s="1"/>
  <c r="GH22" i="7" s="1"/>
  <c r="GH23" i="7" s="1"/>
  <c r="GH24" i="7" s="1"/>
  <c r="GH25" i="7" s="1"/>
  <c r="GH26" i="7" s="1"/>
  <c r="GH27" i="7" s="1"/>
  <c r="GI18" i="7"/>
  <c r="GI19" i="7" s="1"/>
  <c r="GI20" i="7" s="1"/>
  <c r="GI21" i="7" s="1"/>
  <c r="GI22" i="7" s="1"/>
  <c r="GI23" i="7" s="1"/>
  <c r="GI24" i="7" s="1"/>
  <c r="GI25" i="7" s="1"/>
  <c r="GI26" i="7" s="1"/>
  <c r="GI27" i="7" s="1"/>
  <c r="GJ18" i="7"/>
  <c r="GJ19" i="7" s="1"/>
  <c r="GJ20" i="7" s="1"/>
  <c r="GJ21" i="7" s="1"/>
  <c r="GJ22" i="7" s="1"/>
  <c r="GJ23" i="7" s="1"/>
  <c r="GJ24" i="7" s="1"/>
  <c r="GJ25" i="7" s="1"/>
  <c r="GJ26" i="7" s="1"/>
  <c r="GJ27" i="7" s="1"/>
  <c r="GK18" i="7"/>
  <c r="GK19" i="7" s="1"/>
  <c r="GK20" i="7" s="1"/>
  <c r="GK21" i="7" s="1"/>
  <c r="GK22" i="7" s="1"/>
  <c r="GK23" i="7" s="1"/>
  <c r="GK24" i="7" s="1"/>
  <c r="GK25" i="7" s="1"/>
  <c r="GK26" i="7" s="1"/>
  <c r="GK27" i="7" s="1"/>
  <c r="GL18" i="7"/>
  <c r="GL19" i="7" s="1"/>
  <c r="GL20" i="7" s="1"/>
  <c r="GL21" i="7" s="1"/>
  <c r="GL22" i="7" s="1"/>
  <c r="GL23" i="7" s="1"/>
  <c r="GL24" i="7" s="1"/>
  <c r="GL25" i="7" s="1"/>
  <c r="GL26" i="7" s="1"/>
  <c r="GL27" i="7" s="1"/>
  <c r="GM18" i="7"/>
  <c r="GM19" i="7" s="1"/>
  <c r="GM20" i="7" s="1"/>
  <c r="GM21" i="7" s="1"/>
  <c r="GM22" i="7" s="1"/>
  <c r="GM23" i="7" s="1"/>
  <c r="GM24" i="7" s="1"/>
  <c r="GM25" i="7" s="1"/>
  <c r="GM26" i="7" s="1"/>
  <c r="GM27" i="7" s="1"/>
  <c r="GN18" i="7"/>
  <c r="GN19" i="7" s="1"/>
  <c r="GN20" i="7" s="1"/>
  <c r="GN21" i="7" s="1"/>
  <c r="GN22" i="7" s="1"/>
  <c r="GN23" i="7" s="1"/>
  <c r="GN24" i="7" s="1"/>
  <c r="GN25" i="7" s="1"/>
  <c r="GN26" i="7" s="1"/>
  <c r="GN27" i="7" s="1"/>
  <c r="GO18" i="7"/>
  <c r="GO19" i="7" s="1"/>
  <c r="GO20" i="7" s="1"/>
  <c r="GO21" i="7" s="1"/>
  <c r="GO22" i="7" s="1"/>
  <c r="GO23" i="7" s="1"/>
  <c r="GO24" i="7" s="1"/>
  <c r="GO25" i="7" s="1"/>
  <c r="GO26" i="7" s="1"/>
  <c r="GO27" i="7" s="1"/>
  <c r="GP18" i="7"/>
  <c r="GP19" i="7" s="1"/>
  <c r="GP20" i="7" s="1"/>
  <c r="GP21" i="7" s="1"/>
  <c r="GP22" i="7" s="1"/>
  <c r="GP23" i="7" s="1"/>
  <c r="GP24" i="7" s="1"/>
  <c r="GP25" i="7" s="1"/>
  <c r="GP26" i="7" s="1"/>
  <c r="GP27" i="7" s="1"/>
  <c r="GQ18" i="7"/>
  <c r="GQ19" i="7" s="1"/>
  <c r="GQ20" i="7" s="1"/>
  <c r="GQ21" i="7" s="1"/>
  <c r="GQ22" i="7" s="1"/>
  <c r="GQ23" i="7" s="1"/>
  <c r="GQ24" i="7" s="1"/>
  <c r="GQ25" i="7" s="1"/>
  <c r="GQ26" i="7" s="1"/>
  <c r="GQ27" i="7" s="1"/>
  <c r="GR18" i="7"/>
  <c r="GR19" i="7" s="1"/>
  <c r="GR20" i="7" s="1"/>
  <c r="GR21" i="7" s="1"/>
  <c r="GR22" i="7" s="1"/>
  <c r="GR23" i="7" s="1"/>
  <c r="GR24" i="7" s="1"/>
  <c r="GR25" i="7" s="1"/>
  <c r="GR26" i="7" s="1"/>
  <c r="GR27" i="7" s="1"/>
  <c r="GS18" i="7"/>
  <c r="GS19" i="7" s="1"/>
  <c r="GS20" i="7" s="1"/>
  <c r="GS21" i="7" s="1"/>
  <c r="GS22" i="7" s="1"/>
  <c r="GS23" i="7" s="1"/>
  <c r="GS24" i="7" s="1"/>
  <c r="GS25" i="7" s="1"/>
  <c r="GS26" i="7" s="1"/>
  <c r="GS27" i="7" s="1"/>
  <c r="GT18" i="7"/>
  <c r="GT19" i="7" s="1"/>
  <c r="GT20" i="7" s="1"/>
  <c r="GT21" i="7" s="1"/>
  <c r="GT22" i="7" s="1"/>
  <c r="GT23" i="7" s="1"/>
  <c r="GT24" i="7" s="1"/>
  <c r="GT25" i="7" s="1"/>
  <c r="GT26" i="7" s="1"/>
  <c r="GT27" i="7" s="1"/>
  <c r="GU18" i="7"/>
  <c r="GU19" i="7" s="1"/>
  <c r="GU20" i="7" s="1"/>
  <c r="GU21" i="7" s="1"/>
  <c r="GU22" i="7" s="1"/>
  <c r="GU23" i="7" s="1"/>
  <c r="GU24" i="7" s="1"/>
  <c r="GU25" i="7" s="1"/>
  <c r="GU26" i="7" s="1"/>
  <c r="GU27" i="7" s="1"/>
  <c r="GV18" i="7"/>
  <c r="GV19" i="7" s="1"/>
  <c r="GV20" i="7" s="1"/>
  <c r="GV21" i="7" s="1"/>
  <c r="GV22" i="7" s="1"/>
  <c r="GV23" i="7" s="1"/>
  <c r="GV24" i="7" s="1"/>
  <c r="GV25" i="7" s="1"/>
  <c r="GV26" i="7" s="1"/>
  <c r="GV27" i="7" s="1"/>
  <c r="GW18" i="7"/>
  <c r="GW19" i="7" s="1"/>
  <c r="GW20" i="7" s="1"/>
  <c r="GW21" i="7" s="1"/>
  <c r="GW22" i="7" s="1"/>
  <c r="GW23" i="7" s="1"/>
  <c r="GW24" i="7" s="1"/>
  <c r="GW25" i="7" s="1"/>
  <c r="GW26" i="7" s="1"/>
  <c r="GW27" i="7" s="1"/>
  <c r="GX18" i="7"/>
  <c r="GX19" i="7" s="1"/>
  <c r="GX20" i="7" s="1"/>
  <c r="GX21" i="7" s="1"/>
  <c r="GX22" i="7" s="1"/>
  <c r="GX23" i="7" s="1"/>
  <c r="GX24" i="7" s="1"/>
  <c r="GX25" i="7" s="1"/>
  <c r="GX26" i="7" s="1"/>
  <c r="GX27" i="7" s="1"/>
  <c r="GY18" i="7"/>
  <c r="GY19" i="7" s="1"/>
  <c r="GY20" i="7" s="1"/>
  <c r="GY21" i="7" s="1"/>
  <c r="GY22" i="7" s="1"/>
  <c r="GY23" i="7" s="1"/>
  <c r="GY24" i="7" s="1"/>
  <c r="GY25" i="7" s="1"/>
  <c r="GY26" i="7" s="1"/>
  <c r="GY27" i="7" s="1"/>
  <c r="GZ18" i="7"/>
  <c r="GZ19" i="7" s="1"/>
  <c r="GZ20" i="7" s="1"/>
  <c r="GZ21" i="7" s="1"/>
  <c r="GZ22" i="7" s="1"/>
  <c r="GZ23" i="7" s="1"/>
  <c r="GZ24" i="7" s="1"/>
  <c r="GZ25" i="7" s="1"/>
  <c r="GZ26" i="7" s="1"/>
  <c r="GZ27" i="7" s="1"/>
  <c r="HA18" i="7"/>
  <c r="HA19" i="7" s="1"/>
  <c r="HA20" i="7" s="1"/>
  <c r="HA21" i="7" s="1"/>
  <c r="HA22" i="7" s="1"/>
  <c r="HA23" i="7" s="1"/>
  <c r="HA24" i="7" s="1"/>
  <c r="HA25" i="7" s="1"/>
  <c r="HA26" i="7" s="1"/>
  <c r="HA27" i="7" s="1"/>
  <c r="HB18" i="7"/>
  <c r="HB19" i="7" s="1"/>
  <c r="HB20" i="7" s="1"/>
  <c r="HB21" i="7" s="1"/>
  <c r="HB22" i="7" s="1"/>
  <c r="HB23" i="7" s="1"/>
  <c r="HB24" i="7" s="1"/>
  <c r="HB25" i="7" s="1"/>
  <c r="HB26" i="7" s="1"/>
  <c r="HB27" i="7" s="1"/>
  <c r="HC18" i="7"/>
  <c r="HC19" i="7" s="1"/>
  <c r="HC20" i="7" s="1"/>
  <c r="HC21" i="7" s="1"/>
  <c r="HC22" i="7" s="1"/>
  <c r="HC23" i="7" s="1"/>
  <c r="HC24" i="7" s="1"/>
  <c r="HC25" i="7" s="1"/>
  <c r="HC26" i="7" s="1"/>
  <c r="HC27" i="7" s="1"/>
  <c r="HD18" i="7"/>
  <c r="HD19" i="7" s="1"/>
  <c r="HD20" i="7" s="1"/>
  <c r="HD21" i="7" s="1"/>
  <c r="HD22" i="7" s="1"/>
  <c r="HD23" i="7" s="1"/>
  <c r="HD24" i="7" s="1"/>
  <c r="HD25" i="7" s="1"/>
  <c r="HD26" i="7" s="1"/>
  <c r="HD27" i="7" s="1"/>
  <c r="HE18" i="7"/>
  <c r="HE19" i="7" s="1"/>
  <c r="HE20" i="7" s="1"/>
  <c r="HE21" i="7" s="1"/>
  <c r="HE22" i="7" s="1"/>
  <c r="HE23" i="7" s="1"/>
  <c r="HE24" i="7" s="1"/>
  <c r="HE25" i="7" s="1"/>
  <c r="HE26" i="7" s="1"/>
  <c r="HE27" i="7" s="1"/>
  <c r="HF18" i="7"/>
  <c r="HF19" i="7" s="1"/>
  <c r="HF20" i="7" s="1"/>
  <c r="HF21" i="7" s="1"/>
  <c r="HF22" i="7" s="1"/>
  <c r="HF23" i="7" s="1"/>
  <c r="HF24" i="7" s="1"/>
  <c r="HF25" i="7" s="1"/>
  <c r="HF26" i="7" s="1"/>
  <c r="HF27" i="7" s="1"/>
  <c r="HG18" i="7"/>
  <c r="HG19" i="7" s="1"/>
  <c r="HG20" i="7" s="1"/>
  <c r="HG21" i="7" s="1"/>
  <c r="HG22" i="7" s="1"/>
  <c r="HG23" i="7" s="1"/>
  <c r="HG24" i="7" s="1"/>
  <c r="HG25" i="7" s="1"/>
  <c r="HG26" i="7" s="1"/>
  <c r="HG27" i="7" s="1"/>
  <c r="HH18" i="7"/>
  <c r="HH19" i="7" s="1"/>
  <c r="HH20" i="7" s="1"/>
  <c r="HH21" i="7" s="1"/>
  <c r="HH22" i="7" s="1"/>
  <c r="HH23" i="7" s="1"/>
  <c r="HH24" i="7" s="1"/>
  <c r="HH25" i="7" s="1"/>
  <c r="HH26" i="7" s="1"/>
  <c r="HH27" i="7" s="1"/>
  <c r="HI18" i="7"/>
  <c r="HI19" i="7" s="1"/>
  <c r="HI20" i="7" s="1"/>
  <c r="HI21" i="7" s="1"/>
  <c r="HI22" i="7" s="1"/>
  <c r="HI23" i="7" s="1"/>
  <c r="HI24" i="7" s="1"/>
  <c r="HI25" i="7" s="1"/>
  <c r="HI26" i="7" s="1"/>
  <c r="HI27" i="7" s="1"/>
  <c r="HJ18" i="7"/>
  <c r="HJ19" i="7" s="1"/>
  <c r="HJ20" i="7" s="1"/>
  <c r="HJ21" i="7" s="1"/>
  <c r="HJ22" i="7" s="1"/>
  <c r="HJ23" i="7" s="1"/>
  <c r="HJ24" i="7" s="1"/>
  <c r="HJ25" i="7" s="1"/>
  <c r="HJ26" i="7" s="1"/>
  <c r="HJ27" i="7" s="1"/>
  <c r="HK18" i="7"/>
  <c r="HK19" i="7" s="1"/>
  <c r="HK20" i="7" s="1"/>
  <c r="HK21" i="7" s="1"/>
  <c r="HK22" i="7" s="1"/>
  <c r="HK23" i="7" s="1"/>
  <c r="HK24" i="7" s="1"/>
  <c r="HK25" i="7" s="1"/>
  <c r="HK26" i="7" s="1"/>
  <c r="HK27" i="7" s="1"/>
  <c r="HL18" i="7"/>
  <c r="HL19" i="7" s="1"/>
  <c r="HL20" i="7" s="1"/>
  <c r="HL21" i="7" s="1"/>
  <c r="HL22" i="7" s="1"/>
  <c r="HL23" i="7" s="1"/>
  <c r="HL24" i="7" s="1"/>
  <c r="HL25" i="7" s="1"/>
  <c r="HL26" i="7" s="1"/>
  <c r="HL27" i="7" s="1"/>
  <c r="HM18" i="7"/>
  <c r="HM19" i="7" s="1"/>
  <c r="HM20" i="7" s="1"/>
  <c r="HM21" i="7" s="1"/>
  <c r="HM22" i="7" s="1"/>
  <c r="HM23" i="7" s="1"/>
  <c r="HM24" i="7" s="1"/>
  <c r="HM25" i="7" s="1"/>
  <c r="HM26" i="7" s="1"/>
  <c r="HM27" i="7" s="1"/>
  <c r="HN18" i="7"/>
  <c r="HN19" i="7" s="1"/>
  <c r="HN20" i="7" s="1"/>
  <c r="HN21" i="7" s="1"/>
  <c r="HN22" i="7" s="1"/>
  <c r="HN23" i="7" s="1"/>
  <c r="HN24" i="7" s="1"/>
  <c r="HN25" i="7" s="1"/>
  <c r="HN26" i="7" s="1"/>
  <c r="HN27" i="7" s="1"/>
  <c r="HO18" i="7"/>
  <c r="HO19" i="7" s="1"/>
  <c r="HO20" i="7" s="1"/>
  <c r="HO21" i="7" s="1"/>
  <c r="HO22" i="7" s="1"/>
  <c r="HO23" i="7" s="1"/>
  <c r="HO24" i="7" s="1"/>
  <c r="HO25" i="7" s="1"/>
  <c r="HO26" i="7" s="1"/>
  <c r="HO27" i="7" s="1"/>
  <c r="HP18" i="7"/>
  <c r="HP19" i="7" s="1"/>
  <c r="HP20" i="7" s="1"/>
  <c r="HP21" i="7" s="1"/>
  <c r="HP22" i="7" s="1"/>
  <c r="HP23" i="7" s="1"/>
  <c r="HP24" i="7" s="1"/>
  <c r="HP25" i="7" s="1"/>
  <c r="HP26" i="7" s="1"/>
  <c r="HP27" i="7" s="1"/>
  <c r="HQ18" i="7"/>
  <c r="HQ19" i="7" s="1"/>
  <c r="HQ20" i="7" s="1"/>
  <c r="HQ21" i="7" s="1"/>
  <c r="HQ22" i="7" s="1"/>
  <c r="HQ23" i="7" s="1"/>
  <c r="HQ24" i="7" s="1"/>
  <c r="HQ25" i="7" s="1"/>
  <c r="HQ26" i="7" s="1"/>
  <c r="HQ27" i="7" s="1"/>
  <c r="HR18" i="7"/>
  <c r="HR19" i="7" s="1"/>
  <c r="HR20" i="7" s="1"/>
  <c r="HR21" i="7" s="1"/>
  <c r="HR22" i="7" s="1"/>
  <c r="HR23" i="7" s="1"/>
  <c r="HR24" i="7" s="1"/>
  <c r="HR25" i="7" s="1"/>
  <c r="HR26" i="7" s="1"/>
  <c r="HR27" i="7" s="1"/>
  <c r="HS18" i="7"/>
  <c r="HS19" i="7" s="1"/>
  <c r="HS20" i="7" s="1"/>
  <c r="HS21" i="7" s="1"/>
  <c r="HS22" i="7" s="1"/>
  <c r="HS23" i="7" s="1"/>
  <c r="HS24" i="7" s="1"/>
  <c r="HS25" i="7" s="1"/>
  <c r="HS26" i="7" s="1"/>
  <c r="HS27" i="7" s="1"/>
  <c r="HT18" i="7"/>
  <c r="HT19" i="7" s="1"/>
  <c r="HT20" i="7" s="1"/>
  <c r="HT21" i="7" s="1"/>
  <c r="HT22" i="7" s="1"/>
  <c r="HT23" i="7" s="1"/>
  <c r="HT24" i="7" s="1"/>
  <c r="HT25" i="7" s="1"/>
  <c r="HT26" i="7" s="1"/>
  <c r="HT27" i="7" s="1"/>
  <c r="HU18" i="7"/>
  <c r="HU19" i="7" s="1"/>
  <c r="HU20" i="7" s="1"/>
  <c r="HU21" i="7" s="1"/>
  <c r="HU22" i="7" s="1"/>
  <c r="HU23" i="7" s="1"/>
  <c r="HU24" i="7" s="1"/>
  <c r="HU25" i="7" s="1"/>
  <c r="HU26" i="7" s="1"/>
  <c r="HU27" i="7" s="1"/>
  <c r="HV18" i="7"/>
  <c r="HV19" i="7" s="1"/>
  <c r="HV20" i="7" s="1"/>
  <c r="HV21" i="7" s="1"/>
  <c r="HV22" i="7" s="1"/>
  <c r="HV23" i="7" s="1"/>
  <c r="HV24" i="7" s="1"/>
  <c r="HV25" i="7" s="1"/>
  <c r="HV26" i="7" s="1"/>
  <c r="HV27" i="7" s="1"/>
  <c r="HW18" i="7"/>
  <c r="HW19" i="7" s="1"/>
  <c r="HW20" i="7" s="1"/>
  <c r="HW21" i="7" s="1"/>
  <c r="HW22" i="7" s="1"/>
  <c r="HW23" i="7" s="1"/>
  <c r="HW24" i="7" s="1"/>
  <c r="HW25" i="7" s="1"/>
  <c r="HW26" i="7" s="1"/>
  <c r="HW27" i="7" s="1"/>
  <c r="HX18" i="7"/>
  <c r="HX19" i="7" s="1"/>
  <c r="HX20" i="7" s="1"/>
  <c r="HX21" i="7" s="1"/>
  <c r="HX22" i="7" s="1"/>
  <c r="HX23" i="7" s="1"/>
  <c r="HX24" i="7" s="1"/>
  <c r="HX25" i="7" s="1"/>
  <c r="HX26" i="7" s="1"/>
  <c r="HX27" i="7" s="1"/>
  <c r="HY18" i="7"/>
  <c r="HY19" i="7" s="1"/>
  <c r="HY20" i="7" s="1"/>
  <c r="HY21" i="7" s="1"/>
  <c r="HY22" i="7" s="1"/>
  <c r="HY23" i="7" s="1"/>
  <c r="HY24" i="7" s="1"/>
  <c r="HY25" i="7" s="1"/>
  <c r="HY26" i="7" s="1"/>
  <c r="HY27" i="7" s="1"/>
  <c r="HZ18" i="7"/>
  <c r="HZ19" i="7" s="1"/>
  <c r="HZ20" i="7" s="1"/>
  <c r="HZ21" i="7" s="1"/>
  <c r="HZ22" i="7" s="1"/>
  <c r="HZ23" i="7" s="1"/>
  <c r="HZ24" i="7" s="1"/>
  <c r="HZ25" i="7" s="1"/>
  <c r="HZ26" i="7" s="1"/>
  <c r="HZ27" i="7" s="1"/>
  <c r="IA18" i="7"/>
  <c r="IA19" i="7" s="1"/>
  <c r="IA20" i="7" s="1"/>
  <c r="IA21" i="7" s="1"/>
  <c r="IA22" i="7" s="1"/>
  <c r="IA23" i="7" s="1"/>
  <c r="IA24" i="7" s="1"/>
  <c r="IA25" i="7" s="1"/>
  <c r="IA26" i="7" s="1"/>
  <c r="IA27" i="7" s="1"/>
  <c r="IB18" i="7"/>
  <c r="IB19" i="7" s="1"/>
  <c r="IB20" i="7" s="1"/>
  <c r="IB21" i="7" s="1"/>
  <c r="IB22" i="7" s="1"/>
  <c r="IB23" i="7" s="1"/>
  <c r="IB24" i="7" s="1"/>
  <c r="IB25" i="7" s="1"/>
  <c r="IB26" i="7" s="1"/>
  <c r="IB27" i="7" s="1"/>
  <c r="IC18" i="7"/>
  <c r="IC19" i="7" s="1"/>
  <c r="IC20" i="7" s="1"/>
  <c r="IC21" i="7" s="1"/>
  <c r="IC22" i="7" s="1"/>
  <c r="IC23" i="7" s="1"/>
  <c r="IC24" i="7" s="1"/>
  <c r="IC25" i="7" s="1"/>
  <c r="IC26" i="7" s="1"/>
  <c r="IC27" i="7" s="1"/>
  <c r="ID18" i="7"/>
  <c r="ID19" i="7" s="1"/>
  <c r="ID20" i="7" s="1"/>
  <c r="ID21" i="7" s="1"/>
  <c r="ID22" i="7" s="1"/>
  <c r="ID23" i="7" s="1"/>
  <c r="ID24" i="7" s="1"/>
  <c r="ID25" i="7" s="1"/>
  <c r="ID26" i="7" s="1"/>
  <c r="ID27" i="7" s="1"/>
  <c r="IE18" i="7"/>
  <c r="IE19" i="7" s="1"/>
  <c r="IE20" i="7" s="1"/>
  <c r="IE21" i="7" s="1"/>
  <c r="IE22" i="7" s="1"/>
  <c r="IE23" i="7" s="1"/>
  <c r="IE24" i="7" s="1"/>
  <c r="IE25" i="7" s="1"/>
  <c r="IE26" i="7" s="1"/>
  <c r="IE27" i="7" s="1"/>
  <c r="IF18" i="7"/>
  <c r="IF19" i="7" s="1"/>
  <c r="IF20" i="7" s="1"/>
  <c r="IF21" i="7" s="1"/>
  <c r="IF22" i="7" s="1"/>
  <c r="IF23" i="7" s="1"/>
  <c r="IF24" i="7" s="1"/>
  <c r="IF25" i="7" s="1"/>
  <c r="IF26" i="7" s="1"/>
  <c r="IF27" i="7" s="1"/>
  <c r="IG18" i="7"/>
  <c r="IG19" i="7" s="1"/>
  <c r="IG20" i="7" s="1"/>
  <c r="IG21" i="7" s="1"/>
  <c r="IG22" i="7" s="1"/>
  <c r="IG23" i="7" s="1"/>
  <c r="IG24" i="7" s="1"/>
  <c r="IG25" i="7" s="1"/>
  <c r="IG26" i="7" s="1"/>
  <c r="IG27" i="7" s="1"/>
  <c r="IH18" i="7"/>
  <c r="IH19" i="7" s="1"/>
  <c r="IH20" i="7" s="1"/>
  <c r="IH21" i="7" s="1"/>
  <c r="IH22" i="7" s="1"/>
  <c r="IH23" i="7" s="1"/>
  <c r="IH24" i="7" s="1"/>
  <c r="IH25" i="7" s="1"/>
  <c r="IH26" i="7" s="1"/>
  <c r="IH27" i="7" s="1"/>
  <c r="II18" i="7"/>
  <c r="II19" i="7" s="1"/>
  <c r="II20" i="7" s="1"/>
  <c r="II21" i="7" s="1"/>
  <c r="II22" i="7" s="1"/>
  <c r="II23" i="7" s="1"/>
  <c r="II24" i="7" s="1"/>
  <c r="II25" i="7" s="1"/>
  <c r="II26" i="7" s="1"/>
  <c r="II27" i="7" s="1"/>
  <c r="IJ18" i="7"/>
  <c r="IJ19" i="7" s="1"/>
  <c r="IJ20" i="7" s="1"/>
  <c r="IJ21" i="7" s="1"/>
  <c r="IJ22" i="7" s="1"/>
  <c r="IJ23" i="7" s="1"/>
  <c r="IJ24" i="7" s="1"/>
  <c r="IJ25" i="7" s="1"/>
  <c r="IJ26" i="7" s="1"/>
  <c r="IJ27" i="7" s="1"/>
  <c r="IK18" i="7"/>
  <c r="IK19" i="7" s="1"/>
  <c r="IK20" i="7" s="1"/>
  <c r="IK21" i="7" s="1"/>
  <c r="IK22" i="7" s="1"/>
  <c r="IK23" i="7" s="1"/>
  <c r="IK24" i="7" s="1"/>
  <c r="IK25" i="7" s="1"/>
  <c r="IK26" i="7" s="1"/>
  <c r="IK27" i="7" s="1"/>
  <c r="IL18" i="7"/>
  <c r="IL19" i="7" s="1"/>
  <c r="IL20" i="7" s="1"/>
  <c r="IL21" i="7" s="1"/>
  <c r="IL22" i="7" s="1"/>
  <c r="IL23" i="7" s="1"/>
  <c r="IL24" i="7" s="1"/>
  <c r="IL25" i="7" s="1"/>
  <c r="IL26" i="7" s="1"/>
  <c r="IL27" i="7" s="1"/>
  <c r="IM18" i="7"/>
  <c r="IM19" i="7" s="1"/>
  <c r="IM20" i="7" s="1"/>
  <c r="IM21" i="7" s="1"/>
  <c r="IM22" i="7" s="1"/>
  <c r="IM23" i="7" s="1"/>
  <c r="IM24" i="7" s="1"/>
  <c r="IM25" i="7" s="1"/>
  <c r="IM26" i="7" s="1"/>
  <c r="IM27" i="7" s="1"/>
  <c r="IN18" i="7"/>
  <c r="IN19" i="7" s="1"/>
  <c r="IN20" i="7" s="1"/>
  <c r="IN21" i="7" s="1"/>
  <c r="IN22" i="7" s="1"/>
  <c r="IN23" i="7" s="1"/>
  <c r="IN24" i="7" s="1"/>
  <c r="IN25" i="7" s="1"/>
  <c r="IN26" i="7" s="1"/>
  <c r="IN27" i="7" s="1"/>
  <c r="IO18" i="7"/>
  <c r="IO19" i="7" s="1"/>
  <c r="IO20" i="7" s="1"/>
  <c r="IO21" i="7" s="1"/>
  <c r="IO22" i="7" s="1"/>
  <c r="IO23" i="7" s="1"/>
  <c r="IO24" i="7" s="1"/>
  <c r="IO25" i="7" s="1"/>
  <c r="IO26" i="7" s="1"/>
  <c r="IO27" i="7" s="1"/>
  <c r="IP18" i="7"/>
  <c r="IP19" i="7" s="1"/>
  <c r="IP20" i="7" s="1"/>
  <c r="IP21" i="7" s="1"/>
  <c r="IP22" i="7" s="1"/>
  <c r="IP23" i="7" s="1"/>
  <c r="IP24" i="7" s="1"/>
  <c r="IP25" i="7" s="1"/>
  <c r="IP26" i="7" s="1"/>
  <c r="IP27" i="7" s="1"/>
  <c r="IQ18" i="7"/>
  <c r="IQ19" i="7" s="1"/>
  <c r="IQ20" i="7" s="1"/>
  <c r="IQ21" i="7" s="1"/>
  <c r="IQ22" i="7" s="1"/>
  <c r="IQ23" i="7" s="1"/>
  <c r="IQ24" i="7" s="1"/>
  <c r="IQ25" i="7" s="1"/>
  <c r="IQ26" i="7" s="1"/>
  <c r="IQ27" i="7" s="1"/>
  <c r="IR18" i="7"/>
  <c r="IR19" i="7" s="1"/>
  <c r="IR20" i="7" s="1"/>
  <c r="IR21" i="7" s="1"/>
  <c r="IR22" i="7" s="1"/>
  <c r="IR23" i="7" s="1"/>
  <c r="IR24" i="7" s="1"/>
  <c r="IR25" i="7" s="1"/>
  <c r="IR26" i="7" s="1"/>
  <c r="IR27" i="7" s="1"/>
  <c r="IS18" i="7"/>
  <c r="IS19" i="7" s="1"/>
  <c r="IS20" i="7" s="1"/>
  <c r="IS21" i="7" s="1"/>
  <c r="IS22" i="7" s="1"/>
  <c r="IS23" i="7" s="1"/>
  <c r="IS24" i="7" s="1"/>
  <c r="IS25" i="7" s="1"/>
  <c r="IS26" i="7" s="1"/>
  <c r="IS27" i="7" s="1"/>
  <c r="IT18" i="7"/>
  <c r="IT19" i="7" s="1"/>
  <c r="IT20" i="7" s="1"/>
  <c r="IT21" i="7" s="1"/>
  <c r="IT22" i="7" s="1"/>
  <c r="IT23" i="7" s="1"/>
  <c r="IT24" i="7" s="1"/>
  <c r="IT25" i="7" s="1"/>
  <c r="IT26" i="7" s="1"/>
  <c r="IT27" i="7" s="1"/>
  <c r="IU18" i="7"/>
  <c r="IU19" i="7" s="1"/>
  <c r="IU20" i="7" s="1"/>
  <c r="IU21" i="7" s="1"/>
  <c r="IU22" i="7" s="1"/>
  <c r="IU23" i="7" s="1"/>
  <c r="IU24" i="7" s="1"/>
  <c r="IU25" i="7" s="1"/>
  <c r="IU26" i="7" s="1"/>
  <c r="IU27" i="7" s="1"/>
  <c r="IV18" i="7"/>
  <c r="IV19" i="7" s="1"/>
  <c r="IV20" i="7" s="1"/>
  <c r="IV21" i="7" s="1"/>
  <c r="IV22" i="7" s="1"/>
  <c r="IV23" i="7" s="1"/>
  <c r="IV24" i="7" s="1"/>
  <c r="IV25" i="7" s="1"/>
  <c r="IV26" i="7" s="1"/>
  <c r="IV27" i="7" s="1"/>
  <c r="IW18" i="7"/>
  <c r="IW19" i="7" s="1"/>
  <c r="IW20" i="7" s="1"/>
  <c r="IW21" i="7" s="1"/>
  <c r="IW22" i="7" s="1"/>
  <c r="IW23" i="7" s="1"/>
  <c r="IW24" i="7" s="1"/>
  <c r="IW25" i="7" s="1"/>
  <c r="IW26" i="7" s="1"/>
  <c r="IW27" i="7" s="1"/>
  <c r="IX18" i="7"/>
  <c r="IX19" i="7" s="1"/>
  <c r="IX20" i="7" s="1"/>
  <c r="IX21" i="7" s="1"/>
  <c r="IX22" i="7" s="1"/>
  <c r="IX23" i="7" s="1"/>
  <c r="IX24" i="7" s="1"/>
  <c r="IX25" i="7" s="1"/>
  <c r="IX26" i="7" s="1"/>
  <c r="IX27" i="7" s="1"/>
  <c r="IY18" i="7"/>
  <c r="IY19" i="7" s="1"/>
  <c r="IY20" i="7" s="1"/>
  <c r="IY21" i="7" s="1"/>
  <c r="IY22" i="7" s="1"/>
  <c r="IY23" i="7" s="1"/>
  <c r="IY24" i="7" s="1"/>
  <c r="IY25" i="7" s="1"/>
  <c r="IY26" i="7" s="1"/>
  <c r="IY27" i="7" s="1"/>
  <c r="IZ18" i="7"/>
  <c r="IZ19" i="7" s="1"/>
  <c r="IZ20" i="7" s="1"/>
  <c r="IZ21" i="7" s="1"/>
  <c r="IZ22" i="7" s="1"/>
  <c r="IZ23" i="7" s="1"/>
  <c r="IZ24" i="7" s="1"/>
  <c r="IZ25" i="7" s="1"/>
  <c r="IZ26" i="7" s="1"/>
  <c r="IZ27" i="7" s="1"/>
  <c r="JA18" i="7"/>
  <c r="JA19" i="7" s="1"/>
  <c r="JA20" i="7" s="1"/>
  <c r="JA21" i="7" s="1"/>
  <c r="JA22" i="7" s="1"/>
  <c r="JA23" i="7" s="1"/>
  <c r="JA24" i="7" s="1"/>
  <c r="JA25" i="7" s="1"/>
  <c r="JA26" i="7" s="1"/>
  <c r="JA27" i="7" s="1"/>
  <c r="JB18" i="7"/>
  <c r="JB19" i="7" s="1"/>
  <c r="JB20" i="7" s="1"/>
  <c r="JB21" i="7" s="1"/>
  <c r="JB22" i="7" s="1"/>
  <c r="JB23" i="7" s="1"/>
  <c r="JB24" i="7" s="1"/>
  <c r="JB25" i="7" s="1"/>
  <c r="JB26" i="7" s="1"/>
  <c r="JB27" i="7" s="1"/>
  <c r="JC18" i="7"/>
  <c r="JC19" i="7" s="1"/>
  <c r="JC20" i="7" s="1"/>
  <c r="JC21" i="7" s="1"/>
  <c r="JC22" i="7" s="1"/>
  <c r="JC23" i="7" s="1"/>
  <c r="JC24" i="7" s="1"/>
  <c r="JC25" i="7" s="1"/>
  <c r="JC26" i="7" s="1"/>
  <c r="JC27" i="7" s="1"/>
  <c r="JD18" i="7"/>
  <c r="JD19" i="7" s="1"/>
  <c r="JD20" i="7" s="1"/>
  <c r="JD21" i="7" s="1"/>
  <c r="JD22" i="7" s="1"/>
  <c r="JD23" i="7" s="1"/>
  <c r="JD24" i="7" s="1"/>
  <c r="JD25" i="7" s="1"/>
  <c r="JD26" i="7" s="1"/>
  <c r="JD27" i="7" s="1"/>
  <c r="JE18" i="7"/>
  <c r="JE19" i="7" s="1"/>
  <c r="JE20" i="7" s="1"/>
  <c r="JE21" i="7" s="1"/>
  <c r="JE22" i="7" s="1"/>
  <c r="JE23" i="7" s="1"/>
  <c r="JE24" i="7" s="1"/>
  <c r="JE25" i="7" s="1"/>
  <c r="JE26" i="7" s="1"/>
  <c r="JE27" i="7" s="1"/>
  <c r="JF18" i="7"/>
  <c r="JF19" i="7" s="1"/>
  <c r="JF20" i="7" s="1"/>
  <c r="JF21" i="7" s="1"/>
  <c r="JF22" i="7" s="1"/>
  <c r="JF23" i="7" s="1"/>
  <c r="JF24" i="7" s="1"/>
  <c r="JF25" i="7" s="1"/>
  <c r="JF26" i="7" s="1"/>
  <c r="JF27" i="7" s="1"/>
  <c r="JG18" i="7"/>
  <c r="JG19" i="7" s="1"/>
  <c r="JG20" i="7" s="1"/>
  <c r="JG21" i="7" s="1"/>
  <c r="JG22" i="7" s="1"/>
  <c r="JG23" i="7" s="1"/>
  <c r="JG24" i="7" s="1"/>
  <c r="JG25" i="7" s="1"/>
  <c r="JG26" i="7" s="1"/>
  <c r="JG27" i="7" s="1"/>
  <c r="JH18" i="7"/>
  <c r="JH19" i="7" s="1"/>
  <c r="JH20" i="7" s="1"/>
  <c r="JH21" i="7" s="1"/>
  <c r="JH22" i="7" s="1"/>
  <c r="JH23" i="7" s="1"/>
  <c r="JH24" i="7" s="1"/>
  <c r="JH25" i="7" s="1"/>
  <c r="JH26" i="7" s="1"/>
  <c r="JH27" i="7" s="1"/>
  <c r="JI18" i="7"/>
  <c r="JI19" i="7" s="1"/>
  <c r="JI20" i="7" s="1"/>
  <c r="JI21" i="7" s="1"/>
  <c r="JI22" i="7" s="1"/>
  <c r="JI23" i="7" s="1"/>
  <c r="JI24" i="7" s="1"/>
  <c r="JI25" i="7" s="1"/>
  <c r="JI26" i="7" s="1"/>
  <c r="JI27" i="7" s="1"/>
  <c r="JJ18" i="7"/>
  <c r="JJ19" i="7" s="1"/>
  <c r="JJ20" i="7" s="1"/>
  <c r="JJ21" i="7" s="1"/>
  <c r="JJ22" i="7" s="1"/>
  <c r="JJ23" i="7" s="1"/>
  <c r="JJ24" i="7" s="1"/>
  <c r="JJ25" i="7" s="1"/>
  <c r="JJ26" i="7" s="1"/>
  <c r="JJ27" i="7" s="1"/>
  <c r="JK18" i="7"/>
  <c r="JK19" i="7" s="1"/>
  <c r="JK20" i="7" s="1"/>
  <c r="JK21" i="7" s="1"/>
  <c r="JK22" i="7" s="1"/>
  <c r="JK23" i="7" s="1"/>
  <c r="JK24" i="7" s="1"/>
  <c r="JK25" i="7" s="1"/>
  <c r="JK26" i="7" s="1"/>
  <c r="JK27" i="7" s="1"/>
  <c r="JL18" i="7"/>
  <c r="JL19" i="7" s="1"/>
  <c r="JL20" i="7" s="1"/>
  <c r="JL21" i="7" s="1"/>
  <c r="JL22" i="7" s="1"/>
  <c r="JL23" i="7" s="1"/>
  <c r="JL24" i="7" s="1"/>
  <c r="JL25" i="7" s="1"/>
  <c r="JL26" i="7" s="1"/>
  <c r="JL27" i="7" s="1"/>
  <c r="JM18" i="7"/>
  <c r="JM19" i="7" s="1"/>
  <c r="JM20" i="7" s="1"/>
  <c r="JM21" i="7" s="1"/>
  <c r="JM22" i="7" s="1"/>
  <c r="JM23" i="7" s="1"/>
  <c r="JM24" i="7" s="1"/>
  <c r="JM25" i="7" s="1"/>
  <c r="JM26" i="7" s="1"/>
  <c r="JM27" i="7" s="1"/>
  <c r="JN18" i="7"/>
  <c r="JN19" i="7" s="1"/>
  <c r="JN20" i="7" s="1"/>
  <c r="JN21" i="7" s="1"/>
  <c r="JN22" i="7" s="1"/>
  <c r="JN23" i="7" s="1"/>
  <c r="JN24" i="7" s="1"/>
  <c r="JN25" i="7" s="1"/>
  <c r="JN26" i="7" s="1"/>
  <c r="JN27" i="7" s="1"/>
  <c r="JO18" i="7"/>
  <c r="JO19" i="7" s="1"/>
  <c r="JO20" i="7" s="1"/>
  <c r="JO21" i="7" s="1"/>
  <c r="JO22" i="7" s="1"/>
  <c r="JO23" i="7" s="1"/>
  <c r="JO24" i="7" s="1"/>
  <c r="JO25" i="7" s="1"/>
  <c r="JO26" i="7" s="1"/>
  <c r="JO27" i="7" s="1"/>
  <c r="JP18" i="7"/>
  <c r="JP19" i="7" s="1"/>
  <c r="JP20" i="7" s="1"/>
  <c r="JP21" i="7" s="1"/>
  <c r="JP22" i="7" s="1"/>
  <c r="JP23" i="7" s="1"/>
  <c r="JP24" i="7" s="1"/>
  <c r="JP25" i="7" s="1"/>
  <c r="JP26" i="7" s="1"/>
  <c r="JP27" i="7" s="1"/>
  <c r="JQ18" i="7"/>
  <c r="JQ19" i="7" s="1"/>
  <c r="JQ20" i="7" s="1"/>
  <c r="JQ21" i="7" s="1"/>
  <c r="JQ22" i="7" s="1"/>
  <c r="JQ23" i="7" s="1"/>
  <c r="JQ24" i="7" s="1"/>
  <c r="JQ25" i="7" s="1"/>
  <c r="JQ26" i="7" s="1"/>
  <c r="JQ27" i="7" s="1"/>
  <c r="JR18" i="7"/>
  <c r="JR19" i="7" s="1"/>
  <c r="JR20" i="7" s="1"/>
  <c r="JR21" i="7" s="1"/>
  <c r="JR22" i="7" s="1"/>
  <c r="JR23" i="7" s="1"/>
  <c r="JR24" i="7" s="1"/>
  <c r="JR25" i="7" s="1"/>
  <c r="JR26" i="7" s="1"/>
  <c r="JR27" i="7" s="1"/>
  <c r="JS18" i="7"/>
  <c r="JS19" i="7" s="1"/>
  <c r="JS20" i="7" s="1"/>
  <c r="JS21" i="7" s="1"/>
  <c r="JS22" i="7" s="1"/>
  <c r="JS23" i="7" s="1"/>
  <c r="JS24" i="7" s="1"/>
  <c r="JS25" i="7" s="1"/>
  <c r="JS26" i="7" s="1"/>
  <c r="JS27" i="7" s="1"/>
  <c r="JT18" i="7"/>
  <c r="JT19" i="7" s="1"/>
  <c r="JT20" i="7" s="1"/>
  <c r="JT21" i="7" s="1"/>
  <c r="JT22" i="7" s="1"/>
  <c r="JT23" i="7" s="1"/>
  <c r="JT24" i="7" s="1"/>
  <c r="JT25" i="7" s="1"/>
  <c r="JT26" i="7" s="1"/>
  <c r="JT27" i="7" s="1"/>
  <c r="JU18" i="7"/>
  <c r="JU19" i="7" s="1"/>
  <c r="JU20" i="7" s="1"/>
  <c r="JU21" i="7" s="1"/>
  <c r="JU22" i="7" s="1"/>
  <c r="JU23" i="7" s="1"/>
  <c r="JU24" i="7" s="1"/>
  <c r="JU25" i="7" s="1"/>
  <c r="JU26" i="7" s="1"/>
  <c r="JU27" i="7" s="1"/>
  <c r="JV18" i="7"/>
  <c r="JV19" i="7" s="1"/>
  <c r="JV20" i="7" s="1"/>
  <c r="JV21" i="7" s="1"/>
  <c r="JV22" i="7" s="1"/>
  <c r="JV23" i="7" s="1"/>
  <c r="JV24" i="7" s="1"/>
  <c r="JV25" i="7" s="1"/>
  <c r="JV26" i="7" s="1"/>
  <c r="JV27" i="7" s="1"/>
  <c r="JW18" i="7"/>
  <c r="JW19" i="7" s="1"/>
  <c r="JW20" i="7" s="1"/>
  <c r="JW21" i="7" s="1"/>
  <c r="JW22" i="7" s="1"/>
  <c r="JW23" i="7" s="1"/>
  <c r="JW24" i="7" s="1"/>
  <c r="JW25" i="7" s="1"/>
  <c r="JW26" i="7" s="1"/>
  <c r="JW27" i="7" s="1"/>
  <c r="JX18" i="7"/>
  <c r="JX19" i="7" s="1"/>
  <c r="JX20" i="7" s="1"/>
  <c r="JX21" i="7" s="1"/>
  <c r="JX22" i="7" s="1"/>
  <c r="JX23" i="7" s="1"/>
  <c r="JX24" i="7" s="1"/>
  <c r="JX25" i="7" s="1"/>
  <c r="JX26" i="7" s="1"/>
  <c r="JX27" i="7" s="1"/>
  <c r="JY18" i="7"/>
  <c r="JY19" i="7" s="1"/>
  <c r="JY20" i="7" s="1"/>
  <c r="JY21" i="7" s="1"/>
  <c r="JY22" i="7" s="1"/>
  <c r="JY23" i="7" s="1"/>
  <c r="JY24" i="7" s="1"/>
  <c r="JY25" i="7" s="1"/>
  <c r="JY26" i="7" s="1"/>
  <c r="JY27" i="7" s="1"/>
  <c r="JZ18" i="7"/>
  <c r="JZ19" i="7" s="1"/>
  <c r="JZ20" i="7" s="1"/>
  <c r="JZ21" i="7" s="1"/>
  <c r="JZ22" i="7" s="1"/>
  <c r="JZ23" i="7" s="1"/>
  <c r="JZ24" i="7" s="1"/>
  <c r="JZ25" i="7" s="1"/>
  <c r="JZ26" i="7" s="1"/>
  <c r="JZ27" i="7" s="1"/>
  <c r="KA18" i="7"/>
  <c r="KA19" i="7" s="1"/>
  <c r="KA20" i="7" s="1"/>
  <c r="KA21" i="7" s="1"/>
  <c r="KA22" i="7" s="1"/>
  <c r="KA23" i="7" s="1"/>
  <c r="KA24" i="7" s="1"/>
  <c r="KA25" i="7" s="1"/>
  <c r="KA26" i="7" s="1"/>
  <c r="KA27" i="7" s="1"/>
  <c r="KB18" i="7"/>
  <c r="KB19" i="7" s="1"/>
  <c r="KB20" i="7" s="1"/>
  <c r="KB21" i="7" s="1"/>
  <c r="KB22" i="7" s="1"/>
  <c r="KB23" i="7" s="1"/>
  <c r="KB24" i="7" s="1"/>
  <c r="KB25" i="7" s="1"/>
  <c r="KB26" i="7" s="1"/>
  <c r="KB27" i="7" s="1"/>
  <c r="KC18" i="7"/>
  <c r="KC19" i="7" s="1"/>
  <c r="KC20" i="7" s="1"/>
  <c r="KC21" i="7" s="1"/>
  <c r="KC22" i="7" s="1"/>
  <c r="KC23" i="7" s="1"/>
  <c r="KC24" i="7" s="1"/>
  <c r="KC25" i="7" s="1"/>
  <c r="KC26" i="7" s="1"/>
  <c r="KC27" i="7" s="1"/>
  <c r="KD18" i="7"/>
  <c r="KD19" i="7" s="1"/>
  <c r="KD20" i="7" s="1"/>
  <c r="KD21" i="7" s="1"/>
  <c r="KD22" i="7" s="1"/>
  <c r="KD23" i="7" s="1"/>
  <c r="KD24" i="7" s="1"/>
  <c r="KD25" i="7" s="1"/>
  <c r="KD26" i="7" s="1"/>
  <c r="KD27" i="7" s="1"/>
  <c r="KE18" i="7"/>
  <c r="KE19" i="7" s="1"/>
  <c r="KE20" i="7" s="1"/>
  <c r="KE21" i="7" s="1"/>
  <c r="KE22" i="7" s="1"/>
  <c r="KE23" i="7" s="1"/>
  <c r="KE24" i="7" s="1"/>
  <c r="KE25" i="7" s="1"/>
  <c r="KE26" i="7" s="1"/>
  <c r="KE27" i="7" s="1"/>
  <c r="KF18" i="7"/>
  <c r="KF19" i="7" s="1"/>
  <c r="KF20" i="7" s="1"/>
  <c r="KF21" i="7" s="1"/>
  <c r="KF22" i="7" s="1"/>
  <c r="KF23" i="7" s="1"/>
  <c r="KF24" i="7" s="1"/>
  <c r="KF25" i="7" s="1"/>
  <c r="KF26" i="7" s="1"/>
  <c r="KF27" i="7" s="1"/>
  <c r="KG18" i="7"/>
  <c r="KG19" i="7" s="1"/>
  <c r="KG20" i="7" s="1"/>
  <c r="KG21" i="7" s="1"/>
  <c r="KG22" i="7" s="1"/>
  <c r="KG23" i="7" s="1"/>
  <c r="KG24" i="7" s="1"/>
  <c r="KG25" i="7" s="1"/>
  <c r="KG26" i="7" s="1"/>
  <c r="KG27" i="7" s="1"/>
  <c r="KH18" i="7"/>
  <c r="KH19" i="7" s="1"/>
  <c r="KH20" i="7" s="1"/>
  <c r="KH21" i="7" s="1"/>
  <c r="KH22" i="7" s="1"/>
  <c r="KH23" i="7" s="1"/>
  <c r="KH24" i="7" s="1"/>
  <c r="KH25" i="7" s="1"/>
  <c r="KH26" i="7" s="1"/>
  <c r="KH27" i="7" s="1"/>
  <c r="KI18" i="7"/>
  <c r="KI19" i="7" s="1"/>
  <c r="KI20" i="7" s="1"/>
  <c r="KI21" i="7" s="1"/>
  <c r="KI22" i="7" s="1"/>
  <c r="KI23" i="7" s="1"/>
  <c r="KI24" i="7" s="1"/>
  <c r="KI25" i="7" s="1"/>
  <c r="KI26" i="7" s="1"/>
  <c r="KI27" i="7" s="1"/>
  <c r="KJ18" i="7"/>
  <c r="KJ19" i="7" s="1"/>
  <c r="KJ20" i="7" s="1"/>
  <c r="KJ21" i="7" s="1"/>
  <c r="KJ22" i="7" s="1"/>
  <c r="KJ23" i="7" s="1"/>
  <c r="KJ24" i="7" s="1"/>
  <c r="KJ25" i="7" s="1"/>
  <c r="KJ26" i="7" s="1"/>
  <c r="KJ27" i="7" s="1"/>
  <c r="KK18" i="7"/>
  <c r="KK19" i="7" s="1"/>
  <c r="KK20" i="7" s="1"/>
  <c r="KK21" i="7" s="1"/>
  <c r="KK22" i="7" s="1"/>
  <c r="KK23" i="7" s="1"/>
  <c r="KK24" i="7" s="1"/>
  <c r="KK25" i="7" s="1"/>
  <c r="KK26" i="7" s="1"/>
  <c r="KK27" i="7" s="1"/>
  <c r="KL18" i="7"/>
  <c r="KL19" i="7" s="1"/>
  <c r="KL20" i="7" s="1"/>
  <c r="KL21" i="7" s="1"/>
  <c r="KL22" i="7" s="1"/>
  <c r="KL23" i="7" s="1"/>
  <c r="KL24" i="7" s="1"/>
  <c r="KL25" i="7" s="1"/>
  <c r="KL26" i="7" s="1"/>
  <c r="KL27" i="7" s="1"/>
  <c r="KM18" i="7"/>
  <c r="KM19" i="7" s="1"/>
  <c r="KM20" i="7" s="1"/>
  <c r="KM21" i="7" s="1"/>
  <c r="KM22" i="7" s="1"/>
  <c r="KM23" i="7" s="1"/>
  <c r="KM24" i="7" s="1"/>
  <c r="KM25" i="7" s="1"/>
  <c r="KM26" i="7" s="1"/>
  <c r="KM27" i="7" s="1"/>
  <c r="KN18" i="7"/>
  <c r="KN19" i="7" s="1"/>
  <c r="KN20" i="7" s="1"/>
  <c r="KN21" i="7" s="1"/>
  <c r="KN22" i="7" s="1"/>
  <c r="KN23" i="7" s="1"/>
  <c r="KN24" i="7" s="1"/>
  <c r="KN25" i="7" s="1"/>
  <c r="KN26" i="7" s="1"/>
  <c r="KN27" i="7" s="1"/>
  <c r="KO18" i="7"/>
  <c r="KO19" i="7" s="1"/>
  <c r="KO20" i="7" s="1"/>
  <c r="KO21" i="7" s="1"/>
  <c r="KO22" i="7" s="1"/>
  <c r="KO23" i="7" s="1"/>
  <c r="KO24" i="7" s="1"/>
  <c r="KO25" i="7" s="1"/>
  <c r="KO26" i="7" s="1"/>
  <c r="KO27" i="7" s="1"/>
  <c r="KP18" i="7"/>
  <c r="KP19" i="7" s="1"/>
  <c r="KP20" i="7" s="1"/>
  <c r="KP21" i="7" s="1"/>
  <c r="KP22" i="7" s="1"/>
  <c r="KP23" i="7" s="1"/>
  <c r="KP24" i="7" s="1"/>
  <c r="KP25" i="7" s="1"/>
  <c r="KP26" i="7" s="1"/>
  <c r="KP27" i="7" s="1"/>
  <c r="KQ18" i="7"/>
  <c r="KQ19" i="7" s="1"/>
  <c r="KQ20" i="7" s="1"/>
  <c r="KQ21" i="7" s="1"/>
  <c r="KQ22" i="7" s="1"/>
  <c r="KQ23" i="7" s="1"/>
  <c r="KQ24" i="7" s="1"/>
  <c r="KQ25" i="7" s="1"/>
  <c r="KQ26" i="7" s="1"/>
  <c r="KQ27" i="7" s="1"/>
  <c r="KR18" i="7"/>
  <c r="KR19" i="7" s="1"/>
  <c r="KR20" i="7" s="1"/>
  <c r="KR21" i="7" s="1"/>
  <c r="KR22" i="7" s="1"/>
  <c r="KR23" i="7" s="1"/>
  <c r="KR24" i="7" s="1"/>
  <c r="KR25" i="7" s="1"/>
  <c r="KR26" i="7" s="1"/>
  <c r="KR27" i="7" s="1"/>
  <c r="KS18" i="7"/>
  <c r="KS19" i="7" s="1"/>
  <c r="KS20" i="7" s="1"/>
  <c r="KS21" i="7" s="1"/>
  <c r="KS22" i="7" s="1"/>
  <c r="KS23" i="7" s="1"/>
  <c r="KS24" i="7" s="1"/>
  <c r="KS25" i="7" s="1"/>
  <c r="KS26" i="7" s="1"/>
  <c r="KS27" i="7" s="1"/>
  <c r="KT18" i="7"/>
  <c r="KT19" i="7" s="1"/>
  <c r="KT20" i="7" s="1"/>
  <c r="KT21" i="7" s="1"/>
  <c r="KT22" i="7" s="1"/>
  <c r="KT23" i="7" s="1"/>
  <c r="KT24" i="7" s="1"/>
  <c r="KT25" i="7" s="1"/>
  <c r="KT26" i="7" s="1"/>
  <c r="KT27" i="7" s="1"/>
  <c r="KU18" i="7"/>
  <c r="KU19" i="7" s="1"/>
  <c r="KU20" i="7" s="1"/>
  <c r="KU21" i="7" s="1"/>
  <c r="KU22" i="7" s="1"/>
  <c r="KU23" i="7" s="1"/>
  <c r="KU24" i="7" s="1"/>
  <c r="KU25" i="7" s="1"/>
  <c r="KU26" i="7" s="1"/>
  <c r="KU27" i="7" s="1"/>
  <c r="KV18" i="7"/>
  <c r="KV19" i="7" s="1"/>
  <c r="KV20" i="7" s="1"/>
  <c r="KV21" i="7" s="1"/>
  <c r="KV22" i="7" s="1"/>
  <c r="KV23" i="7" s="1"/>
  <c r="KV24" i="7" s="1"/>
  <c r="KV25" i="7" s="1"/>
  <c r="KV26" i="7" s="1"/>
  <c r="KV27" i="7" s="1"/>
  <c r="KW18" i="7"/>
  <c r="KW19" i="7" s="1"/>
  <c r="KW20" i="7" s="1"/>
  <c r="KW21" i="7" s="1"/>
  <c r="KW22" i="7" s="1"/>
  <c r="KW23" i="7" s="1"/>
  <c r="KW24" i="7" s="1"/>
  <c r="KW25" i="7" s="1"/>
  <c r="KW26" i="7" s="1"/>
  <c r="KW27" i="7" s="1"/>
  <c r="KX18" i="7"/>
  <c r="KX19" i="7" s="1"/>
  <c r="KX20" i="7" s="1"/>
  <c r="KX21" i="7" s="1"/>
  <c r="KX22" i="7" s="1"/>
  <c r="KX23" i="7" s="1"/>
  <c r="KX24" i="7" s="1"/>
  <c r="KX25" i="7" s="1"/>
  <c r="KX26" i="7" s="1"/>
  <c r="KX27" i="7" s="1"/>
  <c r="KY18" i="7"/>
  <c r="KY19" i="7" s="1"/>
  <c r="KY20" i="7" s="1"/>
  <c r="KY21" i="7" s="1"/>
  <c r="KY22" i="7" s="1"/>
  <c r="KY23" i="7" s="1"/>
  <c r="KY24" i="7" s="1"/>
  <c r="KY25" i="7" s="1"/>
  <c r="KY26" i="7" s="1"/>
  <c r="KY27" i="7" s="1"/>
  <c r="KZ18" i="7"/>
  <c r="KZ19" i="7" s="1"/>
  <c r="KZ20" i="7" s="1"/>
  <c r="KZ21" i="7" s="1"/>
  <c r="KZ22" i="7" s="1"/>
  <c r="KZ23" i="7" s="1"/>
  <c r="KZ24" i="7" s="1"/>
  <c r="KZ25" i="7" s="1"/>
  <c r="KZ26" i="7" s="1"/>
  <c r="KZ27" i="7" s="1"/>
  <c r="LA18" i="7"/>
  <c r="LA19" i="7" s="1"/>
  <c r="LA20" i="7" s="1"/>
  <c r="LA21" i="7" s="1"/>
  <c r="LA22" i="7" s="1"/>
  <c r="LA23" i="7" s="1"/>
  <c r="LA24" i="7" s="1"/>
  <c r="LA25" i="7" s="1"/>
  <c r="LA26" i="7" s="1"/>
  <c r="LA27" i="7" s="1"/>
  <c r="LB18" i="7"/>
  <c r="LB19" i="7" s="1"/>
  <c r="LB20" i="7" s="1"/>
  <c r="LB21" i="7" s="1"/>
  <c r="LB22" i="7" s="1"/>
  <c r="LB23" i="7" s="1"/>
  <c r="LB24" i="7" s="1"/>
  <c r="LB25" i="7" s="1"/>
  <c r="LB26" i="7" s="1"/>
  <c r="LB27" i="7" s="1"/>
  <c r="LC18" i="7"/>
  <c r="LC19" i="7" s="1"/>
  <c r="LC20" i="7" s="1"/>
  <c r="LC21" i="7" s="1"/>
  <c r="LC22" i="7" s="1"/>
  <c r="LC23" i="7" s="1"/>
  <c r="LC24" i="7" s="1"/>
  <c r="LC25" i="7" s="1"/>
  <c r="LC26" i="7" s="1"/>
  <c r="LC27" i="7" s="1"/>
  <c r="LD18" i="7"/>
  <c r="LD19" i="7" s="1"/>
  <c r="LD20" i="7" s="1"/>
  <c r="LD21" i="7" s="1"/>
  <c r="LD22" i="7" s="1"/>
  <c r="LD23" i="7" s="1"/>
  <c r="LD24" i="7" s="1"/>
  <c r="LD25" i="7" s="1"/>
  <c r="LD26" i="7" s="1"/>
  <c r="LD27" i="7" s="1"/>
  <c r="LE18" i="7"/>
  <c r="LE19" i="7" s="1"/>
  <c r="LE20" i="7" s="1"/>
  <c r="LE21" i="7" s="1"/>
  <c r="LE22" i="7" s="1"/>
  <c r="LE23" i="7" s="1"/>
  <c r="LE24" i="7" s="1"/>
  <c r="LE25" i="7" s="1"/>
  <c r="LE26" i="7" s="1"/>
  <c r="LE27" i="7" s="1"/>
  <c r="LF18" i="7"/>
  <c r="LF19" i="7" s="1"/>
  <c r="LF20" i="7" s="1"/>
  <c r="LF21" i="7" s="1"/>
  <c r="LF22" i="7" s="1"/>
  <c r="LF23" i="7" s="1"/>
  <c r="LF24" i="7" s="1"/>
  <c r="LF25" i="7" s="1"/>
  <c r="LF26" i="7" s="1"/>
  <c r="LF27" i="7" s="1"/>
  <c r="LG18" i="7"/>
  <c r="LG19" i="7" s="1"/>
  <c r="LG20" i="7" s="1"/>
  <c r="LG21" i="7" s="1"/>
  <c r="LG22" i="7" s="1"/>
  <c r="LG23" i="7" s="1"/>
  <c r="LG24" i="7" s="1"/>
  <c r="LG25" i="7" s="1"/>
  <c r="LG26" i="7" s="1"/>
  <c r="LG27" i="7" s="1"/>
  <c r="LH18" i="7"/>
  <c r="LH19" i="7" s="1"/>
  <c r="LH20" i="7" s="1"/>
  <c r="LH21" i="7" s="1"/>
  <c r="LH22" i="7" s="1"/>
  <c r="LH23" i="7" s="1"/>
  <c r="LH24" i="7" s="1"/>
  <c r="LH25" i="7" s="1"/>
  <c r="LH26" i="7" s="1"/>
  <c r="LH27" i="7" s="1"/>
  <c r="LI18" i="7"/>
  <c r="LI19" i="7" s="1"/>
  <c r="LI20" i="7" s="1"/>
  <c r="LI21" i="7" s="1"/>
  <c r="LI22" i="7" s="1"/>
  <c r="LI23" i="7" s="1"/>
  <c r="LI24" i="7" s="1"/>
  <c r="LI25" i="7" s="1"/>
  <c r="LI26" i="7" s="1"/>
  <c r="LI27" i="7" s="1"/>
  <c r="LJ18" i="7"/>
  <c r="LJ19" i="7" s="1"/>
  <c r="LJ20" i="7" s="1"/>
  <c r="LJ21" i="7" s="1"/>
  <c r="LJ22" i="7" s="1"/>
  <c r="LJ23" i="7" s="1"/>
  <c r="LJ24" i="7" s="1"/>
  <c r="LJ25" i="7" s="1"/>
  <c r="LJ26" i="7" s="1"/>
  <c r="LJ27" i="7" s="1"/>
  <c r="LK18" i="7"/>
  <c r="LK19" i="7" s="1"/>
  <c r="LK20" i="7" s="1"/>
  <c r="LK21" i="7" s="1"/>
  <c r="LK22" i="7" s="1"/>
  <c r="LK23" i="7" s="1"/>
  <c r="LK24" i="7" s="1"/>
  <c r="LK25" i="7" s="1"/>
  <c r="LK26" i="7" s="1"/>
  <c r="LK27" i="7" s="1"/>
  <c r="LL18" i="7"/>
  <c r="LL19" i="7" s="1"/>
  <c r="LL20" i="7" s="1"/>
  <c r="LL21" i="7" s="1"/>
  <c r="LL22" i="7" s="1"/>
  <c r="LL23" i="7" s="1"/>
  <c r="LL24" i="7" s="1"/>
  <c r="LL25" i="7" s="1"/>
  <c r="LL26" i="7" s="1"/>
  <c r="LL27" i="7" s="1"/>
  <c r="LM18" i="7"/>
  <c r="LM19" i="7" s="1"/>
  <c r="LM20" i="7" s="1"/>
  <c r="LM21" i="7" s="1"/>
  <c r="LM22" i="7" s="1"/>
  <c r="LM23" i="7" s="1"/>
  <c r="LM24" i="7" s="1"/>
  <c r="LM25" i="7" s="1"/>
  <c r="LM26" i="7" s="1"/>
  <c r="LM27" i="7" s="1"/>
  <c r="LN18" i="7"/>
  <c r="LN19" i="7" s="1"/>
  <c r="LN20" i="7" s="1"/>
  <c r="LN21" i="7" s="1"/>
  <c r="LN22" i="7" s="1"/>
  <c r="LN23" i="7" s="1"/>
  <c r="LN24" i="7" s="1"/>
  <c r="LN25" i="7" s="1"/>
  <c r="LN26" i="7" s="1"/>
  <c r="LN27" i="7" s="1"/>
  <c r="LO18" i="7"/>
  <c r="LO19" i="7" s="1"/>
  <c r="LO20" i="7" s="1"/>
  <c r="LO21" i="7" s="1"/>
  <c r="LO22" i="7" s="1"/>
  <c r="LO23" i="7" s="1"/>
  <c r="LO24" i="7" s="1"/>
  <c r="LO25" i="7" s="1"/>
  <c r="LO26" i="7" s="1"/>
  <c r="LO27" i="7" s="1"/>
  <c r="LP18" i="7"/>
  <c r="LP19" i="7" s="1"/>
  <c r="LP20" i="7" s="1"/>
  <c r="LP21" i="7" s="1"/>
  <c r="LP22" i="7" s="1"/>
  <c r="LP23" i="7" s="1"/>
  <c r="LP24" i="7" s="1"/>
  <c r="LP25" i="7" s="1"/>
  <c r="LP26" i="7" s="1"/>
  <c r="LP27" i="7" s="1"/>
  <c r="LQ18" i="7"/>
  <c r="LQ19" i="7" s="1"/>
  <c r="LQ20" i="7" s="1"/>
  <c r="LQ21" i="7" s="1"/>
  <c r="LQ22" i="7" s="1"/>
  <c r="LQ23" i="7" s="1"/>
  <c r="LQ24" i="7" s="1"/>
  <c r="LQ25" i="7" s="1"/>
  <c r="LQ26" i="7" s="1"/>
  <c r="LQ27" i="7" s="1"/>
  <c r="LR18" i="7"/>
  <c r="LR19" i="7" s="1"/>
  <c r="LR20" i="7" s="1"/>
  <c r="LR21" i="7" s="1"/>
  <c r="LR22" i="7" s="1"/>
  <c r="LR23" i="7" s="1"/>
  <c r="LR24" i="7" s="1"/>
  <c r="LR25" i="7" s="1"/>
  <c r="LR26" i="7" s="1"/>
  <c r="LR27" i="7" s="1"/>
  <c r="LS18" i="7"/>
  <c r="LS19" i="7" s="1"/>
  <c r="LS20" i="7" s="1"/>
  <c r="LS21" i="7" s="1"/>
  <c r="LS22" i="7" s="1"/>
  <c r="LS23" i="7" s="1"/>
  <c r="LS24" i="7" s="1"/>
  <c r="LS25" i="7" s="1"/>
  <c r="LS26" i="7" s="1"/>
  <c r="LS27" i="7" s="1"/>
  <c r="LT18" i="7"/>
  <c r="LT19" i="7" s="1"/>
  <c r="LT20" i="7" s="1"/>
  <c r="LT21" i="7" s="1"/>
  <c r="LT22" i="7" s="1"/>
  <c r="LT23" i="7" s="1"/>
  <c r="LT24" i="7" s="1"/>
  <c r="LT25" i="7" s="1"/>
  <c r="LT26" i="7" s="1"/>
  <c r="LT27" i="7" s="1"/>
  <c r="LU18" i="7"/>
  <c r="LU19" i="7" s="1"/>
  <c r="LU20" i="7" s="1"/>
  <c r="LU21" i="7" s="1"/>
  <c r="LU22" i="7" s="1"/>
  <c r="LU23" i="7" s="1"/>
  <c r="LU24" i="7" s="1"/>
  <c r="LU25" i="7" s="1"/>
  <c r="LU26" i="7" s="1"/>
  <c r="LU27" i="7" s="1"/>
  <c r="LV18" i="7"/>
  <c r="LV19" i="7" s="1"/>
  <c r="LV20" i="7" s="1"/>
  <c r="LV21" i="7" s="1"/>
  <c r="LV22" i="7" s="1"/>
  <c r="LV23" i="7" s="1"/>
  <c r="LV24" i="7" s="1"/>
  <c r="LV25" i="7" s="1"/>
  <c r="LV26" i="7" s="1"/>
  <c r="LV27" i="7" s="1"/>
  <c r="LW18" i="7"/>
  <c r="LW19" i="7" s="1"/>
  <c r="LW20" i="7" s="1"/>
  <c r="LW21" i="7" s="1"/>
  <c r="LW22" i="7" s="1"/>
  <c r="LW23" i="7" s="1"/>
  <c r="LW24" i="7" s="1"/>
  <c r="LW25" i="7" s="1"/>
  <c r="LW26" i="7" s="1"/>
  <c r="LW27" i="7" s="1"/>
  <c r="LX18" i="7"/>
  <c r="LX19" i="7" s="1"/>
  <c r="LX20" i="7" s="1"/>
  <c r="LX21" i="7" s="1"/>
  <c r="LX22" i="7" s="1"/>
  <c r="LX23" i="7" s="1"/>
  <c r="LX24" i="7" s="1"/>
  <c r="LX25" i="7" s="1"/>
  <c r="LX26" i="7" s="1"/>
  <c r="LX27" i="7" s="1"/>
  <c r="LY18" i="7"/>
  <c r="LY19" i="7" s="1"/>
  <c r="LY20" i="7" s="1"/>
  <c r="LY21" i="7" s="1"/>
  <c r="LY22" i="7" s="1"/>
  <c r="LY23" i="7" s="1"/>
  <c r="LY24" i="7" s="1"/>
  <c r="LY25" i="7" s="1"/>
  <c r="LY26" i="7" s="1"/>
  <c r="LY27" i="7" s="1"/>
  <c r="LZ18" i="7"/>
  <c r="LZ19" i="7" s="1"/>
  <c r="LZ20" i="7" s="1"/>
  <c r="LZ21" i="7" s="1"/>
  <c r="LZ22" i="7" s="1"/>
  <c r="LZ23" i="7" s="1"/>
  <c r="LZ24" i="7" s="1"/>
  <c r="LZ25" i="7" s="1"/>
  <c r="LZ26" i="7" s="1"/>
  <c r="LZ27" i="7" s="1"/>
  <c r="MA18" i="7"/>
  <c r="MA19" i="7" s="1"/>
  <c r="MA20" i="7" s="1"/>
  <c r="MA21" i="7" s="1"/>
  <c r="MA22" i="7" s="1"/>
  <c r="MA23" i="7" s="1"/>
  <c r="MA24" i="7" s="1"/>
  <c r="MA25" i="7" s="1"/>
  <c r="MA26" i="7" s="1"/>
  <c r="MA27" i="7" s="1"/>
  <c r="MB18" i="7"/>
  <c r="MB19" i="7" s="1"/>
  <c r="MB20" i="7" s="1"/>
  <c r="MB21" i="7" s="1"/>
  <c r="MB22" i="7" s="1"/>
  <c r="MB23" i="7" s="1"/>
  <c r="MB24" i="7" s="1"/>
  <c r="MB25" i="7" s="1"/>
  <c r="MB26" i="7" s="1"/>
  <c r="MB27" i="7" s="1"/>
  <c r="MC18" i="7"/>
  <c r="MC19" i="7" s="1"/>
  <c r="MC20" i="7" s="1"/>
  <c r="MC21" i="7" s="1"/>
  <c r="MC22" i="7" s="1"/>
  <c r="MC23" i="7" s="1"/>
  <c r="MC24" i="7" s="1"/>
  <c r="MC25" i="7" s="1"/>
  <c r="MC26" i="7" s="1"/>
  <c r="MC27" i="7" s="1"/>
  <c r="MD18" i="7"/>
  <c r="MD19" i="7" s="1"/>
  <c r="MD20" i="7" s="1"/>
  <c r="MD21" i="7" s="1"/>
  <c r="MD22" i="7" s="1"/>
  <c r="MD23" i="7" s="1"/>
  <c r="MD24" i="7" s="1"/>
  <c r="MD25" i="7" s="1"/>
  <c r="MD26" i="7" s="1"/>
  <c r="MD27" i="7" s="1"/>
  <c r="ME18" i="7"/>
  <c r="ME19" i="7" s="1"/>
  <c r="ME20" i="7" s="1"/>
  <c r="ME21" i="7" s="1"/>
  <c r="ME22" i="7" s="1"/>
  <c r="ME23" i="7" s="1"/>
  <c r="ME24" i="7" s="1"/>
  <c r="ME25" i="7" s="1"/>
  <c r="ME26" i="7" s="1"/>
  <c r="ME27" i="7" s="1"/>
  <c r="MF18" i="7"/>
  <c r="MF19" i="7" s="1"/>
  <c r="MF20" i="7" s="1"/>
  <c r="MF21" i="7" s="1"/>
  <c r="MF22" i="7" s="1"/>
  <c r="MF23" i="7" s="1"/>
  <c r="MF24" i="7" s="1"/>
  <c r="MF25" i="7" s="1"/>
  <c r="MF26" i="7" s="1"/>
  <c r="MF27" i="7" s="1"/>
  <c r="MG18" i="7"/>
  <c r="MG19" i="7" s="1"/>
  <c r="MG20" i="7" s="1"/>
  <c r="MG21" i="7" s="1"/>
  <c r="MG22" i="7" s="1"/>
  <c r="MG23" i="7" s="1"/>
  <c r="MG24" i="7" s="1"/>
  <c r="MG25" i="7" s="1"/>
  <c r="MG26" i="7" s="1"/>
  <c r="MG27" i="7" s="1"/>
  <c r="MH18" i="7"/>
  <c r="MH19" i="7" s="1"/>
  <c r="MH20" i="7" s="1"/>
  <c r="MH21" i="7" s="1"/>
  <c r="MH22" i="7" s="1"/>
  <c r="MH23" i="7" s="1"/>
  <c r="MH24" i="7" s="1"/>
  <c r="MH25" i="7" s="1"/>
  <c r="MH26" i="7" s="1"/>
  <c r="MH27" i="7" s="1"/>
  <c r="MI18" i="7"/>
  <c r="MI19" i="7" s="1"/>
  <c r="MI20" i="7" s="1"/>
  <c r="MI21" i="7" s="1"/>
  <c r="MI22" i="7" s="1"/>
  <c r="MI23" i="7" s="1"/>
  <c r="MI24" i="7" s="1"/>
  <c r="MI25" i="7" s="1"/>
  <c r="MI26" i="7" s="1"/>
  <c r="MI27" i="7" s="1"/>
  <c r="MJ18" i="7"/>
  <c r="MJ19" i="7" s="1"/>
  <c r="MJ20" i="7" s="1"/>
  <c r="MJ21" i="7" s="1"/>
  <c r="MJ22" i="7" s="1"/>
  <c r="MJ23" i="7" s="1"/>
  <c r="MJ24" i="7" s="1"/>
  <c r="MJ25" i="7" s="1"/>
  <c r="MJ26" i="7" s="1"/>
  <c r="MJ27" i="7" s="1"/>
  <c r="MK18" i="7"/>
  <c r="MK19" i="7" s="1"/>
  <c r="MK20" i="7" s="1"/>
  <c r="MK21" i="7" s="1"/>
  <c r="MK22" i="7" s="1"/>
  <c r="MK23" i="7" s="1"/>
  <c r="MK24" i="7" s="1"/>
  <c r="MK25" i="7" s="1"/>
  <c r="MK26" i="7" s="1"/>
  <c r="MK27" i="7" s="1"/>
  <c r="ML18" i="7"/>
  <c r="ML19" i="7" s="1"/>
  <c r="ML20" i="7" s="1"/>
  <c r="ML21" i="7" s="1"/>
  <c r="ML22" i="7" s="1"/>
  <c r="ML23" i="7" s="1"/>
  <c r="ML24" i="7" s="1"/>
  <c r="ML25" i="7" s="1"/>
  <c r="ML26" i="7" s="1"/>
  <c r="ML27" i="7" s="1"/>
  <c r="MM18" i="7"/>
  <c r="MM19" i="7" s="1"/>
  <c r="MM20" i="7" s="1"/>
  <c r="MM21" i="7" s="1"/>
  <c r="MM22" i="7" s="1"/>
  <c r="MM23" i="7" s="1"/>
  <c r="MM24" i="7" s="1"/>
  <c r="MM25" i="7" s="1"/>
  <c r="MM26" i="7" s="1"/>
  <c r="MM27" i="7" s="1"/>
  <c r="MN18" i="7"/>
  <c r="MN19" i="7" s="1"/>
  <c r="MN20" i="7" s="1"/>
  <c r="MN21" i="7" s="1"/>
  <c r="MN22" i="7" s="1"/>
  <c r="MN23" i="7" s="1"/>
  <c r="MN24" i="7" s="1"/>
  <c r="MN25" i="7" s="1"/>
  <c r="MN26" i="7" s="1"/>
  <c r="MN27" i="7" s="1"/>
  <c r="MO18" i="7"/>
  <c r="MO19" i="7" s="1"/>
  <c r="MO20" i="7" s="1"/>
  <c r="MO21" i="7" s="1"/>
  <c r="MO22" i="7" s="1"/>
  <c r="MO23" i="7" s="1"/>
  <c r="MO24" i="7" s="1"/>
  <c r="MO25" i="7" s="1"/>
  <c r="MO26" i="7" s="1"/>
  <c r="MO27" i="7" s="1"/>
  <c r="MP18" i="7"/>
  <c r="MP19" i="7" s="1"/>
  <c r="MP20" i="7" s="1"/>
  <c r="MP21" i="7" s="1"/>
  <c r="MP22" i="7" s="1"/>
  <c r="MP23" i="7" s="1"/>
  <c r="MP24" i="7" s="1"/>
  <c r="MP25" i="7" s="1"/>
  <c r="MP26" i="7" s="1"/>
  <c r="MP27" i="7" s="1"/>
  <c r="MQ18" i="7"/>
  <c r="MQ19" i="7" s="1"/>
  <c r="MQ20" i="7" s="1"/>
  <c r="MQ21" i="7" s="1"/>
  <c r="MQ22" i="7" s="1"/>
  <c r="MQ23" i="7" s="1"/>
  <c r="MQ24" i="7" s="1"/>
  <c r="MQ25" i="7" s="1"/>
  <c r="MQ26" i="7" s="1"/>
  <c r="MQ27" i="7" s="1"/>
  <c r="MR18" i="7"/>
  <c r="MR19" i="7" s="1"/>
  <c r="MR20" i="7" s="1"/>
  <c r="MR21" i="7" s="1"/>
  <c r="MR22" i="7" s="1"/>
  <c r="MR23" i="7" s="1"/>
  <c r="MR24" i="7" s="1"/>
  <c r="MR25" i="7" s="1"/>
  <c r="MR26" i="7" s="1"/>
  <c r="MR27" i="7" s="1"/>
  <c r="MS18" i="7"/>
  <c r="MS19" i="7" s="1"/>
  <c r="MS20" i="7" s="1"/>
  <c r="MS21" i="7" s="1"/>
  <c r="MS22" i="7" s="1"/>
  <c r="MS23" i="7" s="1"/>
  <c r="MS24" i="7" s="1"/>
  <c r="MS25" i="7" s="1"/>
  <c r="MS26" i="7" s="1"/>
  <c r="MS27" i="7" s="1"/>
  <c r="MT18" i="7"/>
  <c r="MT19" i="7" s="1"/>
  <c r="MT20" i="7" s="1"/>
  <c r="MT21" i="7" s="1"/>
  <c r="MT22" i="7" s="1"/>
  <c r="MT23" i="7" s="1"/>
  <c r="MT24" i="7" s="1"/>
  <c r="MT25" i="7" s="1"/>
  <c r="MT26" i="7" s="1"/>
  <c r="MT27" i="7" s="1"/>
  <c r="MU18" i="7"/>
  <c r="MU19" i="7" s="1"/>
  <c r="MU20" i="7" s="1"/>
  <c r="MU21" i="7" s="1"/>
  <c r="MU22" i="7" s="1"/>
  <c r="MU23" i="7" s="1"/>
  <c r="MU24" i="7" s="1"/>
  <c r="MU25" i="7" s="1"/>
  <c r="MU26" i="7" s="1"/>
  <c r="MU27" i="7" s="1"/>
  <c r="MV18" i="7"/>
  <c r="MV19" i="7" s="1"/>
  <c r="MV20" i="7" s="1"/>
  <c r="MV21" i="7" s="1"/>
  <c r="MV22" i="7" s="1"/>
  <c r="MV23" i="7" s="1"/>
  <c r="MV24" i="7" s="1"/>
  <c r="MV25" i="7" s="1"/>
  <c r="MV26" i="7" s="1"/>
  <c r="MV27" i="7" s="1"/>
  <c r="MW18" i="7"/>
  <c r="MW19" i="7" s="1"/>
  <c r="MW20" i="7" s="1"/>
  <c r="MW21" i="7" s="1"/>
  <c r="MW22" i="7" s="1"/>
  <c r="MW23" i="7" s="1"/>
  <c r="MW24" i="7" s="1"/>
  <c r="MW25" i="7" s="1"/>
  <c r="MW26" i="7" s="1"/>
  <c r="MW27" i="7" s="1"/>
  <c r="MX18" i="7"/>
  <c r="MX19" i="7" s="1"/>
  <c r="MX20" i="7" s="1"/>
  <c r="MX21" i="7" s="1"/>
  <c r="MX22" i="7" s="1"/>
  <c r="MX23" i="7" s="1"/>
  <c r="MX24" i="7" s="1"/>
  <c r="MX25" i="7" s="1"/>
  <c r="MX26" i="7" s="1"/>
  <c r="MX27" i="7" s="1"/>
  <c r="MY18" i="7"/>
  <c r="MY19" i="7" s="1"/>
  <c r="MY20" i="7" s="1"/>
  <c r="MY21" i="7" s="1"/>
  <c r="MY22" i="7" s="1"/>
  <c r="MY23" i="7" s="1"/>
  <c r="MY24" i="7" s="1"/>
  <c r="MY25" i="7" s="1"/>
  <c r="MY26" i="7" s="1"/>
  <c r="MY27" i="7" s="1"/>
  <c r="MZ18" i="7"/>
  <c r="MZ19" i="7" s="1"/>
  <c r="MZ20" i="7" s="1"/>
  <c r="MZ21" i="7" s="1"/>
  <c r="MZ22" i="7" s="1"/>
  <c r="MZ23" i="7" s="1"/>
  <c r="MZ24" i="7" s="1"/>
  <c r="MZ25" i="7" s="1"/>
  <c r="MZ26" i="7" s="1"/>
  <c r="MZ27" i="7" s="1"/>
  <c r="NA18" i="7"/>
  <c r="NA19" i="7" s="1"/>
  <c r="NA20" i="7" s="1"/>
  <c r="NA21" i="7" s="1"/>
  <c r="NA22" i="7" s="1"/>
  <c r="NA23" i="7" s="1"/>
  <c r="NA24" i="7" s="1"/>
  <c r="NA25" i="7" s="1"/>
  <c r="NA26" i="7" s="1"/>
  <c r="NA27" i="7" s="1"/>
  <c r="NB18" i="7"/>
  <c r="NB19" i="7" s="1"/>
  <c r="NB20" i="7" s="1"/>
  <c r="NB21" i="7" s="1"/>
  <c r="NB22" i="7" s="1"/>
  <c r="NB23" i="7" s="1"/>
  <c r="NB24" i="7" s="1"/>
  <c r="NB25" i="7" s="1"/>
  <c r="NB26" i="7" s="1"/>
  <c r="NB27" i="7" s="1"/>
  <c r="NC18" i="7"/>
  <c r="NC19" i="7" s="1"/>
  <c r="NC20" i="7" s="1"/>
  <c r="NC21" i="7" s="1"/>
  <c r="NC22" i="7" s="1"/>
  <c r="NC23" i="7" s="1"/>
  <c r="NC24" i="7" s="1"/>
  <c r="NC25" i="7" s="1"/>
  <c r="NC26" i="7" s="1"/>
  <c r="NC27" i="7" s="1"/>
  <c r="ND18" i="7"/>
  <c r="ND19" i="7" s="1"/>
  <c r="ND20" i="7" s="1"/>
  <c r="ND21" i="7" s="1"/>
  <c r="ND22" i="7" s="1"/>
  <c r="ND23" i="7" s="1"/>
  <c r="ND24" i="7" s="1"/>
  <c r="ND25" i="7" s="1"/>
  <c r="ND26" i="7" s="1"/>
  <c r="ND27" i="7" s="1"/>
  <c r="NE18" i="7"/>
  <c r="NE19" i="7" s="1"/>
  <c r="NE20" i="7" s="1"/>
  <c r="NE21" i="7" s="1"/>
  <c r="NE22" i="7" s="1"/>
  <c r="NE23" i="7" s="1"/>
  <c r="NE24" i="7" s="1"/>
  <c r="NE25" i="7" s="1"/>
  <c r="NE26" i="7" s="1"/>
  <c r="NE27" i="7" s="1"/>
  <c r="NF18" i="7"/>
  <c r="NF19" i="7" s="1"/>
  <c r="NF20" i="7" s="1"/>
  <c r="NF21" i="7" s="1"/>
  <c r="NF22" i="7" s="1"/>
  <c r="NF23" i="7" s="1"/>
  <c r="NF24" i="7" s="1"/>
  <c r="NF25" i="7" s="1"/>
  <c r="NF26" i="7" s="1"/>
  <c r="NF27" i="7" s="1"/>
  <c r="NG18" i="7"/>
  <c r="NG19" i="7" s="1"/>
  <c r="NG20" i="7" s="1"/>
  <c r="NG21" i="7" s="1"/>
  <c r="NG22" i="7" s="1"/>
  <c r="NG23" i="7" s="1"/>
  <c r="NG24" i="7" s="1"/>
  <c r="NG25" i="7" s="1"/>
  <c r="NG26" i="7" s="1"/>
  <c r="NG27" i="7" s="1"/>
  <c r="NH18" i="7"/>
  <c r="NH19" i="7" s="1"/>
  <c r="NH20" i="7" s="1"/>
  <c r="NH21" i="7" s="1"/>
  <c r="NH22" i="7" s="1"/>
  <c r="NH23" i="7" s="1"/>
  <c r="NH24" i="7" s="1"/>
  <c r="NH25" i="7" s="1"/>
  <c r="NH26" i="7" s="1"/>
  <c r="NH27" i="7" s="1"/>
  <c r="NI18" i="7"/>
  <c r="NI19" i="7" s="1"/>
  <c r="NI20" i="7" s="1"/>
  <c r="NI21" i="7" s="1"/>
  <c r="NI22" i="7" s="1"/>
  <c r="NI23" i="7" s="1"/>
  <c r="NI24" i="7" s="1"/>
  <c r="NI25" i="7" s="1"/>
  <c r="NI26" i="7" s="1"/>
  <c r="NI27" i="7" s="1"/>
  <c r="NJ18" i="7"/>
  <c r="NJ19" i="7" s="1"/>
  <c r="NJ20" i="7" s="1"/>
  <c r="NJ21" i="7" s="1"/>
  <c r="NJ22" i="7" s="1"/>
  <c r="NJ23" i="7" s="1"/>
  <c r="NJ24" i="7" s="1"/>
  <c r="NJ25" i="7" s="1"/>
  <c r="NJ26" i="7" s="1"/>
  <c r="NJ27" i="7" s="1"/>
  <c r="NK18" i="7"/>
  <c r="NK19" i="7" s="1"/>
  <c r="NK20" i="7" s="1"/>
  <c r="NK21" i="7" s="1"/>
  <c r="NK22" i="7" s="1"/>
  <c r="NK23" i="7" s="1"/>
  <c r="NK24" i="7" s="1"/>
  <c r="NK25" i="7" s="1"/>
  <c r="NK26" i="7" s="1"/>
  <c r="NK27" i="7" s="1"/>
  <c r="NL18" i="7"/>
  <c r="NL19" i="7" s="1"/>
  <c r="NL20" i="7" s="1"/>
  <c r="NL21" i="7" s="1"/>
  <c r="NL22" i="7" s="1"/>
  <c r="NL23" i="7" s="1"/>
  <c r="NL24" i="7" s="1"/>
  <c r="NL25" i="7" s="1"/>
  <c r="NL26" i="7" s="1"/>
  <c r="NL27" i="7" s="1"/>
  <c r="NM18" i="7"/>
  <c r="NM19" i="7" s="1"/>
  <c r="NM20" i="7" s="1"/>
  <c r="NM21" i="7" s="1"/>
  <c r="NM22" i="7" s="1"/>
  <c r="NM23" i="7" s="1"/>
  <c r="NM24" i="7" s="1"/>
  <c r="NM25" i="7" s="1"/>
  <c r="NM26" i="7" s="1"/>
  <c r="NM27" i="7" s="1"/>
  <c r="NN18" i="7"/>
  <c r="NN19" i="7" s="1"/>
  <c r="NN20" i="7" s="1"/>
  <c r="NN21" i="7" s="1"/>
  <c r="NN22" i="7" s="1"/>
  <c r="NN23" i="7" s="1"/>
  <c r="NN24" i="7" s="1"/>
  <c r="NN25" i="7" s="1"/>
  <c r="NN26" i="7" s="1"/>
  <c r="NN27" i="7" s="1"/>
  <c r="NO18" i="7"/>
  <c r="NO19" i="7" s="1"/>
  <c r="NO20" i="7" s="1"/>
  <c r="NO21" i="7" s="1"/>
  <c r="NO22" i="7" s="1"/>
  <c r="NO23" i="7" s="1"/>
  <c r="NO24" i="7" s="1"/>
  <c r="NO25" i="7" s="1"/>
  <c r="NO26" i="7" s="1"/>
  <c r="NO27" i="7" s="1"/>
  <c r="NP18" i="7"/>
  <c r="NP19" i="7" s="1"/>
  <c r="NP20" i="7" s="1"/>
  <c r="NP21" i="7" s="1"/>
  <c r="NP22" i="7" s="1"/>
  <c r="NP23" i="7" s="1"/>
  <c r="NP24" i="7" s="1"/>
  <c r="NP25" i="7" s="1"/>
  <c r="NP26" i="7" s="1"/>
  <c r="NP27" i="7" s="1"/>
  <c r="NQ18" i="7"/>
  <c r="NQ19" i="7" s="1"/>
  <c r="NQ20" i="7" s="1"/>
  <c r="NQ21" i="7" s="1"/>
  <c r="NQ22" i="7" s="1"/>
  <c r="NQ23" i="7" s="1"/>
  <c r="NQ24" i="7" s="1"/>
  <c r="NQ25" i="7" s="1"/>
  <c r="NQ26" i="7" s="1"/>
  <c r="NQ27" i="7" s="1"/>
  <c r="NR18" i="7"/>
  <c r="NR19" i="7" s="1"/>
  <c r="NR20" i="7" s="1"/>
  <c r="NR21" i="7" s="1"/>
  <c r="NR22" i="7" s="1"/>
  <c r="NR23" i="7" s="1"/>
  <c r="NR24" i="7" s="1"/>
  <c r="NR25" i="7" s="1"/>
  <c r="NR26" i="7" s="1"/>
  <c r="NR27" i="7" s="1"/>
  <c r="NS18" i="7"/>
  <c r="NS19" i="7" s="1"/>
  <c r="NS20" i="7" s="1"/>
  <c r="NS21" i="7" s="1"/>
  <c r="NS22" i="7" s="1"/>
  <c r="NS23" i="7" s="1"/>
  <c r="NS24" i="7" s="1"/>
  <c r="NS25" i="7" s="1"/>
  <c r="NS26" i="7" s="1"/>
  <c r="NS27" i="7" s="1"/>
  <c r="NT18" i="7"/>
  <c r="NT19" i="7" s="1"/>
  <c r="NT20" i="7" s="1"/>
  <c r="NT21" i="7" s="1"/>
  <c r="NT22" i="7" s="1"/>
  <c r="NT23" i="7" s="1"/>
  <c r="NT24" i="7" s="1"/>
  <c r="NT25" i="7" s="1"/>
  <c r="NT26" i="7" s="1"/>
  <c r="NT27" i="7" s="1"/>
  <c r="NU18" i="7"/>
  <c r="NU19" i="7" s="1"/>
  <c r="NU20" i="7" s="1"/>
  <c r="NU21" i="7" s="1"/>
  <c r="NU22" i="7" s="1"/>
  <c r="NU23" i="7" s="1"/>
  <c r="NU24" i="7" s="1"/>
  <c r="NU25" i="7" s="1"/>
  <c r="NU26" i="7" s="1"/>
  <c r="NU27" i="7" s="1"/>
  <c r="NV18" i="7"/>
  <c r="NV19" i="7" s="1"/>
  <c r="NV20" i="7" s="1"/>
  <c r="NV21" i="7" s="1"/>
  <c r="NV22" i="7" s="1"/>
  <c r="NV23" i="7" s="1"/>
  <c r="NV24" i="7" s="1"/>
  <c r="NV25" i="7" s="1"/>
  <c r="NV26" i="7" s="1"/>
  <c r="NV27" i="7" s="1"/>
  <c r="NW18" i="7"/>
  <c r="NW19" i="7" s="1"/>
  <c r="NW20" i="7" s="1"/>
  <c r="NW21" i="7" s="1"/>
  <c r="NW22" i="7" s="1"/>
  <c r="NW23" i="7" s="1"/>
  <c r="NW24" i="7" s="1"/>
  <c r="NW25" i="7" s="1"/>
  <c r="NW26" i="7" s="1"/>
  <c r="NW27" i="7" s="1"/>
  <c r="NX18" i="7"/>
  <c r="NX19" i="7" s="1"/>
  <c r="NX20" i="7" s="1"/>
  <c r="NX21" i="7" s="1"/>
  <c r="NX22" i="7" s="1"/>
  <c r="NX23" i="7" s="1"/>
  <c r="NX24" i="7" s="1"/>
  <c r="NX25" i="7" s="1"/>
  <c r="NX26" i="7" s="1"/>
  <c r="NX27" i="7" s="1"/>
  <c r="NY18" i="7"/>
  <c r="NY19" i="7" s="1"/>
  <c r="NY20" i="7" s="1"/>
  <c r="NY21" i="7" s="1"/>
  <c r="NY22" i="7" s="1"/>
  <c r="NY23" i="7" s="1"/>
  <c r="NY24" i="7" s="1"/>
  <c r="NY25" i="7" s="1"/>
  <c r="NY26" i="7" s="1"/>
  <c r="NY27" i="7" s="1"/>
  <c r="NZ18" i="7"/>
  <c r="NZ19" i="7" s="1"/>
  <c r="NZ20" i="7" s="1"/>
  <c r="NZ21" i="7" s="1"/>
  <c r="NZ22" i="7" s="1"/>
  <c r="NZ23" i="7" s="1"/>
  <c r="NZ24" i="7" s="1"/>
  <c r="NZ25" i="7" s="1"/>
  <c r="NZ26" i="7" s="1"/>
  <c r="NZ27" i="7" s="1"/>
  <c r="OA18" i="7"/>
  <c r="OA19" i="7" s="1"/>
  <c r="OA20" i="7" s="1"/>
  <c r="OA21" i="7" s="1"/>
  <c r="OA22" i="7" s="1"/>
  <c r="OA23" i="7" s="1"/>
  <c r="OA24" i="7" s="1"/>
  <c r="OA25" i="7" s="1"/>
  <c r="OA26" i="7" s="1"/>
  <c r="OA27" i="7" s="1"/>
  <c r="OB18" i="7"/>
  <c r="OB19" i="7" s="1"/>
  <c r="OB20" i="7" s="1"/>
  <c r="OB21" i="7" s="1"/>
  <c r="OB22" i="7" s="1"/>
  <c r="OB23" i="7" s="1"/>
  <c r="OB24" i="7" s="1"/>
  <c r="OB25" i="7" s="1"/>
  <c r="OB26" i="7" s="1"/>
  <c r="OB27" i="7" s="1"/>
  <c r="OC18" i="7"/>
  <c r="OC19" i="7" s="1"/>
  <c r="OC20" i="7" s="1"/>
  <c r="OC21" i="7" s="1"/>
  <c r="OC22" i="7" s="1"/>
  <c r="OC23" i="7" s="1"/>
  <c r="OC24" i="7" s="1"/>
  <c r="OC25" i="7" s="1"/>
  <c r="OC26" i="7" s="1"/>
  <c r="OC27" i="7" s="1"/>
  <c r="OD18" i="7"/>
  <c r="OD19" i="7" s="1"/>
  <c r="OD20" i="7" s="1"/>
  <c r="OD21" i="7" s="1"/>
  <c r="OD22" i="7" s="1"/>
  <c r="OD23" i="7" s="1"/>
  <c r="OD24" i="7" s="1"/>
  <c r="OD25" i="7" s="1"/>
  <c r="OD26" i="7" s="1"/>
  <c r="OD27" i="7" s="1"/>
  <c r="OE18" i="7"/>
  <c r="OE19" i="7" s="1"/>
  <c r="OE20" i="7" s="1"/>
  <c r="OE21" i="7" s="1"/>
  <c r="OE22" i="7" s="1"/>
  <c r="OE23" i="7" s="1"/>
  <c r="OE24" i="7" s="1"/>
  <c r="OE25" i="7" s="1"/>
  <c r="OE26" i="7" s="1"/>
  <c r="OE27" i="7" s="1"/>
  <c r="OF18" i="7"/>
  <c r="OF19" i="7" s="1"/>
  <c r="OF20" i="7" s="1"/>
  <c r="OF21" i="7" s="1"/>
  <c r="OF22" i="7" s="1"/>
  <c r="OF23" i="7" s="1"/>
  <c r="OF24" i="7" s="1"/>
  <c r="OF25" i="7" s="1"/>
  <c r="OF26" i="7" s="1"/>
  <c r="OF27" i="7" s="1"/>
  <c r="OG18" i="7"/>
  <c r="OG19" i="7" s="1"/>
  <c r="OG20" i="7" s="1"/>
  <c r="OG21" i="7" s="1"/>
  <c r="OG22" i="7" s="1"/>
  <c r="OG23" i="7" s="1"/>
  <c r="OG24" i="7" s="1"/>
  <c r="OG25" i="7" s="1"/>
  <c r="OG26" i="7" s="1"/>
  <c r="OG27" i="7" s="1"/>
  <c r="OH18" i="7"/>
  <c r="OH19" i="7" s="1"/>
  <c r="OH20" i="7" s="1"/>
  <c r="OH21" i="7" s="1"/>
  <c r="OH22" i="7" s="1"/>
  <c r="OH23" i="7" s="1"/>
  <c r="OH24" i="7" s="1"/>
  <c r="OH25" i="7" s="1"/>
  <c r="OH26" i="7" s="1"/>
  <c r="OH27" i="7" s="1"/>
  <c r="OI18" i="7"/>
  <c r="OI19" i="7" s="1"/>
  <c r="OI20" i="7" s="1"/>
  <c r="OI21" i="7" s="1"/>
  <c r="OI22" i="7" s="1"/>
  <c r="OI23" i="7" s="1"/>
  <c r="OI24" i="7" s="1"/>
  <c r="OI25" i="7" s="1"/>
  <c r="OI26" i="7" s="1"/>
  <c r="OI27" i="7" s="1"/>
  <c r="OJ18" i="7"/>
  <c r="OJ19" i="7" s="1"/>
  <c r="OJ20" i="7" s="1"/>
  <c r="OJ21" i="7" s="1"/>
  <c r="OJ22" i="7" s="1"/>
  <c r="OJ23" i="7" s="1"/>
  <c r="OJ24" i="7" s="1"/>
  <c r="OJ25" i="7" s="1"/>
  <c r="OJ26" i="7" s="1"/>
  <c r="OJ27" i="7" s="1"/>
  <c r="OK18" i="7"/>
  <c r="OK19" i="7" s="1"/>
  <c r="OK20" i="7" s="1"/>
  <c r="OK21" i="7" s="1"/>
  <c r="OK22" i="7" s="1"/>
  <c r="OK23" i="7" s="1"/>
  <c r="OK24" i="7" s="1"/>
  <c r="OK25" i="7" s="1"/>
  <c r="OK26" i="7" s="1"/>
  <c r="OK27" i="7" s="1"/>
  <c r="OL18" i="7"/>
  <c r="OL19" i="7" s="1"/>
  <c r="OL20" i="7" s="1"/>
  <c r="OL21" i="7" s="1"/>
  <c r="OL22" i="7" s="1"/>
  <c r="OL23" i="7" s="1"/>
  <c r="OL24" i="7" s="1"/>
  <c r="OL25" i="7" s="1"/>
  <c r="OL26" i="7" s="1"/>
  <c r="OL27" i="7" s="1"/>
  <c r="OM18" i="7"/>
  <c r="OM19" i="7" s="1"/>
  <c r="OM20" i="7" s="1"/>
  <c r="OM21" i="7" s="1"/>
  <c r="OM22" i="7" s="1"/>
  <c r="OM23" i="7" s="1"/>
  <c r="OM24" i="7" s="1"/>
  <c r="OM25" i="7" s="1"/>
  <c r="OM26" i="7" s="1"/>
  <c r="OM27" i="7" s="1"/>
  <c r="ON18" i="7"/>
  <c r="ON19" i="7" s="1"/>
  <c r="ON20" i="7" s="1"/>
  <c r="ON21" i="7" s="1"/>
  <c r="ON22" i="7" s="1"/>
  <c r="ON23" i="7" s="1"/>
  <c r="ON24" i="7" s="1"/>
  <c r="ON25" i="7" s="1"/>
  <c r="ON26" i="7" s="1"/>
  <c r="ON27" i="7" s="1"/>
  <c r="OO18" i="7"/>
  <c r="OO19" i="7" s="1"/>
  <c r="OO20" i="7" s="1"/>
  <c r="OO21" i="7" s="1"/>
  <c r="OO22" i="7" s="1"/>
  <c r="OO23" i="7" s="1"/>
  <c r="OO24" i="7" s="1"/>
  <c r="OO25" i="7" s="1"/>
  <c r="OO26" i="7" s="1"/>
  <c r="OO27" i="7" s="1"/>
  <c r="OP18" i="7"/>
  <c r="OP19" i="7" s="1"/>
  <c r="OP20" i="7" s="1"/>
  <c r="OP21" i="7" s="1"/>
  <c r="OP22" i="7" s="1"/>
  <c r="OP23" i="7" s="1"/>
  <c r="OP24" i="7" s="1"/>
  <c r="OP25" i="7" s="1"/>
  <c r="OP26" i="7" s="1"/>
  <c r="OP27" i="7" s="1"/>
  <c r="OQ18" i="7"/>
  <c r="OQ19" i="7" s="1"/>
  <c r="OQ20" i="7" s="1"/>
  <c r="OQ21" i="7" s="1"/>
  <c r="OQ22" i="7" s="1"/>
  <c r="OQ23" i="7" s="1"/>
  <c r="OQ24" i="7" s="1"/>
  <c r="OQ25" i="7" s="1"/>
  <c r="OQ26" i="7" s="1"/>
  <c r="OQ27" i="7" s="1"/>
  <c r="OR18" i="7"/>
  <c r="OR19" i="7" s="1"/>
  <c r="OR20" i="7" s="1"/>
  <c r="OR21" i="7" s="1"/>
  <c r="OR22" i="7" s="1"/>
  <c r="OR23" i="7" s="1"/>
  <c r="OR24" i="7" s="1"/>
  <c r="OR25" i="7" s="1"/>
  <c r="OR26" i="7" s="1"/>
  <c r="OR27" i="7" s="1"/>
  <c r="OS18" i="7"/>
  <c r="OS19" i="7" s="1"/>
  <c r="OS20" i="7" s="1"/>
  <c r="OS21" i="7" s="1"/>
  <c r="OS22" i="7" s="1"/>
  <c r="OS23" i="7" s="1"/>
  <c r="OS24" i="7" s="1"/>
  <c r="OS25" i="7" s="1"/>
  <c r="OS26" i="7" s="1"/>
  <c r="OS27" i="7" s="1"/>
  <c r="OT18" i="7"/>
  <c r="OT19" i="7" s="1"/>
  <c r="OT20" i="7" s="1"/>
  <c r="OT21" i="7" s="1"/>
  <c r="OT22" i="7" s="1"/>
  <c r="OT23" i="7" s="1"/>
  <c r="OT24" i="7" s="1"/>
  <c r="OT25" i="7" s="1"/>
  <c r="OT26" i="7" s="1"/>
  <c r="OT27" i="7" s="1"/>
  <c r="OU18" i="7"/>
  <c r="OU19" i="7" s="1"/>
  <c r="OU20" i="7" s="1"/>
  <c r="OU21" i="7" s="1"/>
  <c r="OU22" i="7" s="1"/>
  <c r="OU23" i="7" s="1"/>
  <c r="OU24" i="7" s="1"/>
  <c r="OU25" i="7" s="1"/>
  <c r="OU26" i="7" s="1"/>
  <c r="OU27" i="7" s="1"/>
  <c r="OV18" i="7"/>
  <c r="OV19" i="7" s="1"/>
  <c r="OV20" i="7" s="1"/>
  <c r="OV21" i="7" s="1"/>
  <c r="OV22" i="7" s="1"/>
  <c r="OV23" i="7" s="1"/>
  <c r="OV24" i="7" s="1"/>
  <c r="OV25" i="7" s="1"/>
  <c r="OV26" i="7" s="1"/>
  <c r="OV27" i="7" s="1"/>
  <c r="OW18" i="7"/>
  <c r="OW19" i="7" s="1"/>
  <c r="OW20" i="7" s="1"/>
  <c r="OW21" i="7" s="1"/>
  <c r="OW22" i="7" s="1"/>
  <c r="OW23" i="7" s="1"/>
  <c r="OW24" i="7" s="1"/>
  <c r="OW25" i="7" s="1"/>
  <c r="OW26" i="7" s="1"/>
  <c r="OW27" i="7" s="1"/>
  <c r="OX18" i="7"/>
  <c r="OX19" i="7" s="1"/>
  <c r="OX20" i="7" s="1"/>
  <c r="OX21" i="7" s="1"/>
  <c r="OX22" i="7" s="1"/>
  <c r="OX23" i="7" s="1"/>
  <c r="OX24" i="7" s="1"/>
  <c r="OX25" i="7" s="1"/>
  <c r="OX26" i="7" s="1"/>
  <c r="OX27" i="7" s="1"/>
  <c r="OY18" i="7"/>
  <c r="OY19" i="7" s="1"/>
  <c r="OY20" i="7" s="1"/>
  <c r="OY21" i="7" s="1"/>
  <c r="OY22" i="7" s="1"/>
  <c r="OY23" i="7" s="1"/>
  <c r="OY24" i="7" s="1"/>
  <c r="OY25" i="7" s="1"/>
  <c r="OY26" i="7" s="1"/>
  <c r="OY27" i="7" s="1"/>
  <c r="OZ18" i="7"/>
  <c r="OZ19" i="7" s="1"/>
  <c r="OZ20" i="7" s="1"/>
  <c r="OZ21" i="7" s="1"/>
  <c r="OZ22" i="7" s="1"/>
  <c r="OZ23" i="7" s="1"/>
  <c r="OZ24" i="7" s="1"/>
  <c r="OZ25" i="7" s="1"/>
  <c r="OZ26" i="7" s="1"/>
  <c r="OZ27" i="7" s="1"/>
  <c r="PA18" i="7"/>
  <c r="PA19" i="7" s="1"/>
  <c r="PA20" i="7" s="1"/>
  <c r="PA21" i="7" s="1"/>
  <c r="PA22" i="7" s="1"/>
  <c r="PA23" i="7" s="1"/>
  <c r="PA24" i="7" s="1"/>
  <c r="PA25" i="7" s="1"/>
  <c r="PA26" i="7" s="1"/>
  <c r="PA27" i="7" s="1"/>
  <c r="PB18" i="7"/>
  <c r="PB19" i="7" s="1"/>
  <c r="PB20" i="7" s="1"/>
  <c r="PB21" i="7" s="1"/>
  <c r="PB22" i="7" s="1"/>
  <c r="PB23" i="7" s="1"/>
  <c r="PB24" i="7" s="1"/>
  <c r="PB25" i="7" s="1"/>
  <c r="PB26" i="7" s="1"/>
  <c r="PB27" i="7" s="1"/>
  <c r="PC18" i="7"/>
  <c r="PC19" i="7" s="1"/>
  <c r="PC20" i="7" s="1"/>
  <c r="PC21" i="7" s="1"/>
  <c r="PC22" i="7" s="1"/>
  <c r="PC23" i="7" s="1"/>
  <c r="PC24" i="7" s="1"/>
  <c r="PC25" i="7" s="1"/>
  <c r="PC26" i="7" s="1"/>
  <c r="PC27" i="7" s="1"/>
  <c r="PD18" i="7"/>
  <c r="PD19" i="7" s="1"/>
  <c r="PD20" i="7" s="1"/>
  <c r="PD21" i="7" s="1"/>
  <c r="PD22" i="7" s="1"/>
  <c r="PD23" i="7" s="1"/>
  <c r="PD24" i="7" s="1"/>
  <c r="PD25" i="7" s="1"/>
  <c r="PD26" i="7" s="1"/>
  <c r="PD27" i="7" s="1"/>
  <c r="PE18" i="7"/>
  <c r="PE19" i="7" s="1"/>
  <c r="PE20" i="7" s="1"/>
  <c r="PE21" i="7" s="1"/>
  <c r="PE22" i="7" s="1"/>
  <c r="PE23" i="7" s="1"/>
  <c r="PE24" i="7" s="1"/>
  <c r="PE25" i="7" s="1"/>
  <c r="PE26" i="7" s="1"/>
  <c r="PE27" i="7" s="1"/>
  <c r="PF18" i="7"/>
  <c r="PF19" i="7" s="1"/>
  <c r="PF20" i="7" s="1"/>
  <c r="PF21" i="7" s="1"/>
  <c r="PF22" i="7" s="1"/>
  <c r="PF23" i="7" s="1"/>
  <c r="PF24" i="7" s="1"/>
  <c r="PF25" i="7" s="1"/>
  <c r="PF26" i="7" s="1"/>
  <c r="PF27" i="7" s="1"/>
  <c r="PG18" i="7"/>
  <c r="PG19" i="7" s="1"/>
  <c r="PG20" i="7" s="1"/>
  <c r="PG21" i="7" s="1"/>
  <c r="PG22" i="7" s="1"/>
  <c r="PG23" i="7" s="1"/>
  <c r="PG24" i="7" s="1"/>
  <c r="PG25" i="7" s="1"/>
  <c r="PG26" i="7" s="1"/>
  <c r="PG27" i="7" s="1"/>
  <c r="PH18" i="7"/>
  <c r="PH19" i="7" s="1"/>
  <c r="PH20" i="7" s="1"/>
  <c r="PH21" i="7" s="1"/>
  <c r="PH22" i="7" s="1"/>
  <c r="PH23" i="7" s="1"/>
  <c r="PH24" i="7" s="1"/>
  <c r="PH25" i="7" s="1"/>
  <c r="PH26" i="7" s="1"/>
  <c r="PH27" i="7" s="1"/>
  <c r="PI18" i="7"/>
  <c r="PI19" i="7" s="1"/>
  <c r="PI20" i="7" s="1"/>
  <c r="PI21" i="7" s="1"/>
  <c r="PI22" i="7" s="1"/>
  <c r="PI23" i="7" s="1"/>
  <c r="PI24" i="7" s="1"/>
  <c r="PI25" i="7" s="1"/>
  <c r="PI26" i="7" s="1"/>
  <c r="PI27" i="7" s="1"/>
  <c r="PJ18" i="7"/>
  <c r="PJ19" i="7" s="1"/>
  <c r="PJ20" i="7" s="1"/>
  <c r="PJ21" i="7" s="1"/>
  <c r="PJ22" i="7" s="1"/>
  <c r="PJ23" i="7" s="1"/>
  <c r="PJ24" i="7" s="1"/>
  <c r="PJ25" i="7" s="1"/>
  <c r="PJ26" i="7" s="1"/>
  <c r="PJ27" i="7" s="1"/>
  <c r="PK18" i="7"/>
  <c r="PK19" i="7" s="1"/>
  <c r="PK20" i="7" s="1"/>
  <c r="PK21" i="7" s="1"/>
  <c r="PK22" i="7" s="1"/>
  <c r="PK23" i="7" s="1"/>
  <c r="PK24" i="7" s="1"/>
  <c r="PK25" i="7" s="1"/>
  <c r="PK26" i="7" s="1"/>
  <c r="PK27" i="7" s="1"/>
  <c r="PL18" i="7"/>
  <c r="PL19" i="7" s="1"/>
  <c r="PL20" i="7" s="1"/>
  <c r="PL21" i="7" s="1"/>
  <c r="PL22" i="7" s="1"/>
  <c r="PL23" i="7" s="1"/>
  <c r="PL24" i="7" s="1"/>
  <c r="PL25" i="7" s="1"/>
  <c r="PL26" i="7" s="1"/>
  <c r="PL27" i="7" s="1"/>
  <c r="PM18" i="7"/>
  <c r="PM19" i="7" s="1"/>
  <c r="PM20" i="7" s="1"/>
  <c r="PM21" i="7" s="1"/>
  <c r="PM22" i="7" s="1"/>
  <c r="PM23" i="7" s="1"/>
  <c r="PM24" i="7" s="1"/>
  <c r="PM25" i="7" s="1"/>
  <c r="PM26" i="7" s="1"/>
  <c r="PM27" i="7" s="1"/>
  <c r="PN18" i="7"/>
  <c r="PN19" i="7" s="1"/>
  <c r="PN20" i="7" s="1"/>
  <c r="PN21" i="7" s="1"/>
  <c r="PN22" i="7" s="1"/>
  <c r="PN23" i="7" s="1"/>
  <c r="PN24" i="7" s="1"/>
  <c r="PN25" i="7" s="1"/>
  <c r="PN26" i="7" s="1"/>
  <c r="PN27" i="7" s="1"/>
  <c r="PO18" i="7"/>
  <c r="PO19" i="7" s="1"/>
  <c r="PO20" i="7" s="1"/>
  <c r="PO21" i="7" s="1"/>
  <c r="PO22" i="7" s="1"/>
  <c r="PO23" i="7" s="1"/>
  <c r="PO24" i="7" s="1"/>
  <c r="PO25" i="7" s="1"/>
  <c r="PO26" i="7" s="1"/>
  <c r="PO27" i="7" s="1"/>
  <c r="PP18" i="7"/>
  <c r="PP19" i="7" s="1"/>
  <c r="PP20" i="7" s="1"/>
  <c r="PP21" i="7" s="1"/>
  <c r="PP22" i="7" s="1"/>
  <c r="PP23" i="7" s="1"/>
  <c r="PP24" i="7" s="1"/>
  <c r="PP25" i="7" s="1"/>
  <c r="PP26" i="7" s="1"/>
  <c r="PP27" i="7" s="1"/>
  <c r="PQ18" i="7"/>
  <c r="PQ19" i="7" s="1"/>
  <c r="PQ20" i="7" s="1"/>
  <c r="PQ21" i="7" s="1"/>
  <c r="PQ22" i="7" s="1"/>
  <c r="PQ23" i="7" s="1"/>
  <c r="PQ24" i="7" s="1"/>
  <c r="PQ25" i="7" s="1"/>
  <c r="PQ26" i="7" s="1"/>
  <c r="PQ27" i="7" s="1"/>
  <c r="PR18" i="7"/>
  <c r="PR19" i="7" s="1"/>
  <c r="PR20" i="7" s="1"/>
  <c r="PR21" i="7" s="1"/>
  <c r="PR22" i="7" s="1"/>
  <c r="PR23" i="7" s="1"/>
  <c r="PR24" i="7" s="1"/>
  <c r="PR25" i="7" s="1"/>
  <c r="PR26" i="7" s="1"/>
  <c r="PR27" i="7" s="1"/>
  <c r="PS18" i="7"/>
  <c r="PS19" i="7" s="1"/>
  <c r="PS20" i="7" s="1"/>
  <c r="PS21" i="7" s="1"/>
  <c r="PS22" i="7" s="1"/>
  <c r="PS23" i="7" s="1"/>
  <c r="PS24" i="7" s="1"/>
  <c r="PS25" i="7" s="1"/>
  <c r="PS26" i="7" s="1"/>
  <c r="PS27" i="7" s="1"/>
  <c r="PT18" i="7"/>
  <c r="PT19" i="7" s="1"/>
  <c r="PT20" i="7" s="1"/>
  <c r="PT21" i="7" s="1"/>
  <c r="PT22" i="7" s="1"/>
  <c r="PT23" i="7" s="1"/>
  <c r="PT24" i="7" s="1"/>
  <c r="PT25" i="7" s="1"/>
  <c r="PT26" i="7" s="1"/>
  <c r="PT27" i="7" s="1"/>
  <c r="PU18" i="7"/>
  <c r="PU19" i="7" s="1"/>
  <c r="PU20" i="7" s="1"/>
  <c r="PU21" i="7" s="1"/>
  <c r="PU22" i="7" s="1"/>
  <c r="PU23" i="7" s="1"/>
  <c r="PU24" i="7" s="1"/>
  <c r="PU25" i="7" s="1"/>
  <c r="PU26" i="7" s="1"/>
  <c r="PU27" i="7" s="1"/>
  <c r="PV18" i="7"/>
  <c r="PV19" i="7" s="1"/>
  <c r="PV20" i="7" s="1"/>
  <c r="PV21" i="7" s="1"/>
  <c r="PV22" i="7" s="1"/>
  <c r="PV23" i="7" s="1"/>
  <c r="PV24" i="7" s="1"/>
  <c r="PV25" i="7" s="1"/>
  <c r="PV26" i="7" s="1"/>
  <c r="PV27" i="7" s="1"/>
  <c r="PW18" i="7"/>
  <c r="PW19" i="7" s="1"/>
  <c r="PW20" i="7" s="1"/>
  <c r="PW21" i="7" s="1"/>
  <c r="PW22" i="7" s="1"/>
  <c r="PW23" i="7" s="1"/>
  <c r="PW24" i="7" s="1"/>
  <c r="PW25" i="7" s="1"/>
  <c r="PW26" i="7" s="1"/>
  <c r="PW27" i="7" s="1"/>
  <c r="PX18" i="7"/>
  <c r="PX19" i="7" s="1"/>
  <c r="PX20" i="7" s="1"/>
  <c r="PX21" i="7" s="1"/>
  <c r="PX22" i="7" s="1"/>
  <c r="PX23" i="7" s="1"/>
  <c r="PX24" i="7" s="1"/>
  <c r="PX25" i="7" s="1"/>
  <c r="PX26" i="7" s="1"/>
  <c r="PX27" i="7" s="1"/>
  <c r="PY18" i="7"/>
  <c r="PY19" i="7" s="1"/>
  <c r="PY20" i="7" s="1"/>
  <c r="PY21" i="7" s="1"/>
  <c r="PY22" i="7" s="1"/>
  <c r="PY23" i="7" s="1"/>
  <c r="PY24" i="7" s="1"/>
  <c r="PY25" i="7" s="1"/>
  <c r="PY26" i="7" s="1"/>
  <c r="PY27" i="7" s="1"/>
  <c r="PZ18" i="7"/>
  <c r="PZ19" i="7" s="1"/>
  <c r="PZ20" i="7" s="1"/>
  <c r="PZ21" i="7" s="1"/>
  <c r="PZ22" i="7" s="1"/>
  <c r="PZ23" i="7" s="1"/>
  <c r="PZ24" i="7" s="1"/>
  <c r="PZ25" i="7" s="1"/>
  <c r="PZ26" i="7" s="1"/>
  <c r="PZ27" i="7" s="1"/>
  <c r="QA18" i="7"/>
  <c r="QA19" i="7" s="1"/>
  <c r="QA20" i="7" s="1"/>
  <c r="QA21" i="7" s="1"/>
  <c r="QA22" i="7" s="1"/>
  <c r="QA23" i="7" s="1"/>
  <c r="QA24" i="7" s="1"/>
  <c r="QA25" i="7" s="1"/>
  <c r="QA26" i="7" s="1"/>
  <c r="QA27" i="7" s="1"/>
  <c r="QB18" i="7"/>
  <c r="QB19" i="7" s="1"/>
  <c r="QB20" i="7" s="1"/>
  <c r="QB21" i="7" s="1"/>
  <c r="QB22" i="7" s="1"/>
  <c r="QB23" i="7" s="1"/>
  <c r="QB24" i="7" s="1"/>
  <c r="QB25" i="7" s="1"/>
  <c r="QB26" i="7" s="1"/>
  <c r="QB27" i="7" s="1"/>
  <c r="QC18" i="7"/>
  <c r="QC19" i="7" s="1"/>
  <c r="QC20" i="7" s="1"/>
  <c r="QC21" i="7" s="1"/>
  <c r="QC22" i="7" s="1"/>
  <c r="QC23" i="7" s="1"/>
  <c r="QC24" i="7" s="1"/>
  <c r="QC25" i="7" s="1"/>
  <c r="QC26" i="7" s="1"/>
  <c r="QC27" i="7" s="1"/>
  <c r="QD18" i="7"/>
  <c r="QD19" i="7" s="1"/>
  <c r="QD20" i="7" s="1"/>
  <c r="QD21" i="7" s="1"/>
  <c r="QD22" i="7" s="1"/>
  <c r="QD23" i="7" s="1"/>
  <c r="QD24" i="7" s="1"/>
  <c r="QD25" i="7" s="1"/>
  <c r="QD26" i="7" s="1"/>
  <c r="QD27" i="7" s="1"/>
  <c r="QE18" i="7"/>
  <c r="QE19" i="7" s="1"/>
  <c r="QE20" i="7" s="1"/>
  <c r="QE21" i="7" s="1"/>
  <c r="QE22" i="7" s="1"/>
  <c r="QE23" i="7" s="1"/>
  <c r="QE24" i="7" s="1"/>
  <c r="QE25" i="7" s="1"/>
  <c r="QE26" i="7" s="1"/>
  <c r="QE27" i="7" s="1"/>
  <c r="QF18" i="7"/>
  <c r="QF19" i="7" s="1"/>
  <c r="QF20" i="7" s="1"/>
  <c r="QF21" i="7" s="1"/>
  <c r="QF22" i="7" s="1"/>
  <c r="QF23" i="7" s="1"/>
  <c r="QF24" i="7" s="1"/>
  <c r="QF25" i="7" s="1"/>
  <c r="QF26" i="7" s="1"/>
  <c r="QF27" i="7" s="1"/>
  <c r="QG18" i="7"/>
  <c r="QG19" i="7" s="1"/>
  <c r="QG20" i="7" s="1"/>
  <c r="QG21" i="7" s="1"/>
  <c r="QG22" i="7" s="1"/>
  <c r="QG23" i="7" s="1"/>
  <c r="QG24" i="7" s="1"/>
  <c r="QG25" i="7" s="1"/>
  <c r="QG26" i="7" s="1"/>
  <c r="QG27" i="7" s="1"/>
  <c r="QH18" i="7"/>
  <c r="QH19" i="7" s="1"/>
  <c r="QH20" i="7" s="1"/>
  <c r="QH21" i="7" s="1"/>
  <c r="QH22" i="7" s="1"/>
  <c r="QH23" i="7" s="1"/>
  <c r="QH24" i="7" s="1"/>
  <c r="QH25" i="7" s="1"/>
  <c r="QH26" i="7" s="1"/>
  <c r="QH27" i="7" s="1"/>
  <c r="QI18" i="7"/>
  <c r="QI19" i="7" s="1"/>
  <c r="QI20" i="7" s="1"/>
  <c r="QI21" i="7" s="1"/>
  <c r="QI22" i="7" s="1"/>
  <c r="QI23" i="7" s="1"/>
  <c r="QI24" i="7" s="1"/>
  <c r="QI25" i="7" s="1"/>
  <c r="QI26" i="7" s="1"/>
  <c r="QI27" i="7" s="1"/>
  <c r="QJ18" i="7"/>
  <c r="QJ19" i="7" s="1"/>
  <c r="QJ20" i="7" s="1"/>
  <c r="QJ21" i="7" s="1"/>
  <c r="QJ22" i="7" s="1"/>
  <c r="QJ23" i="7" s="1"/>
  <c r="QJ24" i="7" s="1"/>
  <c r="QJ25" i="7" s="1"/>
  <c r="QJ26" i="7" s="1"/>
  <c r="QJ27" i="7" s="1"/>
  <c r="QK18" i="7"/>
  <c r="QK19" i="7" s="1"/>
  <c r="QK20" i="7" s="1"/>
  <c r="QK21" i="7" s="1"/>
  <c r="QK22" i="7" s="1"/>
  <c r="QK23" i="7" s="1"/>
  <c r="QK24" i="7" s="1"/>
  <c r="QK25" i="7" s="1"/>
  <c r="QK26" i="7" s="1"/>
  <c r="QK27" i="7" s="1"/>
  <c r="QL18" i="7"/>
  <c r="QL19" i="7" s="1"/>
  <c r="QL20" i="7" s="1"/>
  <c r="QL21" i="7" s="1"/>
  <c r="QL22" i="7" s="1"/>
  <c r="QL23" i="7" s="1"/>
  <c r="QL24" i="7" s="1"/>
  <c r="QL25" i="7" s="1"/>
  <c r="QL26" i="7" s="1"/>
  <c r="QL27" i="7" s="1"/>
  <c r="QM18" i="7"/>
  <c r="QM19" i="7" s="1"/>
  <c r="QM20" i="7" s="1"/>
  <c r="QM21" i="7" s="1"/>
  <c r="QM22" i="7" s="1"/>
  <c r="QM23" i="7" s="1"/>
  <c r="QM24" i="7" s="1"/>
  <c r="QM25" i="7" s="1"/>
  <c r="QM26" i="7" s="1"/>
  <c r="QM27" i="7" s="1"/>
  <c r="QN18" i="7"/>
  <c r="QN19" i="7" s="1"/>
  <c r="QN20" i="7" s="1"/>
  <c r="QN21" i="7" s="1"/>
  <c r="QN22" i="7" s="1"/>
  <c r="QN23" i="7" s="1"/>
  <c r="QN24" i="7" s="1"/>
  <c r="QN25" i="7" s="1"/>
  <c r="QN26" i="7" s="1"/>
  <c r="QN27" i="7" s="1"/>
  <c r="QO18" i="7"/>
  <c r="QO19" i="7" s="1"/>
  <c r="QO20" i="7" s="1"/>
  <c r="QO21" i="7" s="1"/>
  <c r="QO22" i="7" s="1"/>
  <c r="QO23" i="7" s="1"/>
  <c r="QO24" i="7" s="1"/>
  <c r="QO25" i="7" s="1"/>
  <c r="QO26" i="7" s="1"/>
  <c r="QO27" i="7" s="1"/>
  <c r="QP18" i="7"/>
  <c r="QP19" i="7" s="1"/>
  <c r="QP20" i="7" s="1"/>
  <c r="QP21" i="7" s="1"/>
  <c r="QP22" i="7" s="1"/>
  <c r="QP23" i="7" s="1"/>
  <c r="QP24" i="7" s="1"/>
  <c r="QP25" i="7" s="1"/>
  <c r="QP26" i="7" s="1"/>
  <c r="QP27" i="7" s="1"/>
  <c r="QQ18" i="7"/>
  <c r="QQ19" i="7" s="1"/>
  <c r="QQ20" i="7" s="1"/>
  <c r="QQ21" i="7" s="1"/>
  <c r="QQ22" i="7" s="1"/>
  <c r="QQ23" i="7" s="1"/>
  <c r="QQ24" i="7" s="1"/>
  <c r="QQ25" i="7" s="1"/>
  <c r="QQ26" i="7" s="1"/>
  <c r="QQ27" i="7" s="1"/>
  <c r="QR18" i="7"/>
  <c r="QR19" i="7" s="1"/>
  <c r="QR20" i="7" s="1"/>
  <c r="QR21" i="7" s="1"/>
  <c r="QR22" i="7" s="1"/>
  <c r="QR23" i="7" s="1"/>
  <c r="QR24" i="7" s="1"/>
  <c r="QR25" i="7" s="1"/>
  <c r="QR26" i="7" s="1"/>
  <c r="QR27" i="7" s="1"/>
  <c r="QS18" i="7"/>
  <c r="QS19" i="7" s="1"/>
  <c r="QS20" i="7" s="1"/>
  <c r="QS21" i="7" s="1"/>
  <c r="QS22" i="7" s="1"/>
  <c r="QS23" i="7" s="1"/>
  <c r="QS24" i="7" s="1"/>
  <c r="QS25" i="7" s="1"/>
  <c r="QS26" i="7" s="1"/>
  <c r="QS27" i="7" s="1"/>
  <c r="QT18" i="7"/>
  <c r="QT19" i="7" s="1"/>
  <c r="QT20" i="7" s="1"/>
  <c r="QT21" i="7" s="1"/>
  <c r="QT22" i="7" s="1"/>
  <c r="QT23" i="7" s="1"/>
  <c r="QT24" i="7" s="1"/>
  <c r="QT25" i="7" s="1"/>
  <c r="QT26" i="7" s="1"/>
  <c r="QT27" i="7" s="1"/>
  <c r="QU18" i="7"/>
  <c r="QU19" i="7" s="1"/>
  <c r="QU20" i="7" s="1"/>
  <c r="QU21" i="7" s="1"/>
  <c r="QU22" i="7" s="1"/>
  <c r="QU23" i="7" s="1"/>
  <c r="QU24" i="7" s="1"/>
  <c r="QU25" i="7" s="1"/>
  <c r="QU26" i="7" s="1"/>
  <c r="QU27" i="7" s="1"/>
  <c r="QV18" i="7"/>
  <c r="QV19" i="7" s="1"/>
  <c r="QV20" i="7" s="1"/>
  <c r="QV21" i="7" s="1"/>
  <c r="QV22" i="7" s="1"/>
  <c r="QV23" i="7" s="1"/>
  <c r="QV24" i="7" s="1"/>
  <c r="QV25" i="7" s="1"/>
  <c r="QV26" i="7" s="1"/>
  <c r="QV27" i="7" s="1"/>
  <c r="QW18" i="7"/>
  <c r="QW19" i="7" s="1"/>
  <c r="QW20" i="7" s="1"/>
  <c r="QW21" i="7" s="1"/>
  <c r="QW22" i="7" s="1"/>
  <c r="QW23" i="7" s="1"/>
  <c r="QW24" i="7" s="1"/>
  <c r="QW25" i="7" s="1"/>
  <c r="QW26" i="7" s="1"/>
  <c r="QW27" i="7" s="1"/>
  <c r="QX18" i="7"/>
  <c r="QX19" i="7" s="1"/>
  <c r="QX20" i="7" s="1"/>
  <c r="QX21" i="7" s="1"/>
  <c r="QX22" i="7" s="1"/>
  <c r="QX23" i="7" s="1"/>
  <c r="QX24" i="7" s="1"/>
  <c r="QX25" i="7" s="1"/>
  <c r="QX26" i="7" s="1"/>
  <c r="QX27" i="7" s="1"/>
  <c r="QY18" i="7"/>
  <c r="QY19" i="7" s="1"/>
  <c r="QY20" i="7" s="1"/>
  <c r="QY21" i="7" s="1"/>
  <c r="QY22" i="7" s="1"/>
  <c r="QY23" i="7" s="1"/>
  <c r="QY24" i="7" s="1"/>
  <c r="QY25" i="7" s="1"/>
  <c r="QY26" i="7" s="1"/>
  <c r="QY27" i="7" s="1"/>
  <c r="QZ18" i="7"/>
  <c r="QZ19" i="7" s="1"/>
  <c r="QZ20" i="7" s="1"/>
  <c r="QZ21" i="7" s="1"/>
  <c r="QZ22" i="7" s="1"/>
  <c r="QZ23" i="7" s="1"/>
  <c r="QZ24" i="7" s="1"/>
  <c r="QZ25" i="7" s="1"/>
  <c r="QZ26" i="7" s="1"/>
  <c r="QZ27" i="7" s="1"/>
  <c r="RA18" i="7"/>
  <c r="RA19" i="7" s="1"/>
  <c r="RA20" i="7" s="1"/>
  <c r="RA21" i="7" s="1"/>
  <c r="RA22" i="7" s="1"/>
  <c r="RA23" i="7" s="1"/>
  <c r="RA24" i="7" s="1"/>
  <c r="RA25" i="7" s="1"/>
  <c r="RA26" i="7" s="1"/>
  <c r="RA27" i="7" s="1"/>
  <c r="RB18" i="7"/>
  <c r="RB19" i="7" s="1"/>
  <c r="RB20" i="7" s="1"/>
  <c r="RB21" i="7" s="1"/>
  <c r="RB22" i="7" s="1"/>
  <c r="RB23" i="7" s="1"/>
  <c r="RB24" i="7" s="1"/>
  <c r="RB25" i="7" s="1"/>
  <c r="RB26" i="7" s="1"/>
  <c r="RB27" i="7" s="1"/>
  <c r="RC18" i="7"/>
  <c r="RC19" i="7" s="1"/>
  <c r="RC20" i="7" s="1"/>
  <c r="RC21" i="7" s="1"/>
  <c r="RC22" i="7" s="1"/>
  <c r="RC23" i="7" s="1"/>
  <c r="RC24" i="7" s="1"/>
  <c r="RC25" i="7" s="1"/>
  <c r="RC26" i="7" s="1"/>
  <c r="RC27" i="7" s="1"/>
  <c r="RD18" i="7"/>
  <c r="RD19" i="7" s="1"/>
  <c r="RD20" i="7" s="1"/>
  <c r="RD21" i="7" s="1"/>
  <c r="RD22" i="7" s="1"/>
  <c r="RD23" i="7" s="1"/>
  <c r="RD24" i="7" s="1"/>
  <c r="RD25" i="7" s="1"/>
  <c r="RD26" i="7" s="1"/>
  <c r="RD27" i="7" s="1"/>
  <c r="RE18" i="7"/>
  <c r="RE19" i="7" s="1"/>
  <c r="RE20" i="7" s="1"/>
  <c r="RE21" i="7" s="1"/>
  <c r="RE22" i="7" s="1"/>
  <c r="RE23" i="7" s="1"/>
  <c r="RE24" i="7" s="1"/>
  <c r="RE25" i="7" s="1"/>
  <c r="RE26" i="7" s="1"/>
  <c r="RE27" i="7" s="1"/>
  <c r="RF18" i="7"/>
  <c r="RF19" i="7" s="1"/>
  <c r="RF20" i="7" s="1"/>
  <c r="RF21" i="7" s="1"/>
  <c r="RF22" i="7" s="1"/>
  <c r="RF23" i="7" s="1"/>
  <c r="RF24" i="7" s="1"/>
  <c r="RF25" i="7" s="1"/>
  <c r="RF26" i="7" s="1"/>
  <c r="RF27" i="7" s="1"/>
  <c r="RG18" i="7"/>
  <c r="RG19" i="7" s="1"/>
  <c r="RG20" i="7" s="1"/>
  <c r="RG21" i="7" s="1"/>
  <c r="RG22" i="7" s="1"/>
  <c r="RG23" i="7" s="1"/>
  <c r="RG24" i="7" s="1"/>
  <c r="RG25" i="7" s="1"/>
  <c r="RG26" i="7" s="1"/>
  <c r="RG27" i="7" s="1"/>
  <c r="RH18" i="7"/>
  <c r="RH19" i="7" s="1"/>
  <c r="RH20" i="7" s="1"/>
  <c r="RH21" i="7" s="1"/>
  <c r="RH22" i="7" s="1"/>
  <c r="RH23" i="7" s="1"/>
  <c r="RH24" i="7" s="1"/>
  <c r="RH25" i="7" s="1"/>
  <c r="RH26" i="7" s="1"/>
  <c r="RH27" i="7" s="1"/>
  <c r="RI18" i="7"/>
  <c r="RI19" i="7" s="1"/>
  <c r="RI20" i="7" s="1"/>
  <c r="RI21" i="7" s="1"/>
  <c r="RI22" i="7" s="1"/>
  <c r="RI23" i="7" s="1"/>
  <c r="RI24" i="7" s="1"/>
  <c r="RI25" i="7" s="1"/>
  <c r="RI26" i="7" s="1"/>
  <c r="RI27" i="7" s="1"/>
  <c r="RJ18" i="7"/>
  <c r="RJ19" i="7" s="1"/>
  <c r="RJ20" i="7" s="1"/>
  <c r="RJ21" i="7" s="1"/>
  <c r="RJ22" i="7" s="1"/>
  <c r="RJ23" i="7" s="1"/>
  <c r="RJ24" i="7" s="1"/>
  <c r="RJ25" i="7" s="1"/>
  <c r="RJ26" i="7" s="1"/>
  <c r="RJ27" i="7" s="1"/>
  <c r="RK18" i="7"/>
  <c r="RK19" i="7" s="1"/>
  <c r="RK20" i="7" s="1"/>
  <c r="RK21" i="7" s="1"/>
  <c r="RK22" i="7" s="1"/>
  <c r="RK23" i="7" s="1"/>
  <c r="RK24" i="7" s="1"/>
  <c r="RK25" i="7" s="1"/>
  <c r="RK26" i="7" s="1"/>
  <c r="RK27" i="7" s="1"/>
  <c r="RL18" i="7"/>
  <c r="RL19" i="7" s="1"/>
  <c r="RL20" i="7" s="1"/>
  <c r="RL21" i="7" s="1"/>
  <c r="RL22" i="7" s="1"/>
  <c r="RL23" i="7" s="1"/>
  <c r="RL24" i="7" s="1"/>
  <c r="RL25" i="7" s="1"/>
  <c r="RL26" i="7" s="1"/>
  <c r="RL27" i="7" s="1"/>
  <c r="RM18" i="7"/>
  <c r="RM19" i="7" s="1"/>
  <c r="RM20" i="7" s="1"/>
  <c r="RM21" i="7" s="1"/>
  <c r="RM22" i="7" s="1"/>
  <c r="RM23" i="7" s="1"/>
  <c r="RM24" i="7" s="1"/>
  <c r="RM25" i="7" s="1"/>
  <c r="RM26" i="7" s="1"/>
  <c r="RM27" i="7" s="1"/>
  <c r="RN18" i="7"/>
  <c r="RN19" i="7" s="1"/>
  <c r="RN20" i="7" s="1"/>
  <c r="RN21" i="7" s="1"/>
  <c r="RN22" i="7" s="1"/>
  <c r="RN23" i="7" s="1"/>
  <c r="RN24" i="7" s="1"/>
  <c r="RN25" i="7" s="1"/>
  <c r="RN26" i="7" s="1"/>
  <c r="RN27" i="7" s="1"/>
  <c r="RO18" i="7"/>
  <c r="RO19" i="7" s="1"/>
  <c r="RO20" i="7" s="1"/>
  <c r="RO21" i="7" s="1"/>
  <c r="RO22" i="7" s="1"/>
  <c r="RO23" i="7" s="1"/>
  <c r="RO24" i="7" s="1"/>
  <c r="RO25" i="7" s="1"/>
  <c r="RO26" i="7" s="1"/>
  <c r="RO27" i="7" s="1"/>
  <c r="RP18" i="7"/>
  <c r="RP19" i="7" s="1"/>
  <c r="RP20" i="7" s="1"/>
  <c r="RP21" i="7" s="1"/>
  <c r="RP22" i="7" s="1"/>
  <c r="RP23" i="7" s="1"/>
  <c r="RP24" i="7" s="1"/>
  <c r="RP25" i="7" s="1"/>
  <c r="RP26" i="7" s="1"/>
  <c r="RP27" i="7" s="1"/>
  <c r="RQ18" i="7"/>
  <c r="RQ19" i="7" s="1"/>
  <c r="RQ20" i="7" s="1"/>
  <c r="RQ21" i="7" s="1"/>
  <c r="RQ22" i="7" s="1"/>
  <c r="RQ23" i="7" s="1"/>
  <c r="RQ24" i="7" s="1"/>
  <c r="RQ25" i="7" s="1"/>
  <c r="RQ26" i="7" s="1"/>
  <c r="RQ27" i="7" s="1"/>
  <c r="RR18" i="7"/>
  <c r="RR19" i="7" s="1"/>
  <c r="RR20" i="7" s="1"/>
  <c r="RR21" i="7" s="1"/>
  <c r="RR22" i="7" s="1"/>
  <c r="RR23" i="7" s="1"/>
  <c r="RR24" i="7" s="1"/>
  <c r="RR25" i="7" s="1"/>
  <c r="RR26" i="7" s="1"/>
  <c r="RR27" i="7" s="1"/>
  <c r="RS18" i="7"/>
  <c r="RS19" i="7" s="1"/>
  <c r="RS20" i="7" s="1"/>
  <c r="RS21" i="7" s="1"/>
  <c r="RS22" i="7" s="1"/>
  <c r="RS23" i="7" s="1"/>
  <c r="RS24" i="7" s="1"/>
  <c r="RS25" i="7" s="1"/>
  <c r="RS26" i="7" s="1"/>
  <c r="RS27" i="7" s="1"/>
  <c r="RT18" i="7"/>
  <c r="RT19" i="7" s="1"/>
  <c r="RT20" i="7" s="1"/>
  <c r="RT21" i="7" s="1"/>
  <c r="RT22" i="7" s="1"/>
  <c r="RT23" i="7" s="1"/>
  <c r="RT24" i="7" s="1"/>
  <c r="RT25" i="7" s="1"/>
  <c r="RT26" i="7" s="1"/>
  <c r="RT27" i="7" s="1"/>
  <c r="RU18" i="7"/>
  <c r="RU19" i="7" s="1"/>
  <c r="RU20" i="7" s="1"/>
  <c r="RU21" i="7" s="1"/>
  <c r="RU22" i="7" s="1"/>
  <c r="RU23" i="7" s="1"/>
  <c r="RU24" i="7" s="1"/>
  <c r="RU25" i="7" s="1"/>
  <c r="RU26" i="7" s="1"/>
  <c r="RU27" i="7" s="1"/>
  <c r="RV18" i="7"/>
  <c r="RV19" i="7" s="1"/>
  <c r="RV20" i="7" s="1"/>
  <c r="RV21" i="7" s="1"/>
  <c r="RV22" i="7" s="1"/>
  <c r="RV23" i="7" s="1"/>
  <c r="RV24" i="7" s="1"/>
  <c r="RV25" i="7" s="1"/>
  <c r="RV26" i="7" s="1"/>
  <c r="RV27" i="7" s="1"/>
  <c r="RW18" i="7"/>
  <c r="RW19" i="7" s="1"/>
  <c r="RW20" i="7" s="1"/>
  <c r="RW21" i="7" s="1"/>
  <c r="RW22" i="7" s="1"/>
  <c r="RW23" i="7" s="1"/>
  <c r="RW24" i="7" s="1"/>
  <c r="RW25" i="7" s="1"/>
  <c r="RW26" i="7" s="1"/>
  <c r="RW27" i="7" s="1"/>
  <c r="RX18" i="7"/>
  <c r="RX19" i="7" s="1"/>
  <c r="RX20" i="7" s="1"/>
  <c r="RX21" i="7" s="1"/>
  <c r="RX22" i="7" s="1"/>
  <c r="RX23" i="7" s="1"/>
  <c r="RX24" i="7" s="1"/>
  <c r="RX25" i="7" s="1"/>
  <c r="RX26" i="7" s="1"/>
  <c r="RX27" i="7" s="1"/>
  <c r="RY18" i="7"/>
  <c r="RY19" i="7" s="1"/>
  <c r="RY20" i="7" s="1"/>
  <c r="RY21" i="7" s="1"/>
  <c r="RY22" i="7" s="1"/>
  <c r="RY23" i="7" s="1"/>
  <c r="RY24" i="7" s="1"/>
  <c r="RY25" i="7" s="1"/>
  <c r="RY26" i="7" s="1"/>
  <c r="RY27" i="7" s="1"/>
  <c r="RZ18" i="7"/>
  <c r="RZ19" i="7" s="1"/>
  <c r="RZ20" i="7" s="1"/>
  <c r="RZ21" i="7" s="1"/>
  <c r="RZ22" i="7" s="1"/>
  <c r="RZ23" i="7" s="1"/>
  <c r="RZ24" i="7" s="1"/>
  <c r="RZ25" i="7" s="1"/>
  <c r="RZ26" i="7" s="1"/>
  <c r="RZ27" i="7" s="1"/>
  <c r="SA18" i="7"/>
  <c r="SA19" i="7" s="1"/>
  <c r="SA20" i="7" s="1"/>
  <c r="SA21" i="7" s="1"/>
  <c r="SA22" i="7" s="1"/>
  <c r="SA23" i="7" s="1"/>
  <c r="SA24" i="7" s="1"/>
  <c r="SA25" i="7" s="1"/>
  <c r="SA26" i="7" s="1"/>
  <c r="SA27" i="7" s="1"/>
  <c r="SB18" i="7"/>
  <c r="SB19" i="7" s="1"/>
  <c r="SB20" i="7" s="1"/>
  <c r="SB21" i="7" s="1"/>
  <c r="SB22" i="7" s="1"/>
  <c r="SB23" i="7" s="1"/>
  <c r="SB24" i="7" s="1"/>
  <c r="SB25" i="7" s="1"/>
  <c r="SB26" i="7" s="1"/>
  <c r="SB27" i="7" s="1"/>
  <c r="SC18" i="7"/>
  <c r="SC19" i="7" s="1"/>
  <c r="SC20" i="7" s="1"/>
  <c r="SC21" i="7" s="1"/>
  <c r="SC22" i="7" s="1"/>
  <c r="SC23" i="7" s="1"/>
  <c r="SC24" i="7" s="1"/>
  <c r="SC25" i="7" s="1"/>
  <c r="SC26" i="7" s="1"/>
  <c r="SC27" i="7" s="1"/>
  <c r="SD18" i="7"/>
  <c r="SD19" i="7" s="1"/>
  <c r="SD20" i="7" s="1"/>
  <c r="SD21" i="7" s="1"/>
  <c r="SD22" i="7" s="1"/>
  <c r="SD23" i="7" s="1"/>
  <c r="SD24" i="7" s="1"/>
  <c r="SD25" i="7" s="1"/>
  <c r="SD26" i="7" s="1"/>
  <c r="SD27" i="7" s="1"/>
  <c r="SE18" i="7"/>
  <c r="SE19" i="7" s="1"/>
  <c r="SE20" i="7" s="1"/>
  <c r="SE21" i="7" s="1"/>
  <c r="SE22" i="7" s="1"/>
  <c r="SE23" i="7" s="1"/>
  <c r="SE24" i="7" s="1"/>
  <c r="SE25" i="7" s="1"/>
  <c r="SE26" i="7" s="1"/>
  <c r="SE27" i="7" s="1"/>
  <c r="SF18" i="7"/>
  <c r="SF19" i="7" s="1"/>
  <c r="SF20" i="7" s="1"/>
  <c r="SF21" i="7" s="1"/>
  <c r="SF22" i="7" s="1"/>
  <c r="SF23" i="7" s="1"/>
  <c r="SF24" i="7" s="1"/>
  <c r="SF25" i="7" s="1"/>
  <c r="SF26" i="7" s="1"/>
  <c r="SF27" i="7" s="1"/>
  <c r="SG18" i="7"/>
  <c r="SG19" i="7" s="1"/>
  <c r="SG20" i="7" s="1"/>
  <c r="SG21" i="7" s="1"/>
  <c r="SG22" i="7" s="1"/>
  <c r="SG23" i="7" s="1"/>
  <c r="SG24" i="7" s="1"/>
  <c r="SG25" i="7" s="1"/>
  <c r="SG26" i="7" s="1"/>
  <c r="SG27" i="7" s="1"/>
  <c r="SH18" i="7"/>
  <c r="SH19" i="7" s="1"/>
  <c r="SH20" i="7" s="1"/>
  <c r="SH21" i="7" s="1"/>
  <c r="SH22" i="7" s="1"/>
  <c r="SH23" i="7" s="1"/>
  <c r="SH24" i="7" s="1"/>
  <c r="SH25" i="7" s="1"/>
  <c r="SH26" i="7" s="1"/>
  <c r="SH27" i="7" s="1"/>
  <c r="SI18" i="7"/>
  <c r="SI19" i="7" s="1"/>
  <c r="SI20" i="7" s="1"/>
  <c r="SI21" i="7" s="1"/>
  <c r="SI22" i="7" s="1"/>
  <c r="SI23" i="7" s="1"/>
  <c r="SI24" i="7" s="1"/>
  <c r="SI25" i="7" s="1"/>
  <c r="SI26" i="7" s="1"/>
  <c r="SI27" i="7" s="1"/>
  <c r="SJ18" i="7"/>
  <c r="SJ19" i="7" s="1"/>
  <c r="SJ20" i="7" s="1"/>
  <c r="SJ21" i="7" s="1"/>
  <c r="SJ22" i="7" s="1"/>
  <c r="SJ23" i="7" s="1"/>
  <c r="SJ24" i="7" s="1"/>
  <c r="SJ25" i="7" s="1"/>
  <c r="SJ26" i="7" s="1"/>
  <c r="SJ27" i="7" s="1"/>
  <c r="SK18" i="7"/>
  <c r="SK19" i="7" s="1"/>
  <c r="SK20" i="7" s="1"/>
  <c r="SK21" i="7" s="1"/>
  <c r="SK22" i="7" s="1"/>
  <c r="SK23" i="7" s="1"/>
  <c r="SK24" i="7" s="1"/>
  <c r="SK25" i="7" s="1"/>
  <c r="SK26" i="7" s="1"/>
  <c r="SK27" i="7" s="1"/>
  <c r="SL18" i="7"/>
  <c r="SL19" i="7" s="1"/>
  <c r="SL20" i="7" s="1"/>
  <c r="SL21" i="7" s="1"/>
  <c r="SL22" i="7" s="1"/>
  <c r="SL23" i="7" s="1"/>
  <c r="SL24" i="7" s="1"/>
  <c r="SL25" i="7" s="1"/>
  <c r="SL26" i="7" s="1"/>
  <c r="SL27" i="7" s="1"/>
  <c r="SM18" i="7"/>
  <c r="SM19" i="7" s="1"/>
  <c r="SM20" i="7" s="1"/>
  <c r="SM21" i="7" s="1"/>
  <c r="SM22" i="7" s="1"/>
  <c r="SM23" i="7" s="1"/>
  <c r="SM24" i="7" s="1"/>
  <c r="SM25" i="7" s="1"/>
  <c r="SM26" i="7" s="1"/>
  <c r="SM27" i="7" s="1"/>
  <c r="SN18" i="7"/>
  <c r="SN19" i="7" s="1"/>
  <c r="SN20" i="7" s="1"/>
  <c r="SN21" i="7" s="1"/>
  <c r="SN22" i="7" s="1"/>
  <c r="SN23" i="7" s="1"/>
  <c r="SN24" i="7" s="1"/>
  <c r="SN25" i="7" s="1"/>
  <c r="SN26" i="7" s="1"/>
  <c r="SN27" i="7" s="1"/>
  <c r="SO18" i="7"/>
  <c r="SO19" i="7" s="1"/>
  <c r="SO20" i="7" s="1"/>
  <c r="SO21" i="7" s="1"/>
  <c r="SO22" i="7" s="1"/>
  <c r="SO23" i="7" s="1"/>
  <c r="SO24" i="7" s="1"/>
  <c r="SO25" i="7" s="1"/>
  <c r="SO26" i="7" s="1"/>
  <c r="SO27" i="7" s="1"/>
  <c r="SP18" i="7"/>
  <c r="SP19" i="7" s="1"/>
  <c r="SP20" i="7" s="1"/>
  <c r="SP21" i="7" s="1"/>
  <c r="SP22" i="7" s="1"/>
  <c r="SP23" i="7" s="1"/>
  <c r="SP24" i="7" s="1"/>
  <c r="SP25" i="7" s="1"/>
  <c r="SP26" i="7" s="1"/>
  <c r="SP27" i="7" s="1"/>
  <c r="SQ18" i="7"/>
  <c r="SQ19" i="7" s="1"/>
  <c r="SQ20" i="7" s="1"/>
  <c r="SQ21" i="7" s="1"/>
  <c r="SQ22" i="7" s="1"/>
  <c r="SQ23" i="7" s="1"/>
  <c r="SQ24" i="7" s="1"/>
  <c r="SQ25" i="7" s="1"/>
  <c r="SQ26" i="7" s="1"/>
  <c r="SQ27" i="7" s="1"/>
  <c r="SR18" i="7"/>
  <c r="SR19" i="7" s="1"/>
  <c r="SR20" i="7" s="1"/>
  <c r="SR21" i="7" s="1"/>
  <c r="SR22" i="7" s="1"/>
  <c r="SR23" i="7" s="1"/>
  <c r="SR24" i="7" s="1"/>
  <c r="SR25" i="7" s="1"/>
  <c r="SR26" i="7" s="1"/>
  <c r="SR27" i="7" s="1"/>
  <c r="SS18" i="7"/>
  <c r="SS19" i="7" s="1"/>
  <c r="SS20" i="7" s="1"/>
  <c r="SS21" i="7" s="1"/>
  <c r="SS22" i="7" s="1"/>
  <c r="SS23" i="7" s="1"/>
  <c r="SS24" i="7" s="1"/>
  <c r="SS25" i="7" s="1"/>
  <c r="SS26" i="7" s="1"/>
  <c r="SS27" i="7" s="1"/>
  <c r="ST18" i="7"/>
  <c r="ST19" i="7" s="1"/>
  <c r="ST20" i="7" s="1"/>
  <c r="ST21" i="7" s="1"/>
  <c r="ST22" i="7" s="1"/>
  <c r="ST23" i="7" s="1"/>
  <c r="ST24" i="7" s="1"/>
  <c r="ST25" i="7" s="1"/>
  <c r="ST26" i="7" s="1"/>
  <c r="ST27" i="7" s="1"/>
  <c r="SU18" i="7"/>
  <c r="SU19" i="7" s="1"/>
  <c r="SU20" i="7" s="1"/>
  <c r="SU21" i="7" s="1"/>
  <c r="SU22" i="7" s="1"/>
  <c r="SU23" i="7" s="1"/>
  <c r="SU24" i="7" s="1"/>
  <c r="SU25" i="7" s="1"/>
  <c r="SU26" i="7" s="1"/>
  <c r="SU27" i="7" s="1"/>
  <c r="SV18" i="7"/>
  <c r="SV19" i="7" s="1"/>
  <c r="SV20" i="7" s="1"/>
  <c r="SV21" i="7" s="1"/>
  <c r="SV22" i="7" s="1"/>
  <c r="SV23" i="7" s="1"/>
  <c r="SV24" i="7" s="1"/>
  <c r="SV25" i="7" s="1"/>
  <c r="SV26" i="7" s="1"/>
  <c r="SV27" i="7" s="1"/>
  <c r="SW18" i="7"/>
  <c r="SW19" i="7" s="1"/>
  <c r="SW20" i="7" s="1"/>
  <c r="SW21" i="7" s="1"/>
  <c r="SW22" i="7" s="1"/>
  <c r="SW23" i="7" s="1"/>
  <c r="SW24" i="7" s="1"/>
  <c r="SW25" i="7" s="1"/>
  <c r="SW26" i="7" s="1"/>
  <c r="SW27" i="7" s="1"/>
  <c r="SX18" i="7"/>
  <c r="SX19" i="7" s="1"/>
  <c r="SX20" i="7" s="1"/>
  <c r="SX21" i="7" s="1"/>
  <c r="SX22" i="7" s="1"/>
  <c r="SX23" i="7" s="1"/>
  <c r="SX24" i="7" s="1"/>
  <c r="SX25" i="7" s="1"/>
  <c r="SX26" i="7" s="1"/>
  <c r="SX27" i="7" s="1"/>
  <c r="SY18" i="7"/>
  <c r="SY19" i="7" s="1"/>
  <c r="SY20" i="7" s="1"/>
  <c r="SY21" i="7" s="1"/>
  <c r="SY22" i="7" s="1"/>
  <c r="SY23" i="7" s="1"/>
  <c r="SY24" i="7" s="1"/>
  <c r="SY25" i="7" s="1"/>
  <c r="SY26" i="7" s="1"/>
  <c r="SY27" i="7" s="1"/>
  <c r="SZ18" i="7"/>
  <c r="SZ19" i="7" s="1"/>
  <c r="SZ20" i="7" s="1"/>
  <c r="SZ21" i="7" s="1"/>
  <c r="SZ22" i="7" s="1"/>
  <c r="SZ23" i="7" s="1"/>
  <c r="SZ24" i="7" s="1"/>
  <c r="SZ25" i="7" s="1"/>
  <c r="SZ26" i="7" s="1"/>
  <c r="SZ27" i="7" s="1"/>
  <c r="TA18" i="7"/>
  <c r="TA19" i="7" s="1"/>
  <c r="TA20" i="7" s="1"/>
  <c r="TA21" i="7" s="1"/>
  <c r="TA22" i="7" s="1"/>
  <c r="TA23" i="7" s="1"/>
  <c r="TA24" i="7" s="1"/>
  <c r="TA25" i="7" s="1"/>
  <c r="TA26" i="7" s="1"/>
  <c r="TA27" i="7" s="1"/>
  <c r="TB18" i="7"/>
  <c r="TB19" i="7" s="1"/>
  <c r="TB20" i="7" s="1"/>
  <c r="TB21" i="7" s="1"/>
  <c r="TB22" i="7" s="1"/>
  <c r="TB23" i="7" s="1"/>
  <c r="TB24" i="7" s="1"/>
  <c r="TB25" i="7" s="1"/>
  <c r="TB26" i="7" s="1"/>
  <c r="TB27" i="7" s="1"/>
  <c r="TC18" i="7"/>
  <c r="TC19" i="7" s="1"/>
  <c r="TC20" i="7" s="1"/>
  <c r="TC21" i="7" s="1"/>
  <c r="TC22" i="7" s="1"/>
  <c r="TC23" i="7" s="1"/>
  <c r="TC24" i="7" s="1"/>
  <c r="TC25" i="7" s="1"/>
  <c r="TC26" i="7" s="1"/>
  <c r="TC27" i="7" s="1"/>
  <c r="TD18" i="7"/>
  <c r="TD19" i="7" s="1"/>
  <c r="TD20" i="7" s="1"/>
  <c r="TD21" i="7" s="1"/>
  <c r="TD22" i="7" s="1"/>
  <c r="TD23" i="7" s="1"/>
  <c r="TD24" i="7" s="1"/>
  <c r="TD25" i="7" s="1"/>
  <c r="TD26" i="7" s="1"/>
  <c r="TD27" i="7" s="1"/>
  <c r="TE18" i="7"/>
  <c r="TE19" i="7" s="1"/>
  <c r="TE20" i="7" s="1"/>
  <c r="TE21" i="7" s="1"/>
  <c r="TE22" i="7" s="1"/>
  <c r="TE23" i="7" s="1"/>
  <c r="TE24" i="7" s="1"/>
  <c r="TE25" i="7" s="1"/>
  <c r="TE26" i="7" s="1"/>
  <c r="TE27" i="7" s="1"/>
  <c r="TF18" i="7"/>
  <c r="TF19" i="7" s="1"/>
  <c r="TF20" i="7" s="1"/>
  <c r="TF21" i="7" s="1"/>
  <c r="TF22" i="7" s="1"/>
  <c r="TF23" i="7" s="1"/>
  <c r="TF24" i="7" s="1"/>
  <c r="TF25" i="7" s="1"/>
  <c r="TF26" i="7" s="1"/>
  <c r="TF27" i="7" s="1"/>
  <c r="TG18" i="7"/>
  <c r="TG19" i="7" s="1"/>
  <c r="TG20" i="7" s="1"/>
  <c r="TG21" i="7" s="1"/>
  <c r="TG22" i="7" s="1"/>
  <c r="TG23" i="7" s="1"/>
  <c r="TG24" i="7" s="1"/>
  <c r="TG25" i="7" s="1"/>
  <c r="TG26" i="7" s="1"/>
  <c r="TG27" i="7" s="1"/>
  <c r="TH18" i="7"/>
  <c r="TH19" i="7" s="1"/>
  <c r="TH20" i="7" s="1"/>
  <c r="TH21" i="7" s="1"/>
  <c r="TH22" i="7" s="1"/>
  <c r="TH23" i="7" s="1"/>
  <c r="TH24" i="7" s="1"/>
  <c r="TH25" i="7" s="1"/>
  <c r="TH26" i="7" s="1"/>
  <c r="TH27" i="7" s="1"/>
  <c r="TI18" i="7"/>
  <c r="TI19" i="7" s="1"/>
  <c r="TI20" i="7" s="1"/>
  <c r="TI21" i="7" s="1"/>
  <c r="TI22" i="7" s="1"/>
  <c r="TI23" i="7" s="1"/>
  <c r="TI24" i="7" s="1"/>
  <c r="TI25" i="7" s="1"/>
  <c r="TI26" i="7" s="1"/>
  <c r="TI27" i="7" s="1"/>
  <c r="TJ18" i="7"/>
  <c r="TJ19" i="7" s="1"/>
  <c r="TJ20" i="7" s="1"/>
  <c r="TJ21" i="7" s="1"/>
  <c r="TJ22" i="7" s="1"/>
  <c r="TJ23" i="7" s="1"/>
  <c r="TJ24" i="7" s="1"/>
  <c r="TJ25" i="7" s="1"/>
  <c r="TJ26" i="7" s="1"/>
  <c r="TJ27" i="7" s="1"/>
  <c r="TK18" i="7"/>
  <c r="TK19" i="7" s="1"/>
  <c r="TK20" i="7" s="1"/>
  <c r="TK21" i="7" s="1"/>
  <c r="TK22" i="7" s="1"/>
  <c r="TK23" i="7" s="1"/>
  <c r="TK24" i="7" s="1"/>
  <c r="TK25" i="7" s="1"/>
  <c r="TK26" i="7" s="1"/>
  <c r="TK27" i="7" s="1"/>
  <c r="TL18" i="7"/>
  <c r="TL19" i="7" s="1"/>
  <c r="TL20" i="7" s="1"/>
  <c r="TL21" i="7" s="1"/>
  <c r="TL22" i="7" s="1"/>
  <c r="TL23" i="7" s="1"/>
  <c r="TL24" i="7" s="1"/>
  <c r="TL25" i="7" s="1"/>
  <c r="TL26" i="7" s="1"/>
  <c r="TL27" i="7" s="1"/>
  <c r="TM18" i="7"/>
  <c r="TM19" i="7" s="1"/>
  <c r="TM20" i="7" s="1"/>
  <c r="TM21" i="7" s="1"/>
  <c r="TM22" i="7" s="1"/>
  <c r="TM23" i="7" s="1"/>
  <c r="TM24" i="7" s="1"/>
  <c r="TM25" i="7" s="1"/>
  <c r="TM26" i="7" s="1"/>
  <c r="TM27" i="7" s="1"/>
  <c r="TN18" i="7"/>
  <c r="TN19" i="7" s="1"/>
  <c r="TN20" i="7" s="1"/>
  <c r="TN21" i="7" s="1"/>
  <c r="TN22" i="7" s="1"/>
  <c r="TN23" i="7" s="1"/>
  <c r="TN24" i="7" s="1"/>
  <c r="TN25" i="7" s="1"/>
  <c r="TN26" i="7" s="1"/>
  <c r="TN27" i="7" s="1"/>
  <c r="TO18" i="7"/>
  <c r="TO19" i="7" s="1"/>
  <c r="TO20" i="7" s="1"/>
  <c r="TO21" i="7" s="1"/>
  <c r="TO22" i="7" s="1"/>
  <c r="TO23" i="7" s="1"/>
  <c r="TO24" i="7" s="1"/>
  <c r="TO25" i="7" s="1"/>
  <c r="TO26" i="7" s="1"/>
  <c r="TO27" i="7" s="1"/>
  <c r="TP18" i="7"/>
  <c r="TP19" i="7" s="1"/>
  <c r="TP20" i="7" s="1"/>
  <c r="TP21" i="7" s="1"/>
  <c r="TP22" i="7" s="1"/>
  <c r="TP23" i="7" s="1"/>
  <c r="TP24" i="7" s="1"/>
  <c r="TP25" i="7" s="1"/>
  <c r="TP26" i="7" s="1"/>
  <c r="TP27" i="7" s="1"/>
  <c r="TQ18" i="7"/>
  <c r="TQ19" i="7" s="1"/>
  <c r="TQ20" i="7" s="1"/>
  <c r="TQ21" i="7" s="1"/>
  <c r="TQ22" i="7" s="1"/>
  <c r="TQ23" i="7" s="1"/>
  <c r="TQ24" i="7" s="1"/>
  <c r="TQ25" i="7" s="1"/>
  <c r="TQ26" i="7" s="1"/>
  <c r="TQ27" i="7" s="1"/>
  <c r="TR18" i="7"/>
  <c r="TR19" i="7" s="1"/>
  <c r="TR20" i="7" s="1"/>
  <c r="TR21" i="7" s="1"/>
  <c r="TR22" i="7" s="1"/>
  <c r="TR23" i="7" s="1"/>
  <c r="TR24" i="7" s="1"/>
  <c r="TR25" i="7" s="1"/>
  <c r="TR26" i="7" s="1"/>
  <c r="TR27" i="7" s="1"/>
  <c r="TS18" i="7"/>
  <c r="TS19" i="7" s="1"/>
  <c r="TS20" i="7" s="1"/>
  <c r="TS21" i="7" s="1"/>
  <c r="TS22" i="7" s="1"/>
  <c r="TS23" i="7" s="1"/>
  <c r="TS24" i="7" s="1"/>
  <c r="TS25" i="7" s="1"/>
  <c r="TS26" i="7" s="1"/>
  <c r="TS27" i="7" s="1"/>
  <c r="TT18" i="7"/>
  <c r="TT19" i="7" s="1"/>
  <c r="TT20" i="7" s="1"/>
  <c r="TT21" i="7" s="1"/>
  <c r="TT22" i="7" s="1"/>
  <c r="TT23" i="7" s="1"/>
  <c r="TT24" i="7" s="1"/>
  <c r="TT25" i="7" s="1"/>
  <c r="TT26" i="7" s="1"/>
  <c r="TT27" i="7" s="1"/>
  <c r="TU18" i="7"/>
  <c r="TU19" i="7" s="1"/>
  <c r="TU20" i="7" s="1"/>
  <c r="TU21" i="7" s="1"/>
  <c r="TU22" i="7" s="1"/>
  <c r="TU23" i="7" s="1"/>
  <c r="TU24" i="7" s="1"/>
  <c r="TU25" i="7" s="1"/>
  <c r="TU26" i="7" s="1"/>
  <c r="TU27" i="7" s="1"/>
  <c r="TV18" i="7"/>
  <c r="TV19" i="7" s="1"/>
  <c r="TV20" i="7" s="1"/>
  <c r="TV21" i="7" s="1"/>
  <c r="TV22" i="7" s="1"/>
  <c r="TV23" i="7" s="1"/>
  <c r="TV24" i="7" s="1"/>
  <c r="TV25" i="7" s="1"/>
  <c r="TV26" i="7" s="1"/>
  <c r="TV27" i="7" s="1"/>
  <c r="TW18" i="7"/>
  <c r="TW19" i="7" s="1"/>
  <c r="TW20" i="7" s="1"/>
  <c r="TW21" i="7" s="1"/>
  <c r="TW22" i="7" s="1"/>
  <c r="TW23" i="7" s="1"/>
  <c r="TW24" i="7" s="1"/>
  <c r="TW25" i="7" s="1"/>
  <c r="TW26" i="7" s="1"/>
  <c r="TW27" i="7" s="1"/>
  <c r="TX18" i="7"/>
  <c r="TX19" i="7" s="1"/>
  <c r="TX20" i="7" s="1"/>
  <c r="TX21" i="7" s="1"/>
  <c r="TX22" i="7" s="1"/>
  <c r="TX23" i="7" s="1"/>
  <c r="TX24" i="7" s="1"/>
  <c r="TX25" i="7" s="1"/>
  <c r="TX26" i="7" s="1"/>
  <c r="TX27" i="7" s="1"/>
  <c r="TY18" i="7"/>
  <c r="TY19" i="7" s="1"/>
  <c r="TY20" i="7" s="1"/>
  <c r="TY21" i="7" s="1"/>
  <c r="TY22" i="7" s="1"/>
  <c r="TY23" i="7" s="1"/>
  <c r="TY24" i="7" s="1"/>
  <c r="TY25" i="7" s="1"/>
  <c r="TY26" i="7" s="1"/>
  <c r="TY27" i="7" s="1"/>
  <c r="TZ18" i="7"/>
  <c r="TZ19" i="7" s="1"/>
  <c r="TZ20" i="7" s="1"/>
  <c r="TZ21" i="7" s="1"/>
  <c r="TZ22" i="7" s="1"/>
  <c r="TZ23" i="7" s="1"/>
  <c r="TZ24" i="7" s="1"/>
  <c r="TZ25" i="7" s="1"/>
  <c r="TZ26" i="7" s="1"/>
  <c r="TZ27" i="7" s="1"/>
  <c r="UA18" i="7"/>
  <c r="UA19" i="7" s="1"/>
  <c r="UA20" i="7" s="1"/>
  <c r="UA21" i="7" s="1"/>
  <c r="UA22" i="7" s="1"/>
  <c r="UA23" i="7" s="1"/>
  <c r="UA24" i="7" s="1"/>
  <c r="UA25" i="7" s="1"/>
  <c r="UA26" i="7" s="1"/>
  <c r="UA27" i="7" s="1"/>
  <c r="UB18" i="7"/>
  <c r="UB19" i="7" s="1"/>
  <c r="UB20" i="7" s="1"/>
  <c r="UB21" i="7" s="1"/>
  <c r="UB22" i="7" s="1"/>
  <c r="UB23" i="7" s="1"/>
  <c r="UB24" i="7" s="1"/>
  <c r="UB25" i="7" s="1"/>
  <c r="UB26" i="7" s="1"/>
  <c r="UB27" i="7" s="1"/>
  <c r="UC18" i="7"/>
  <c r="UC19" i="7" s="1"/>
  <c r="UC20" i="7" s="1"/>
  <c r="UC21" i="7" s="1"/>
  <c r="UC22" i="7" s="1"/>
  <c r="UC23" i="7" s="1"/>
  <c r="UC24" i="7" s="1"/>
  <c r="UC25" i="7" s="1"/>
  <c r="UC26" i="7" s="1"/>
  <c r="UC27" i="7" s="1"/>
  <c r="UD18" i="7"/>
  <c r="UD19" i="7" s="1"/>
  <c r="UD20" i="7" s="1"/>
  <c r="UD21" i="7" s="1"/>
  <c r="UD22" i="7" s="1"/>
  <c r="UD23" i="7" s="1"/>
  <c r="UD24" i="7" s="1"/>
  <c r="UD25" i="7" s="1"/>
  <c r="UD26" i="7" s="1"/>
  <c r="UD27" i="7" s="1"/>
  <c r="UE18" i="7"/>
  <c r="UE19" i="7" s="1"/>
  <c r="UE20" i="7" s="1"/>
  <c r="UE21" i="7" s="1"/>
  <c r="UE22" i="7" s="1"/>
  <c r="UE23" i="7" s="1"/>
  <c r="UE24" i="7" s="1"/>
  <c r="UE25" i="7" s="1"/>
  <c r="UE26" i="7" s="1"/>
  <c r="UE27" i="7" s="1"/>
  <c r="UF18" i="7"/>
  <c r="UF19" i="7" s="1"/>
  <c r="UF20" i="7" s="1"/>
  <c r="UF21" i="7" s="1"/>
  <c r="UF22" i="7" s="1"/>
  <c r="UF23" i="7" s="1"/>
  <c r="UF24" i="7" s="1"/>
  <c r="UF25" i="7" s="1"/>
  <c r="UF26" i="7" s="1"/>
  <c r="UF27" i="7" s="1"/>
  <c r="UG18" i="7"/>
  <c r="UG19" i="7" s="1"/>
  <c r="UG20" i="7" s="1"/>
  <c r="UG21" i="7" s="1"/>
  <c r="UG22" i="7" s="1"/>
  <c r="UG23" i="7" s="1"/>
  <c r="UG24" i="7" s="1"/>
  <c r="UG25" i="7" s="1"/>
  <c r="UG26" i="7" s="1"/>
  <c r="UG27" i="7" s="1"/>
  <c r="UH18" i="7"/>
  <c r="UH19" i="7" s="1"/>
  <c r="UH20" i="7" s="1"/>
  <c r="UH21" i="7" s="1"/>
  <c r="UH22" i="7" s="1"/>
  <c r="UH23" i="7" s="1"/>
  <c r="UH24" i="7" s="1"/>
  <c r="UH25" i="7" s="1"/>
  <c r="UH26" i="7" s="1"/>
  <c r="UH27" i="7" s="1"/>
  <c r="UI18" i="7"/>
  <c r="UI19" i="7" s="1"/>
  <c r="UI20" i="7" s="1"/>
  <c r="UI21" i="7" s="1"/>
  <c r="UI22" i="7" s="1"/>
  <c r="UI23" i="7" s="1"/>
  <c r="UI24" i="7" s="1"/>
  <c r="UI25" i="7" s="1"/>
  <c r="UI26" i="7" s="1"/>
  <c r="UI27" i="7" s="1"/>
  <c r="UJ18" i="7"/>
  <c r="UJ19" i="7" s="1"/>
  <c r="UJ20" i="7" s="1"/>
  <c r="UJ21" i="7" s="1"/>
  <c r="UJ22" i="7" s="1"/>
  <c r="UJ23" i="7" s="1"/>
  <c r="UJ24" i="7" s="1"/>
  <c r="UJ25" i="7" s="1"/>
  <c r="UJ26" i="7" s="1"/>
  <c r="UJ27" i="7" s="1"/>
  <c r="UK18" i="7"/>
  <c r="UK19" i="7" s="1"/>
  <c r="UK20" i="7" s="1"/>
  <c r="UK21" i="7" s="1"/>
  <c r="UK22" i="7" s="1"/>
  <c r="UK23" i="7" s="1"/>
  <c r="UK24" i="7" s="1"/>
  <c r="UK25" i="7" s="1"/>
  <c r="UK26" i="7" s="1"/>
  <c r="UK27" i="7" s="1"/>
  <c r="UL18" i="7"/>
  <c r="UL19" i="7" s="1"/>
  <c r="UL20" i="7" s="1"/>
  <c r="UL21" i="7" s="1"/>
  <c r="UL22" i="7" s="1"/>
  <c r="UL23" i="7" s="1"/>
  <c r="UL24" i="7" s="1"/>
  <c r="UL25" i="7" s="1"/>
  <c r="UL26" i="7" s="1"/>
  <c r="UL27" i="7" s="1"/>
  <c r="UM18" i="7"/>
  <c r="UM19" i="7" s="1"/>
  <c r="UM20" i="7" s="1"/>
  <c r="UM21" i="7" s="1"/>
  <c r="UM22" i="7" s="1"/>
  <c r="UM23" i="7" s="1"/>
  <c r="UM24" i="7" s="1"/>
  <c r="UM25" i="7" s="1"/>
  <c r="UM26" i="7" s="1"/>
  <c r="UM27" i="7" s="1"/>
  <c r="UN18" i="7"/>
  <c r="UN19" i="7" s="1"/>
  <c r="UN20" i="7" s="1"/>
  <c r="UN21" i="7" s="1"/>
  <c r="UN22" i="7" s="1"/>
  <c r="UN23" i="7" s="1"/>
  <c r="UN24" i="7" s="1"/>
  <c r="UN25" i="7" s="1"/>
  <c r="UN26" i="7" s="1"/>
  <c r="UN27" i="7" s="1"/>
  <c r="UO18" i="7"/>
  <c r="UO19" i="7" s="1"/>
  <c r="UO20" i="7" s="1"/>
  <c r="UO21" i="7" s="1"/>
  <c r="UO22" i="7" s="1"/>
  <c r="UO23" i="7" s="1"/>
  <c r="UO24" i="7" s="1"/>
  <c r="UO25" i="7" s="1"/>
  <c r="UO26" i="7" s="1"/>
  <c r="UO27" i="7" s="1"/>
  <c r="UP18" i="7"/>
  <c r="UP19" i="7" s="1"/>
  <c r="UP20" i="7" s="1"/>
  <c r="UP21" i="7" s="1"/>
  <c r="UP22" i="7" s="1"/>
  <c r="UP23" i="7" s="1"/>
  <c r="UP24" i="7" s="1"/>
  <c r="UP25" i="7" s="1"/>
  <c r="UP26" i="7" s="1"/>
  <c r="UP27" i="7" s="1"/>
  <c r="UQ18" i="7"/>
  <c r="UQ19" i="7" s="1"/>
  <c r="UQ20" i="7" s="1"/>
  <c r="UQ21" i="7" s="1"/>
  <c r="UQ22" i="7" s="1"/>
  <c r="UQ23" i="7" s="1"/>
  <c r="UQ24" i="7" s="1"/>
  <c r="UQ25" i="7" s="1"/>
  <c r="UQ26" i="7" s="1"/>
  <c r="UQ27" i="7" s="1"/>
  <c r="UR18" i="7"/>
  <c r="UR19" i="7" s="1"/>
  <c r="UR20" i="7" s="1"/>
  <c r="UR21" i="7" s="1"/>
  <c r="UR22" i="7" s="1"/>
  <c r="UR23" i="7" s="1"/>
  <c r="UR24" i="7" s="1"/>
  <c r="UR25" i="7" s="1"/>
  <c r="UR26" i="7" s="1"/>
  <c r="UR27" i="7" s="1"/>
  <c r="US18" i="7"/>
  <c r="US19" i="7" s="1"/>
  <c r="US20" i="7" s="1"/>
  <c r="US21" i="7" s="1"/>
  <c r="US22" i="7" s="1"/>
  <c r="US23" i="7" s="1"/>
  <c r="US24" i="7" s="1"/>
  <c r="US25" i="7" s="1"/>
  <c r="US26" i="7" s="1"/>
  <c r="US27" i="7" s="1"/>
  <c r="UT18" i="7"/>
  <c r="UT19" i="7" s="1"/>
  <c r="UT20" i="7" s="1"/>
  <c r="UT21" i="7" s="1"/>
  <c r="UT22" i="7" s="1"/>
  <c r="UT23" i="7" s="1"/>
  <c r="UT24" i="7" s="1"/>
  <c r="UT25" i="7" s="1"/>
  <c r="UT26" i="7" s="1"/>
  <c r="UT27" i="7" s="1"/>
  <c r="UU18" i="7"/>
  <c r="UU19" i="7" s="1"/>
  <c r="UU20" i="7" s="1"/>
  <c r="UU21" i="7" s="1"/>
  <c r="UU22" i="7" s="1"/>
  <c r="UU23" i="7" s="1"/>
  <c r="UU24" i="7" s="1"/>
  <c r="UU25" i="7" s="1"/>
  <c r="UU26" i="7" s="1"/>
  <c r="UU27" i="7" s="1"/>
  <c r="UV18" i="7"/>
  <c r="UV19" i="7" s="1"/>
  <c r="UV20" i="7" s="1"/>
  <c r="UV21" i="7" s="1"/>
  <c r="UV22" i="7" s="1"/>
  <c r="UV23" i="7" s="1"/>
  <c r="UV24" i="7" s="1"/>
  <c r="UV25" i="7" s="1"/>
  <c r="UV26" i="7" s="1"/>
  <c r="UV27" i="7" s="1"/>
  <c r="UW18" i="7"/>
  <c r="UW19" i="7" s="1"/>
  <c r="UW20" i="7" s="1"/>
  <c r="UW21" i="7" s="1"/>
  <c r="UW22" i="7" s="1"/>
  <c r="UW23" i="7" s="1"/>
  <c r="UW24" i="7" s="1"/>
  <c r="UW25" i="7" s="1"/>
  <c r="UW26" i="7" s="1"/>
  <c r="UW27" i="7" s="1"/>
  <c r="UX18" i="7"/>
  <c r="UX19" i="7" s="1"/>
  <c r="UX20" i="7" s="1"/>
  <c r="UX21" i="7" s="1"/>
  <c r="UX22" i="7" s="1"/>
  <c r="UX23" i="7" s="1"/>
  <c r="UX24" i="7" s="1"/>
  <c r="UX25" i="7" s="1"/>
  <c r="UX26" i="7" s="1"/>
  <c r="UX27" i="7" s="1"/>
  <c r="UY18" i="7"/>
  <c r="UY19" i="7" s="1"/>
  <c r="UY20" i="7" s="1"/>
  <c r="UY21" i="7" s="1"/>
  <c r="UY22" i="7" s="1"/>
  <c r="UY23" i="7" s="1"/>
  <c r="UY24" i="7" s="1"/>
  <c r="UY25" i="7" s="1"/>
  <c r="UY26" i="7" s="1"/>
  <c r="UY27" i="7" s="1"/>
  <c r="UZ18" i="7"/>
  <c r="UZ19" i="7" s="1"/>
  <c r="UZ20" i="7" s="1"/>
  <c r="UZ21" i="7" s="1"/>
  <c r="UZ22" i="7" s="1"/>
  <c r="UZ23" i="7" s="1"/>
  <c r="UZ24" i="7" s="1"/>
  <c r="UZ25" i="7" s="1"/>
  <c r="UZ26" i="7" s="1"/>
  <c r="UZ27" i="7" s="1"/>
  <c r="VA18" i="7"/>
  <c r="VA19" i="7" s="1"/>
  <c r="VA20" i="7" s="1"/>
  <c r="VA21" i="7" s="1"/>
  <c r="VA22" i="7" s="1"/>
  <c r="VA23" i="7" s="1"/>
  <c r="VA24" i="7" s="1"/>
  <c r="VA25" i="7" s="1"/>
  <c r="VA26" i="7" s="1"/>
  <c r="VA27" i="7" s="1"/>
  <c r="VB18" i="7"/>
  <c r="VB19" i="7" s="1"/>
  <c r="VB20" i="7" s="1"/>
  <c r="VB21" i="7" s="1"/>
  <c r="VB22" i="7" s="1"/>
  <c r="VB23" i="7" s="1"/>
  <c r="VB24" i="7" s="1"/>
  <c r="VB25" i="7" s="1"/>
  <c r="VB26" i="7" s="1"/>
  <c r="VB27" i="7" s="1"/>
  <c r="VC18" i="7"/>
  <c r="VC19" i="7" s="1"/>
  <c r="VC20" i="7" s="1"/>
  <c r="VC21" i="7" s="1"/>
  <c r="VC22" i="7" s="1"/>
  <c r="VC23" i="7" s="1"/>
  <c r="VC24" i="7" s="1"/>
  <c r="VC25" i="7" s="1"/>
  <c r="VC26" i="7" s="1"/>
  <c r="VC27" i="7" s="1"/>
  <c r="VD18" i="7"/>
  <c r="VD19" i="7" s="1"/>
  <c r="VD20" i="7" s="1"/>
  <c r="VD21" i="7" s="1"/>
  <c r="VD22" i="7" s="1"/>
  <c r="VD23" i="7" s="1"/>
  <c r="VD24" i="7" s="1"/>
  <c r="VD25" i="7" s="1"/>
  <c r="VD26" i="7" s="1"/>
  <c r="VD27" i="7" s="1"/>
  <c r="VE18" i="7"/>
  <c r="VE19" i="7" s="1"/>
  <c r="VE20" i="7" s="1"/>
  <c r="VE21" i="7" s="1"/>
  <c r="VE22" i="7" s="1"/>
  <c r="VE23" i="7" s="1"/>
  <c r="VE24" i="7" s="1"/>
  <c r="VE25" i="7" s="1"/>
  <c r="VE26" i="7" s="1"/>
  <c r="VE27" i="7" s="1"/>
  <c r="VF18" i="7"/>
  <c r="VF19" i="7" s="1"/>
  <c r="VF20" i="7" s="1"/>
  <c r="VF21" i="7" s="1"/>
  <c r="VF22" i="7" s="1"/>
  <c r="VF23" i="7" s="1"/>
  <c r="VF24" i="7" s="1"/>
  <c r="VF25" i="7" s="1"/>
  <c r="VF26" i="7" s="1"/>
  <c r="VF27" i="7" s="1"/>
  <c r="VG18" i="7"/>
  <c r="VG19" i="7" s="1"/>
  <c r="VG20" i="7" s="1"/>
  <c r="VG21" i="7" s="1"/>
  <c r="VG22" i="7" s="1"/>
  <c r="VG23" i="7" s="1"/>
  <c r="VG24" i="7" s="1"/>
  <c r="VG25" i="7" s="1"/>
  <c r="VG26" i="7" s="1"/>
  <c r="VG27" i="7" s="1"/>
  <c r="VH18" i="7"/>
  <c r="VH19" i="7" s="1"/>
  <c r="VH20" i="7" s="1"/>
  <c r="VH21" i="7" s="1"/>
  <c r="VH22" i="7" s="1"/>
  <c r="VH23" i="7" s="1"/>
  <c r="VH24" i="7" s="1"/>
  <c r="VH25" i="7" s="1"/>
  <c r="VH26" i="7" s="1"/>
  <c r="VH27" i="7" s="1"/>
  <c r="VI18" i="7"/>
  <c r="VI19" i="7" s="1"/>
  <c r="VI20" i="7" s="1"/>
  <c r="VI21" i="7" s="1"/>
  <c r="VI22" i="7" s="1"/>
  <c r="VI23" i="7" s="1"/>
  <c r="VI24" i="7" s="1"/>
  <c r="VI25" i="7" s="1"/>
  <c r="VI26" i="7" s="1"/>
  <c r="VI27" i="7" s="1"/>
  <c r="VJ18" i="7"/>
  <c r="VJ19" i="7" s="1"/>
  <c r="VJ20" i="7" s="1"/>
  <c r="VJ21" i="7" s="1"/>
  <c r="VJ22" i="7" s="1"/>
  <c r="VJ23" i="7" s="1"/>
  <c r="VJ24" i="7" s="1"/>
  <c r="VJ25" i="7" s="1"/>
  <c r="VJ26" i="7" s="1"/>
  <c r="VJ27" i="7" s="1"/>
  <c r="VK18" i="7"/>
  <c r="VK19" i="7" s="1"/>
  <c r="VK20" i="7" s="1"/>
  <c r="VK21" i="7" s="1"/>
  <c r="VK22" i="7" s="1"/>
  <c r="VK23" i="7" s="1"/>
  <c r="VK24" i="7" s="1"/>
  <c r="VK25" i="7" s="1"/>
  <c r="VK26" i="7" s="1"/>
  <c r="VK27" i="7" s="1"/>
  <c r="VL18" i="7"/>
  <c r="VL19" i="7" s="1"/>
  <c r="VL20" i="7" s="1"/>
  <c r="VL21" i="7" s="1"/>
  <c r="VL22" i="7" s="1"/>
  <c r="VL23" i="7" s="1"/>
  <c r="VL24" i="7" s="1"/>
  <c r="VL25" i="7" s="1"/>
  <c r="VL26" i="7" s="1"/>
  <c r="VL27" i="7" s="1"/>
  <c r="VM18" i="7"/>
  <c r="VM19" i="7" s="1"/>
  <c r="VM20" i="7" s="1"/>
  <c r="VM21" i="7" s="1"/>
  <c r="VM22" i="7" s="1"/>
  <c r="VM23" i="7" s="1"/>
  <c r="VM24" i="7" s="1"/>
  <c r="VM25" i="7" s="1"/>
  <c r="VM26" i="7" s="1"/>
  <c r="VM27" i="7" s="1"/>
  <c r="VN18" i="7"/>
  <c r="VN19" i="7" s="1"/>
  <c r="VN20" i="7" s="1"/>
  <c r="VN21" i="7" s="1"/>
  <c r="VN22" i="7" s="1"/>
  <c r="VN23" i="7" s="1"/>
  <c r="VN24" i="7" s="1"/>
  <c r="VN25" i="7" s="1"/>
  <c r="VN26" i="7" s="1"/>
  <c r="VN27" i="7" s="1"/>
  <c r="VO18" i="7"/>
  <c r="VO19" i="7" s="1"/>
  <c r="VO20" i="7" s="1"/>
  <c r="VO21" i="7" s="1"/>
  <c r="VO22" i="7" s="1"/>
  <c r="VO23" i="7" s="1"/>
  <c r="VO24" i="7" s="1"/>
  <c r="VO25" i="7" s="1"/>
  <c r="VO26" i="7" s="1"/>
  <c r="VO27" i="7" s="1"/>
  <c r="VP18" i="7"/>
  <c r="VP19" i="7" s="1"/>
  <c r="VP20" i="7" s="1"/>
  <c r="VP21" i="7" s="1"/>
  <c r="VP22" i="7" s="1"/>
  <c r="VP23" i="7" s="1"/>
  <c r="VP24" i="7" s="1"/>
  <c r="VP25" i="7" s="1"/>
  <c r="VP26" i="7" s="1"/>
  <c r="VP27" i="7" s="1"/>
  <c r="VQ18" i="7"/>
  <c r="VQ19" i="7" s="1"/>
  <c r="VQ20" i="7" s="1"/>
  <c r="VQ21" i="7" s="1"/>
  <c r="VQ22" i="7" s="1"/>
  <c r="VQ23" i="7" s="1"/>
  <c r="VQ24" i="7" s="1"/>
  <c r="VQ25" i="7" s="1"/>
  <c r="VQ26" i="7" s="1"/>
  <c r="VQ27" i="7" s="1"/>
  <c r="VR18" i="7"/>
  <c r="VR19" i="7" s="1"/>
  <c r="VR20" i="7" s="1"/>
  <c r="VR21" i="7" s="1"/>
  <c r="VR22" i="7" s="1"/>
  <c r="VR23" i="7" s="1"/>
  <c r="VR24" i="7" s="1"/>
  <c r="VR25" i="7" s="1"/>
  <c r="VR26" i="7" s="1"/>
  <c r="VR27" i="7" s="1"/>
  <c r="VS18" i="7"/>
  <c r="VS19" i="7" s="1"/>
  <c r="VS20" i="7" s="1"/>
  <c r="VS21" i="7" s="1"/>
  <c r="VS22" i="7" s="1"/>
  <c r="VS23" i="7" s="1"/>
  <c r="VS24" i="7" s="1"/>
  <c r="VS25" i="7" s="1"/>
  <c r="VS26" i="7" s="1"/>
  <c r="VS27" i="7" s="1"/>
  <c r="VT18" i="7"/>
  <c r="VT19" i="7" s="1"/>
  <c r="VT20" i="7" s="1"/>
  <c r="VT21" i="7" s="1"/>
  <c r="VT22" i="7" s="1"/>
  <c r="VT23" i="7" s="1"/>
  <c r="VT24" i="7" s="1"/>
  <c r="VT25" i="7" s="1"/>
  <c r="VT26" i="7" s="1"/>
  <c r="VT27" i="7" s="1"/>
  <c r="VU18" i="7"/>
  <c r="VU19" i="7" s="1"/>
  <c r="VU20" i="7" s="1"/>
  <c r="VU21" i="7" s="1"/>
  <c r="VU22" i="7" s="1"/>
  <c r="VU23" i="7" s="1"/>
  <c r="VU24" i="7" s="1"/>
  <c r="VU25" i="7" s="1"/>
  <c r="VU26" i="7" s="1"/>
  <c r="VU27" i="7" s="1"/>
  <c r="VV18" i="7"/>
  <c r="VV19" i="7" s="1"/>
  <c r="VV20" i="7" s="1"/>
  <c r="VV21" i="7" s="1"/>
  <c r="VV22" i="7" s="1"/>
  <c r="VV23" i="7" s="1"/>
  <c r="VV24" i="7" s="1"/>
  <c r="VV25" i="7" s="1"/>
  <c r="VV26" i="7" s="1"/>
  <c r="VV27" i="7" s="1"/>
  <c r="VW18" i="7"/>
  <c r="VW19" i="7" s="1"/>
  <c r="VW20" i="7" s="1"/>
  <c r="VW21" i="7" s="1"/>
  <c r="VW22" i="7" s="1"/>
  <c r="VW23" i="7" s="1"/>
  <c r="VW24" i="7" s="1"/>
  <c r="VW25" i="7" s="1"/>
  <c r="VW26" i="7" s="1"/>
  <c r="VW27" i="7" s="1"/>
  <c r="VX18" i="7"/>
  <c r="VX19" i="7" s="1"/>
  <c r="VX20" i="7" s="1"/>
  <c r="VX21" i="7" s="1"/>
  <c r="VX22" i="7" s="1"/>
  <c r="VX23" i="7" s="1"/>
  <c r="VX24" i="7" s="1"/>
  <c r="VX25" i="7" s="1"/>
  <c r="VX26" i="7" s="1"/>
  <c r="VX27" i="7" s="1"/>
  <c r="VY18" i="7"/>
  <c r="VY19" i="7" s="1"/>
  <c r="VY20" i="7" s="1"/>
  <c r="VY21" i="7" s="1"/>
  <c r="VY22" i="7" s="1"/>
  <c r="VY23" i="7" s="1"/>
  <c r="VY24" i="7" s="1"/>
  <c r="VY25" i="7" s="1"/>
  <c r="VY26" i="7" s="1"/>
  <c r="VY27" i="7" s="1"/>
  <c r="VZ18" i="7"/>
  <c r="VZ19" i="7" s="1"/>
  <c r="VZ20" i="7" s="1"/>
  <c r="VZ21" i="7" s="1"/>
  <c r="VZ22" i="7" s="1"/>
  <c r="VZ23" i="7" s="1"/>
  <c r="VZ24" i="7" s="1"/>
  <c r="VZ25" i="7" s="1"/>
  <c r="VZ26" i="7" s="1"/>
  <c r="VZ27" i="7" s="1"/>
  <c r="WA18" i="7"/>
  <c r="WA19" i="7" s="1"/>
  <c r="WA20" i="7" s="1"/>
  <c r="WA21" i="7" s="1"/>
  <c r="WA22" i="7" s="1"/>
  <c r="WA23" i="7" s="1"/>
  <c r="WA24" i="7" s="1"/>
  <c r="WA25" i="7" s="1"/>
  <c r="WA26" i="7" s="1"/>
  <c r="WA27" i="7" s="1"/>
  <c r="WB18" i="7"/>
  <c r="WB19" i="7" s="1"/>
  <c r="WB20" i="7" s="1"/>
  <c r="WB21" i="7" s="1"/>
  <c r="WB22" i="7" s="1"/>
  <c r="WB23" i="7" s="1"/>
  <c r="WB24" i="7" s="1"/>
  <c r="WB25" i="7" s="1"/>
  <c r="WB26" i="7" s="1"/>
  <c r="WB27" i="7" s="1"/>
  <c r="WC18" i="7"/>
  <c r="WC19" i="7" s="1"/>
  <c r="WC20" i="7" s="1"/>
  <c r="WC21" i="7" s="1"/>
  <c r="WC22" i="7" s="1"/>
  <c r="WC23" i="7" s="1"/>
  <c r="WC24" i="7" s="1"/>
  <c r="WC25" i="7" s="1"/>
  <c r="WC26" i="7" s="1"/>
  <c r="WC27" i="7" s="1"/>
  <c r="WD18" i="7"/>
  <c r="WD19" i="7" s="1"/>
  <c r="WD20" i="7" s="1"/>
  <c r="WD21" i="7" s="1"/>
  <c r="WD22" i="7" s="1"/>
  <c r="WD23" i="7" s="1"/>
  <c r="WD24" i="7" s="1"/>
  <c r="WD25" i="7" s="1"/>
  <c r="WD26" i="7" s="1"/>
  <c r="WD27" i="7" s="1"/>
  <c r="WE18" i="7"/>
  <c r="WE19" i="7" s="1"/>
  <c r="WE20" i="7" s="1"/>
  <c r="WE21" i="7" s="1"/>
  <c r="WE22" i="7" s="1"/>
  <c r="WE23" i="7" s="1"/>
  <c r="WE24" i="7" s="1"/>
  <c r="WE25" i="7" s="1"/>
  <c r="WE26" i="7" s="1"/>
  <c r="WE27" i="7" s="1"/>
  <c r="WF18" i="7"/>
  <c r="WF19" i="7" s="1"/>
  <c r="WF20" i="7" s="1"/>
  <c r="WF21" i="7" s="1"/>
  <c r="WF22" i="7" s="1"/>
  <c r="WF23" i="7" s="1"/>
  <c r="WF24" i="7" s="1"/>
  <c r="WF25" i="7" s="1"/>
  <c r="WF26" i="7" s="1"/>
  <c r="WF27" i="7" s="1"/>
  <c r="WG18" i="7"/>
  <c r="WG19" i="7" s="1"/>
  <c r="WG20" i="7" s="1"/>
  <c r="WG21" i="7" s="1"/>
  <c r="WG22" i="7" s="1"/>
  <c r="WG23" i="7" s="1"/>
  <c r="WG24" i="7" s="1"/>
  <c r="WG25" i="7" s="1"/>
  <c r="WG26" i="7" s="1"/>
  <c r="WG27" i="7" s="1"/>
  <c r="WH18" i="7"/>
  <c r="WH19" i="7" s="1"/>
  <c r="WH20" i="7" s="1"/>
  <c r="WH21" i="7" s="1"/>
  <c r="WH22" i="7" s="1"/>
  <c r="WH23" i="7" s="1"/>
  <c r="WH24" i="7" s="1"/>
  <c r="WH25" i="7" s="1"/>
  <c r="WH26" i="7" s="1"/>
  <c r="WH27" i="7" s="1"/>
  <c r="WI18" i="7"/>
  <c r="WI19" i="7" s="1"/>
  <c r="WI20" i="7" s="1"/>
  <c r="WI21" i="7" s="1"/>
  <c r="WI22" i="7" s="1"/>
  <c r="WI23" i="7" s="1"/>
  <c r="WI24" i="7" s="1"/>
  <c r="WI25" i="7" s="1"/>
  <c r="WI26" i="7" s="1"/>
  <c r="WI27" i="7" s="1"/>
  <c r="WJ18" i="7"/>
  <c r="WJ19" i="7" s="1"/>
  <c r="WJ20" i="7" s="1"/>
  <c r="WJ21" i="7" s="1"/>
  <c r="WJ22" i="7" s="1"/>
  <c r="WJ23" i="7" s="1"/>
  <c r="WJ24" i="7" s="1"/>
  <c r="WJ25" i="7" s="1"/>
  <c r="WJ26" i="7" s="1"/>
  <c r="WJ27" i="7" s="1"/>
  <c r="WK18" i="7"/>
  <c r="WK19" i="7" s="1"/>
  <c r="WK20" i="7" s="1"/>
  <c r="WK21" i="7" s="1"/>
  <c r="WK22" i="7" s="1"/>
  <c r="WK23" i="7" s="1"/>
  <c r="WK24" i="7" s="1"/>
  <c r="WK25" i="7" s="1"/>
  <c r="WK26" i="7" s="1"/>
  <c r="WK27" i="7" s="1"/>
  <c r="WL18" i="7"/>
  <c r="WL19" i="7" s="1"/>
  <c r="WL20" i="7" s="1"/>
  <c r="WL21" i="7" s="1"/>
  <c r="WL22" i="7" s="1"/>
  <c r="WL23" i="7" s="1"/>
  <c r="WL24" i="7" s="1"/>
  <c r="WL25" i="7" s="1"/>
  <c r="WL26" i="7" s="1"/>
  <c r="WL27" i="7" s="1"/>
  <c r="WM18" i="7"/>
  <c r="WM19" i="7" s="1"/>
  <c r="WM20" i="7" s="1"/>
  <c r="WM21" i="7" s="1"/>
  <c r="WM22" i="7" s="1"/>
  <c r="WM23" i="7" s="1"/>
  <c r="WM24" i="7" s="1"/>
  <c r="WM25" i="7" s="1"/>
  <c r="WM26" i="7" s="1"/>
  <c r="WM27" i="7" s="1"/>
  <c r="WN18" i="7"/>
  <c r="WN19" i="7" s="1"/>
  <c r="WN20" i="7" s="1"/>
  <c r="WN21" i="7" s="1"/>
  <c r="WN22" i="7" s="1"/>
  <c r="WN23" i="7" s="1"/>
  <c r="WN24" i="7" s="1"/>
  <c r="WN25" i="7" s="1"/>
  <c r="WN26" i="7" s="1"/>
  <c r="WN27" i="7" s="1"/>
  <c r="WO18" i="7"/>
  <c r="WO19" i="7" s="1"/>
  <c r="WO20" i="7" s="1"/>
  <c r="WO21" i="7" s="1"/>
  <c r="WO22" i="7" s="1"/>
  <c r="WO23" i="7" s="1"/>
  <c r="WO24" i="7" s="1"/>
  <c r="WO25" i="7" s="1"/>
  <c r="WO26" i="7" s="1"/>
  <c r="WO27" i="7" s="1"/>
  <c r="WP18" i="7"/>
  <c r="WP19" i="7" s="1"/>
  <c r="WP20" i="7" s="1"/>
  <c r="WP21" i="7" s="1"/>
  <c r="WP22" i="7" s="1"/>
  <c r="WP23" i="7" s="1"/>
  <c r="WP24" i="7" s="1"/>
  <c r="WP25" i="7" s="1"/>
  <c r="WP26" i="7" s="1"/>
  <c r="WP27" i="7" s="1"/>
  <c r="WQ18" i="7"/>
  <c r="WQ19" i="7" s="1"/>
  <c r="WQ20" i="7" s="1"/>
  <c r="WQ21" i="7" s="1"/>
  <c r="WQ22" i="7" s="1"/>
  <c r="WQ23" i="7" s="1"/>
  <c r="WQ24" i="7" s="1"/>
  <c r="WQ25" i="7" s="1"/>
  <c r="WQ26" i="7" s="1"/>
  <c r="WQ27" i="7" s="1"/>
  <c r="WR18" i="7"/>
  <c r="WR19" i="7" s="1"/>
  <c r="WR20" i="7" s="1"/>
  <c r="WR21" i="7" s="1"/>
  <c r="WR22" i="7" s="1"/>
  <c r="WR23" i="7" s="1"/>
  <c r="WR24" i="7" s="1"/>
  <c r="WR25" i="7" s="1"/>
  <c r="WR26" i="7" s="1"/>
  <c r="WR27" i="7" s="1"/>
  <c r="WS18" i="7"/>
  <c r="WS19" i="7" s="1"/>
  <c r="WS20" i="7" s="1"/>
  <c r="WS21" i="7" s="1"/>
  <c r="WS22" i="7" s="1"/>
  <c r="WS23" i="7" s="1"/>
  <c r="WS24" i="7" s="1"/>
  <c r="WS25" i="7" s="1"/>
  <c r="WS26" i="7" s="1"/>
  <c r="WS27" i="7" s="1"/>
  <c r="WT18" i="7"/>
  <c r="WT19" i="7" s="1"/>
  <c r="WT20" i="7" s="1"/>
  <c r="WT21" i="7" s="1"/>
  <c r="WT22" i="7" s="1"/>
  <c r="WT23" i="7" s="1"/>
  <c r="WT24" i="7" s="1"/>
  <c r="WT25" i="7" s="1"/>
  <c r="WT26" i="7" s="1"/>
  <c r="WT27" i="7" s="1"/>
  <c r="WU18" i="7"/>
  <c r="WU19" i="7" s="1"/>
  <c r="WU20" i="7" s="1"/>
  <c r="WU21" i="7" s="1"/>
  <c r="WU22" i="7" s="1"/>
  <c r="WU23" i="7" s="1"/>
  <c r="WU24" i="7" s="1"/>
  <c r="WU25" i="7" s="1"/>
  <c r="WU26" i="7" s="1"/>
  <c r="WU27" i="7" s="1"/>
  <c r="WV18" i="7"/>
  <c r="WV19" i="7" s="1"/>
  <c r="WV20" i="7" s="1"/>
  <c r="WV21" i="7" s="1"/>
  <c r="WV22" i="7" s="1"/>
  <c r="WV23" i="7" s="1"/>
  <c r="WV24" i="7" s="1"/>
  <c r="WV25" i="7" s="1"/>
  <c r="WV26" i="7" s="1"/>
  <c r="WV27" i="7" s="1"/>
  <c r="WW18" i="7"/>
  <c r="WW19" i="7" s="1"/>
  <c r="WW20" i="7" s="1"/>
  <c r="WW21" i="7" s="1"/>
  <c r="WW22" i="7" s="1"/>
  <c r="WW23" i="7" s="1"/>
  <c r="WW24" i="7" s="1"/>
  <c r="WW25" i="7" s="1"/>
  <c r="WW26" i="7" s="1"/>
  <c r="WW27" i="7" s="1"/>
  <c r="WX18" i="7"/>
  <c r="WX19" i="7" s="1"/>
  <c r="WX20" i="7" s="1"/>
  <c r="WX21" i="7" s="1"/>
  <c r="WX22" i="7" s="1"/>
  <c r="WX23" i="7" s="1"/>
  <c r="WX24" i="7" s="1"/>
  <c r="WX25" i="7" s="1"/>
  <c r="WX26" i="7" s="1"/>
  <c r="WX27" i="7" s="1"/>
  <c r="WY18" i="7"/>
  <c r="WY19" i="7" s="1"/>
  <c r="WY20" i="7" s="1"/>
  <c r="WY21" i="7" s="1"/>
  <c r="WY22" i="7" s="1"/>
  <c r="WY23" i="7" s="1"/>
  <c r="WY24" i="7" s="1"/>
  <c r="WY25" i="7" s="1"/>
  <c r="WY26" i="7" s="1"/>
  <c r="WY27" i="7" s="1"/>
  <c r="WZ18" i="7"/>
  <c r="WZ19" i="7" s="1"/>
  <c r="WZ20" i="7" s="1"/>
  <c r="WZ21" i="7" s="1"/>
  <c r="WZ22" i="7" s="1"/>
  <c r="WZ23" i="7" s="1"/>
  <c r="WZ24" i="7" s="1"/>
  <c r="WZ25" i="7" s="1"/>
  <c r="WZ26" i="7" s="1"/>
  <c r="WZ27" i="7" s="1"/>
  <c r="XA18" i="7"/>
  <c r="XA19" i="7" s="1"/>
  <c r="XA20" i="7" s="1"/>
  <c r="XA21" i="7" s="1"/>
  <c r="XA22" i="7" s="1"/>
  <c r="XA23" i="7" s="1"/>
  <c r="XA24" i="7" s="1"/>
  <c r="XA25" i="7" s="1"/>
  <c r="XA26" i="7" s="1"/>
  <c r="XA27" i="7" s="1"/>
  <c r="XB18" i="7"/>
  <c r="XB19" i="7" s="1"/>
  <c r="XB20" i="7" s="1"/>
  <c r="XB21" i="7" s="1"/>
  <c r="XB22" i="7" s="1"/>
  <c r="XB23" i="7" s="1"/>
  <c r="XB24" i="7" s="1"/>
  <c r="XB25" i="7" s="1"/>
  <c r="XB26" i="7" s="1"/>
  <c r="XB27" i="7" s="1"/>
  <c r="XC18" i="7"/>
  <c r="XC19" i="7" s="1"/>
  <c r="XC20" i="7" s="1"/>
  <c r="XC21" i="7" s="1"/>
  <c r="XC22" i="7" s="1"/>
  <c r="XC23" i="7" s="1"/>
  <c r="XC24" i="7" s="1"/>
  <c r="XC25" i="7" s="1"/>
  <c r="XC26" i="7" s="1"/>
  <c r="XC27" i="7" s="1"/>
  <c r="XD18" i="7"/>
  <c r="XD19" i="7" s="1"/>
  <c r="XD20" i="7" s="1"/>
  <c r="XD21" i="7" s="1"/>
  <c r="XD22" i="7" s="1"/>
  <c r="XD23" i="7" s="1"/>
  <c r="XD24" i="7" s="1"/>
  <c r="XD25" i="7" s="1"/>
  <c r="XD26" i="7" s="1"/>
  <c r="XD27" i="7" s="1"/>
  <c r="XE18" i="7"/>
  <c r="XE19" i="7" s="1"/>
  <c r="XE20" i="7" s="1"/>
  <c r="XE21" i="7" s="1"/>
  <c r="XE22" i="7" s="1"/>
  <c r="XE23" i="7" s="1"/>
  <c r="XE24" i="7" s="1"/>
  <c r="XE25" i="7" s="1"/>
  <c r="XE26" i="7" s="1"/>
  <c r="XE27" i="7" s="1"/>
  <c r="XF18" i="7"/>
  <c r="XF19" i="7" s="1"/>
  <c r="XF20" i="7" s="1"/>
  <c r="XF21" i="7" s="1"/>
  <c r="XF22" i="7" s="1"/>
  <c r="XF23" i="7" s="1"/>
  <c r="XF24" i="7" s="1"/>
  <c r="XF25" i="7" s="1"/>
  <c r="XF26" i="7" s="1"/>
  <c r="XF27" i="7" s="1"/>
  <c r="XG18" i="7"/>
  <c r="XG19" i="7" s="1"/>
  <c r="XG20" i="7" s="1"/>
  <c r="XG21" i="7" s="1"/>
  <c r="XG22" i="7" s="1"/>
  <c r="XG23" i="7" s="1"/>
  <c r="XG24" i="7" s="1"/>
  <c r="XG25" i="7" s="1"/>
  <c r="XG26" i="7" s="1"/>
  <c r="XG27" i="7" s="1"/>
  <c r="XH18" i="7"/>
  <c r="XH19" i="7" s="1"/>
  <c r="XH20" i="7" s="1"/>
  <c r="XH21" i="7" s="1"/>
  <c r="XH22" i="7" s="1"/>
  <c r="XH23" i="7" s="1"/>
  <c r="XH24" i="7" s="1"/>
  <c r="XH25" i="7" s="1"/>
  <c r="XH26" i="7" s="1"/>
  <c r="XH27" i="7" s="1"/>
  <c r="XI18" i="7"/>
  <c r="XI19" i="7" s="1"/>
  <c r="XI20" i="7" s="1"/>
  <c r="XI21" i="7" s="1"/>
  <c r="XI22" i="7" s="1"/>
  <c r="XI23" i="7" s="1"/>
  <c r="XI24" i="7" s="1"/>
  <c r="XI25" i="7" s="1"/>
  <c r="XI26" i="7" s="1"/>
  <c r="XI27" i="7" s="1"/>
  <c r="XJ18" i="7"/>
  <c r="XJ19" i="7" s="1"/>
  <c r="XJ20" i="7" s="1"/>
  <c r="XJ21" i="7" s="1"/>
  <c r="XJ22" i="7" s="1"/>
  <c r="XJ23" i="7" s="1"/>
  <c r="XJ24" i="7" s="1"/>
  <c r="XJ25" i="7" s="1"/>
  <c r="XJ26" i="7" s="1"/>
  <c r="XJ27" i="7" s="1"/>
  <c r="XK18" i="7"/>
  <c r="XK19" i="7" s="1"/>
  <c r="XK20" i="7" s="1"/>
  <c r="XK21" i="7" s="1"/>
  <c r="XK22" i="7" s="1"/>
  <c r="XK23" i="7" s="1"/>
  <c r="XK24" i="7" s="1"/>
  <c r="XK25" i="7" s="1"/>
  <c r="XK26" i="7" s="1"/>
  <c r="XK27" i="7" s="1"/>
  <c r="XL18" i="7"/>
  <c r="XL19" i="7" s="1"/>
  <c r="XL20" i="7" s="1"/>
  <c r="XL21" i="7" s="1"/>
  <c r="XL22" i="7" s="1"/>
  <c r="XL23" i="7" s="1"/>
  <c r="XL24" i="7" s="1"/>
  <c r="XL25" i="7" s="1"/>
  <c r="XL26" i="7" s="1"/>
  <c r="XL27" i="7" s="1"/>
  <c r="XM18" i="7"/>
  <c r="XM19" i="7" s="1"/>
  <c r="XM20" i="7" s="1"/>
  <c r="XM21" i="7" s="1"/>
  <c r="XM22" i="7" s="1"/>
  <c r="XM23" i="7" s="1"/>
  <c r="XM24" i="7" s="1"/>
  <c r="XM25" i="7" s="1"/>
  <c r="XM26" i="7" s="1"/>
  <c r="XM27" i="7" s="1"/>
  <c r="XN18" i="7"/>
  <c r="XN19" i="7" s="1"/>
  <c r="XN20" i="7" s="1"/>
  <c r="XN21" i="7" s="1"/>
  <c r="XN22" i="7" s="1"/>
  <c r="XN23" i="7" s="1"/>
  <c r="XN24" i="7" s="1"/>
  <c r="XN25" i="7" s="1"/>
  <c r="XN26" i="7" s="1"/>
  <c r="XN27" i="7" s="1"/>
  <c r="XO18" i="7"/>
  <c r="XO19" i="7" s="1"/>
  <c r="XO20" i="7" s="1"/>
  <c r="XO21" i="7" s="1"/>
  <c r="XO22" i="7" s="1"/>
  <c r="XO23" i="7" s="1"/>
  <c r="XO24" i="7" s="1"/>
  <c r="XO25" i="7" s="1"/>
  <c r="XO26" i="7" s="1"/>
  <c r="XO27" i="7" s="1"/>
  <c r="XP18" i="7"/>
  <c r="XP19" i="7" s="1"/>
  <c r="XP20" i="7" s="1"/>
  <c r="XP21" i="7" s="1"/>
  <c r="XP22" i="7" s="1"/>
  <c r="XP23" i="7" s="1"/>
  <c r="XP24" i="7" s="1"/>
  <c r="XP25" i="7" s="1"/>
  <c r="XP26" i="7" s="1"/>
  <c r="XP27" i="7" s="1"/>
  <c r="XQ18" i="7"/>
  <c r="XQ19" i="7" s="1"/>
  <c r="XQ20" i="7" s="1"/>
  <c r="XQ21" i="7" s="1"/>
  <c r="XQ22" i="7" s="1"/>
  <c r="XQ23" i="7" s="1"/>
  <c r="XQ24" i="7" s="1"/>
  <c r="XQ25" i="7" s="1"/>
  <c r="XQ26" i="7" s="1"/>
  <c r="XQ27" i="7" s="1"/>
  <c r="XR18" i="7"/>
  <c r="XR19" i="7" s="1"/>
  <c r="XR20" i="7" s="1"/>
  <c r="XR21" i="7" s="1"/>
  <c r="XR22" i="7" s="1"/>
  <c r="XR23" i="7" s="1"/>
  <c r="XR24" i="7" s="1"/>
  <c r="XR25" i="7" s="1"/>
  <c r="XR26" i="7" s="1"/>
  <c r="XR27" i="7" s="1"/>
  <c r="XS18" i="7"/>
  <c r="XS19" i="7" s="1"/>
  <c r="XS20" i="7" s="1"/>
  <c r="XS21" i="7" s="1"/>
  <c r="XS22" i="7" s="1"/>
  <c r="XS23" i="7" s="1"/>
  <c r="XS24" i="7" s="1"/>
  <c r="XS25" i="7" s="1"/>
  <c r="XS26" i="7" s="1"/>
  <c r="XS27" i="7" s="1"/>
  <c r="XT18" i="7"/>
  <c r="XT19" i="7" s="1"/>
  <c r="XT20" i="7" s="1"/>
  <c r="XT21" i="7" s="1"/>
  <c r="XT22" i="7" s="1"/>
  <c r="XT23" i="7" s="1"/>
  <c r="XT24" i="7" s="1"/>
  <c r="XT25" i="7" s="1"/>
  <c r="XT26" i="7" s="1"/>
  <c r="XT27" i="7" s="1"/>
  <c r="XU18" i="7"/>
  <c r="XU19" i="7" s="1"/>
  <c r="XU20" i="7" s="1"/>
  <c r="XU21" i="7" s="1"/>
  <c r="XU22" i="7" s="1"/>
  <c r="XU23" i="7" s="1"/>
  <c r="XU24" i="7" s="1"/>
  <c r="XU25" i="7" s="1"/>
  <c r="XU26" i="7" s="1"/>
  <c r="XU27" i="7" s="1"/>
  <c r="XV18" i="7"/>
  <c r="XV19" i="7" s="1"/>
  <c r="XV20" i="7" s="1"/>
  <c r="XV21" i="7" s="1"/>
  <c r="XV22" i="7" s="1"/>
  <c r="XV23" i="7" s="1"/>
  <c r="XV24" i="7" s="1"/>
  <c r="XV25" i="7" s="1"/>
  <c r="XV26" i="7" s="1"/>
  <c r="XV27" i="7" s="1"/>
  <c r="XW18" i="7"/>
  <c r="XW19" i="7" s="1"/>
  <c r="XW20" i="7" s="1"/>
  <c r="XW21" i="7" s="1"/>
  <c r="XW22" i="7" s="1"/>
  <c r="XW23" i="7" s="1"/>
  <c r="XW24" i="7" s="1"/>
  <c r="XW25" i="7" s="1"/>
  <c r="XW26" i="7" s="1"/>
  <c r="XW27" i="7" s="1"/>
  <c r="XX18" i="7"/>
  <c r="XX19" i="7" s="1"/>
  <c r="XX20" i="7" s="1"/>
  <c r="XX21" i="7" s="1"/>
  <c r="XX22" i="7" s="1"/>
  <c r="XX23" i="7" s="1"/>
  <c r="XX24" i="7" s="1"/>
  <c r="XX25" i="7" s="1"/>
  <c r="XX26" i="7" s="1"/>
  <c r="XX27" i="7" s="1"/>
  <c r="XY18" i="7"/>
  <c r="XY19" i="7" s="1"/>
  <c r="XY20" i="7" s="1"/>
  <c r="XY21" i="7" s="1"/>
  <c r="XY22" i="7" s="1"/>
  <c r="XY23" i="7" s="1"/>
  <c r="XY24" i="7" s="1"/>
  <c r="XY25" i="7" s="1"/>
  <c r="XY26" i="7" s="1"/>
  <c r="XY27" i="7" s="1"/>
  <c r="XZ18" i="7"/>
  <c r="XZ19" i="7" s="1"/>
  <c r="XZ20" i="7" s="1"/>
  <c r="XZ21" i="7" s="1"/>
  <c r="XZ22" i="7" s="1"/>
  <c r="XZ23" i="7" s="1"/>
  <c r="XZ24" i="7" s="1"/>
  <c r="XZ25" i="7" s="1"/>
  <c r="XZ26" i="7" s="1"/>
  <c r="XZ27" i="7" s="1"/>
  <c r="YA18" i="7"/>
  <c r="YA19" i="7" s="1"/>
  <c r="YA20" i="7" s="1"/>
  <c r="YA21" i="7" s="1"/>
  <c r="YA22" i="7" s="1"/>
  <c r="YA23" i="7" s="1"/>
  <c r="YA24" i="7" s="1"/>
  <c r="YA25" i="7" s="1"/>
  <c r="YA26" i="7" s="1"/>
  <c r="YA27" i="7" s="1"/>
  <c r="YB18" i="7"/>
  <c r="YB19" i="7" s="1"/>
  <c r="YB20" i="7" s="1"/>
  <c r="YB21" i="7" s="1"/>
  <c r="YB22" i="7" s="1"/>
  <c r="YB23" i="7" s="1"/>
  <c r="YB24" i="7" s="1"/>
  <c r="YB25" i="7" s="1"/>
  <c r="YB26" i="7" s="1"/>
  <c r="YB27" i="7" s="1"/>
  <c r="YC18" i="7"/>
  <c r="YC19" i="7" s="1"/>
  <c r="YC20" i="7" s="1"/>
  <c r="YC21" i="7" s="1"/>
  <c r="YC22" i="7" s="1"/>
  <c r="YC23" i="7" s="1"/>
  <c r="YC24" i="7" s="1"/>
  <c r="YC25" i="7" s="1"/>
  <c r="YC26" i="7" s="1"/>
  <c r="YC27" i="7" s="1"/>
  <c r="YD18" i="7"/>
  <c r="YD19" i="7" s="1"/>
  <c r="YD20" i="7" s="1"/>
  <c r="YD21" i="7" s="1"/>
  <c r="YD22" i="7" s="1"/>
  <c r="YD23" i="7" s="1"/>
  <c r="YD24" i="7" s="1"/>
  <c r="YD25" i="7" s="1"/>
  <c r="YD26" i="7" s="1"/>
  <c r="YD27" i="7" s="1"/>
  <c r="YE18" i="7"/>
  <c r="YE19" i="7" s="1"/>
  <c r="YE20" i="7" s="1"/>
  <c r="YE21" i="7" s="1"/>
  <c r="YE22" i="7" s="1"/>
  <c r="YE23" i="7" s="1"/>
  <c r="YE24" i="7" s="1"/>
  <c r="YE25" i="7" s="1"/>
  <c r="YE26" i="7" s="1"/>
  <c r="YE27" i="7" s="1"/>
  <c r="YF18" i="7"/>
  <c r="YF19" i="7" s="1"/>
  <c r="YF20" i="7" s="1"/>
  <c r="YF21" i="7" s="1"/>
  <c r="YF22" i="7" s="1"/>
  <c r="YF23" i="7" s="1"/>
  <c r="YF24" i="7" s="1"/>
  <c r="YF25" i="7" s="1"/>
  <c r="YF26" i="7" s="1"/>
  <c r="YF27" i="7" s="1"/>
  <c r="YG18" i="7"/>
  <c r="YG19" i="7" s="1"/>
  <c r="YG20" i="7" s="1"/>
  <c r="YG21" i="7" s="1"/>
  <c r="YG22" i="7" s="1"/>
  <c r="YG23" i="7" s="1"/>
  <c r="YG24" i="7" s="1"/>
  <c r="YG25" i="7" s="1"/>
  <c r="YG26" i="7" s="1"/>
  <c r="YG27" i="7" s="1"/>
  <c r="YH18" i="7"/>
  <c r="YH19" i="7" s="1"/>
  <c r="YH20" i="7" s="1"/>
  <c r="YH21" i="7" s="1"/>
  <c r="YH22" i="7" s="1"/>
  <c r="YH23" i="7" s="1"/>
  <c r="YH24" i="7" s="1"/>
  <c r="YH25" i="7" s="1"/>
  <c r="YH26" i="7" s="1"/>
  <c r="YH27" i="7" s="1"/>
  <c r="YI18" i="7"/>
  <c r="YI19" i="7" s="1"/>
  <c r="YI20" i="7" s="1"/>
  <c r="YI21" i="7" s="1"/>
  <c r="YI22" i="7" s="1"/>
  <c r="YI23" i="7" s="1"/>
  <c r="YI24" i="7" s="1"/>
  <c r="YI25" i="7" s="1"/>
  <c r="YI26" i="7" s="1"/>
  <c r="YI27" i="7" s="1"/>
  <c r="YJ18" i="7"/>
  <c r="YJ19" i="7" s="1"/>
  <c r="YJ20" i="7" s="1"/>
  <c r="YJ21" i="7" s="1"/>
  <c r="YJ22" i="7" s="1"/>
  <c r="YJ23" i="7" s="1"/>
  <c r="YJ24" i="7" s="1"/>
  <c r="YJ25" i="7" s="1"/>
  <c r="YJ26" i="7" s="1"/>
  <c r="YJ27" i="7" s="1"/>
  <c r="YK18" i="7"/>
  <c r="YK19" i="7" s="1"/>
  <c r="YK20" i="7" s="1"/>
  <c r="YK21" i="7" s="1"/>
  <c r="YK22" i="7" s="1"/>
  <c r="YK23" i="7" s="1"/>
  <c r="YK24" i="7" s="1"/>
  <c r="YK25" i="7" s="1"/>
  <c r="YK26" i="7" s="1"/>
  <c r="YK27" i="7" s="1"/>
  <c r="YL18" i="7"/>
  <c r="YL19" i="7" s="1"/>
  <c r="YL20" i="7" s="1"/>
  <c r="YL21" i="7" s="1"/>
  <c r="YL22" i="7" s="1"/>
  <c r="YL23" i="7" s="1"/>
  <c r="YL24" i="7" s="1"/>
  <c r="YL25" i="7" s="1"/>
  <c r="YL26" i="7" s="1"/>
  <c r="YL27" i="7" s="1"/>
  <c r="YM18" i="7"/>
  <c r="YM19" i="7" s="1"/>
  <c r="YM20" i="7" s="1"/>
  <c r="YM21" i="7" s="1"/>
  <c r="YM22" i="7" s="1"/>
  <c r="YM23" i="7" s="1"/>
  <c r="YM24" i="7" s="1"/>
  <c r="YM25" i="7" s="1"/>
  <c r="YM26" i="7" s="1"/>
  <c r="YM27" i="7" s="1"/>
  <c r="YN18" i="7"/>
  <c r="YN19" i="7" s="1"/>
  <c r="YN20" i="7" s="1"/>
  <c r="YN21" i="7" s="1"/>
  <c r="YN22" i="7" s="1"/>
  <c r="YN23" i="7" s="1"/>
  <c r="YN24" i="7" s="1"/>
  <c r="YN25" i="7" s="1"/>
  <c r="YN26" i="7" s="1"/>
  <c r="YN27" i="7" s="1"/>
  <c r="YO18" i="7"/>
  <c r="YO19" i="7" s="1"/>
  <c r="YO20" i="7" s="1"/>
  <c r="YO21" i="7" s="1"/>
  <c r="YO22" i="7" s="1"/>
  <c r="YO23" i="7" s="1"/>
  <c r="YO24" i="7" s="1"/>
  <c r="YO25" i="7" s="1"/>
  <c r="YO26" i="7" s="1"/>
  <c r="YO27" i="7" s="1"/>
  <c r="YP18" i="7"/>
  <c r="YP19" i="7" s="1"/>
  <c r="YP20" i="7" s="1"/>
  <c r="YP21" i="7" s="1"/>
  <c r="YP22" i="7" s="1"/>
  <c r="YP23" i="7" s="1"/>
  <c r="YP24" i="7" s="1"/>
  <c r="YP25" i="7" s="1"/>
  <c r="YP26" i="7" s="1"/>
  <c r="YP27" i="7" s="1"/>
  <c r="YQ18" i="7"/>
  <c r="YQ19" i="7" s="1"/>
  <c r="YQ20" i="7" s="1"/>
  <c r="YQ21" i="7" s="1"/>
  <c r="YQ22" i="7" s="1"/>
  <c r="YQ23" i="7" s="1"/>
  <c r="YQ24" i="7" s="1"/>
  <c r="YQ25" i="7" s="1"/>
  <c r="YQ26" i="7" s="1"/>
  <c r="YQ27" i="7" s="1"/>
  <c r="YR18" i="7"/>
  <c r="YR19" i="7" s="1"/>
  <c r="YR20" i="7" s="1"/>
  <c r="YR21" i="7" s="1"/>
  <c r="YR22" i="7" s="1"/>
  <c r="YR23" i="7" s="1"/>
  <c r="YR24" i="7" s="1"/>
  <c r="YR25" i="7" s="1"/>
  <c r="YR26" i="7" s="1"/>
  <c r="YR27" i="7" s="1"/>
  <c r="YS18" i="7"/>
  <c r="YS19" i="7" s="1"/>
  <c r="YS20" i="7" s="1"/>
  <c r="YS21" i="7" s="1"/>
  <c r="YS22" i="7" s="1"/>
  <c r="YS23" i="7" s="1"/>
  <c r="YS24" i="7" s="1"/>
  <c r="YS25" i="7" s="1"/>
  <c r="YS26" i="7" s="1"/>
  <c r="YS27" i="7" s="1"/>
  <c r="YT18" i="7"/>
  <c r="YT19" i="7" s="1"/>
  <c r="YT20" i="7" s="1"/>
  <c r="YT21" i="7" s="1"/>
  <c r="YT22" i="7" s="1"/>
  <c r="YT23" i="7" s="1"/>
  <c r="YT24" i="7" s="1"/>
  <c r="YT25" i="7" s="1"/>
  <c r="YT26" i="7" s="1"/>
  <c r="YT27" i="7" s="1"/>
  <c r="YU18" i="7"/>
  <c r="YU19" i="7" s="1"/>
  <c r="YU20" i="7" s="1"/>
  <c r="YU21" i="7" s="1"/>
  <c r="YU22" i="7" s="1"/>
  <c r="YU23" i="7" s="1"/>
  <c r="YU24" i="7" s="1"/>
  <c r="YU25" i="7" s="1"/>
  <c r="YU26" i="7" s="1"/>
  <c r="YU27" i="7" s="1"/>
  <c r="YV18" i="7"/>
  <c r="YV19" i="7" s="1"/>
  <c r="YV20" i="7" s="1"/>
  <c r="YV21" i="7" s="1"/>
  <c r="YV22" i="7" s="1"/>
  <c r="YV23" i="7" s="1"/>
  <c r="YV24" i="7" s="1"/>
  <c r="YV25" i="7" s="1"/>
  <c r="YV26" i="7" s="1"/>
  <c r="YV27" i="7" s="1"/>
  <c r="YW18" i="7"/>
  <c r="YW19" i="7" s="1"/>
  <c r="YW20" i="7" s="1"/>
  <c r="YW21" i="7" s="1"/>
  <c r="YW22" i="7" s="1"/>
  <c r="YW23" i="7" s="1"/>
  <c r="YW24" i="7" s="1"/>
  <c r="YW25" i="7" s="1"/>
  <c r="YW26" i="7" s="1"/>
  <c r="YW27" i="7" s="1"/>
  <c r="YX18" i="7"/>
  <c r="YX19" i="7" s="1"/>
  <c r="YX20" i="7" s="1"/>
  <c r="YX21" i="7" s="1"/>
  <c r="YX22" i="7" s="1"/>
  <c r="YX23" i="7" s="1"/>
  <c r="YX24" i="7" s="1"/>
  <c r="YX25" i="7" s="1"/>
  <c r="YX26" i="7" s="1"/>
  <c r="YX27" i="7" s="1"/>
  <c r="YY18" i="7"/>
  <c r="YY19" i="7" s="1"/>
  <c r="YY20" i="7" s="1"/>
  <c r="YY21" i="7" s="1"/>
  <c r="YY22" i="7" s="1"/>
  <c r="YY23" i="7" s="1"/>
  <c r="YY24" i="7" s="1"/>
  <c r="YY25" i="7" s="1"/>
  <c r="YY26" i="7" s="1"/>
  <c r="YY27" i="7" s="1"/>
  <c r="YZ18" i="7"/>
  <c r="YZ19" i="7" s="1"/>
  <c r="YZ20" i="7" s="1"/>
  <c r="YZ21" i="7" s="1"/>
  <c r="YZ22" i="7" s="1"/>
  <c r="YZ23" i="7" s="1"/>
  <c r="YZ24" i="7" s="1"/>
  <c r="YZ25" i="7" s="1"/>
  <c r="YZ26" i="7" s="1"/>
  <c r="YZ27" i="7" s="1"/>
  <c r="ZA18" i="7"/>
  <c r="ZA19" i="7" s="1"/>
  <c r="ZA20" i="7" s="1"/>
  <c r="ZA21" i="7" s="1"/>
  <c r="ZA22" i="7" s="1"/>
  <c r="ZA23" i="7" s="1"/>
  <c r="ZA24" i="7" s="1"/>
  <c r="ZA25" i="7" s="1"/>
  <c r="ZA26" i="7" s="1"/>
  <c r="ZA27" i="7" s="1"/>
  <c r="ZB18" i="7"/>
  <c r="ZB19" i="7" s="1"/>
  <c r="ZB20" i="7" s="1"/>
  <c r="ZB21" i="7" s="1"/>
  <c r="ZB22" i="7" s="1"/>
  <c r="ZB23" i="7" s="1"/>
  <c r="ZB24" i="7" s="1"/>
  <c r="ZB25" i="7" s="1"/>
  <c r="ZB26" i="7" s="1"/>
  <c r="ZB27" i="7" s="1"/>
  <c r="ZC18" i="7"/>
  <c r="ZC19" i="7" s="1"/>
  <c r="ZC20" i="7" s="1"/>
  <c r="ZC21" i="7" s="1"/>
  <c r="ZC22" i="7" s="1"/>
  <c r="ZC23" i="7" s="1"/>
  <c r="ZC24" i="7" s="1"/>
  <c r="ZC25" i="7" s="1"/>
  <c r="ZC26" i="7" s="1"/>
  <c r="ZC27" i="7" s="1"/>
  <c r="ZD18" i="7"/>
  <c r="ZD19" i="7" s="1"/>
  <c r="ZD20" i="7" s="1"/>
  <c r="ZD21" i="7" s="1"/>
  <c r="ZD22" i="7" s="1"/>
  <c r="ZD23" i="7" s="1"/>
  <c r="ZD24" i="7" s="1"/>
  <c r="ZD25" i="7" s="1"/>
  <c r="ZD26" i="7" s="1"/>
  <c r="ZD27" i="7" s="1"/>
  <c r="ZE18" i="7"/>
  <c r="ZE19" i="7" s="1"/>
  <c r="ZE20" i="7" s="1"/>
  <c r="ZE21" i="7" s="1"/>
  <c r="ZE22" i="7" s="1"/>
  <c r="ZE23" i="7" s="1"/>
  <c r="ZE24" i="7" s="1"/>
  <c r="ZE25" i="7" s="1"/>
  <c r="ZE26" i="7" s="1"/>
  <c r="ZE27" i="7" s="1"/>
  <c r="ZF18" i="7"/>
  <c r="ZF19" i="7" s="1"/>
  <c r="ZF20" i="7" s="1"/>
  <c r="ZF21" i="7" s="1"/>
  <c r="ZF22" i="7" s="1"/>
  <c r="ZF23" i="7" s="1"/>
  <c r="ZF24" i="7" s="1"/>
  <c r="ZF25" i="7" s="1"/>
  <c r="ZF26" i="7" s="1"/>
  <c r="ZF27" i="7" s="1"/>
  <c r="ZG18" i="7"/>
  <c r="ZG19" i="7" s="1"/>
  <c r="ZG20" i="7" s="1"/>
  <c r="ZG21" i="7" s="1"/>
  <c r="ZG22" i="7" s="1"/>
  <c r="ZG23" i="7" s="1"/>
  <c r="ZG24" i="7" s="1"/>
  <c r="ZG25" i="7" s="1"/>
  <c r="ZG26" i="7" s="1"/>
  <c r="ZG27" i="7" s="1"/>
  <c r="ZH18" i="7"/>
  <c r="ZH19" i="7" s="1"/>
  <c r="ZH20" i="7" s="1"/>
  <c r="ZH21" i="7" s="1"/>
  <c r="ZH22" i="7" s="1"/>
  <c r="ZH23" i="7" s="1"/>
  <c r="ZH24" i="7" s="1"/>
  <c r="ZH25" i="7" s="1"/>
  <c r="ZH26" i="7" s="1"/>
  <c r="ZH27" i="7" s="1"/>
  <c r="ZI18" i="7"/>
  <c r="ZI19" i="7" s="1"/>
  <c r="ZI20" i="7" s="1"/>
  <c r="ZI21" i="7" s="1"/>
  <c r="ZI22" i="7" s="1"/>
  <c r="ZI23" i="7" s="1"/>
  <c r="ZI24" i="7" s="1"/>
  <c r="ZI25" i="7" s="1"/>
  <c r="ZI26" i="7" s="1"/>
  <c r="ZI27" i="7" s="1"/>
  <c r="ZJ18" i="7"/>
  <c r="ZJ19" i="7" s="1"/>
  <c r="ZJ20" i="7" s="1"/>
  <c r="ZJ21" i="7" s="1"/>
  <c r="ZJ22" i="7" s="1"/>
  <c r="ZJ23" i="7" s="1"/>
  <c r="ZJ24" i="7" s="1"/>
  <c r="ZJ25" i="7" s="1"/>
  <c r="ZJ26" i="7" s="1"/>
  <c r="ZJ27" i="7" s="1"/>
  <c r="ZK18" i="7"/>
  <c r="ZK19" i="7" s="1"/>
  <c r="ZK20" i="7" s="1"/>
  <c r="ZK21" i="7" s="1"/>
  <c r="ZK22" i="7" s="1"/>
  <c r="ZK23" i="7" s="1"/>
  <c r="ZK24" i="7" s="1"/>
  <c r="ZK25" i="7" s="1"/>
  <c r="ZK26" i="7" s="1"/>
  <c r="ZK27" i="7" s="1"/>
  <c r="ZL18" i="7"/>
  <c r="ZL19" i="7" s="1"/>
  <c r="ZL20" i="7" s="1"/>
  <c r="ZL21" i="7" s="1"/>
  <c r="ZL22" i="7" s="1"/>
  <c r="ZL23" i="7" s="1"/>
  <c r="ZL24" i="7" s="1"/>
  <c r="ZL25" i="7" s="1"/>
  <c r="ZL26" i="7" s="1"/>
  <c r="ZL27" i="7" s="1"/>
  <c r="ZM18" i="7"/>
  <c r="ZM19" i="7" s="1"/>
  <c r="ZM20" i="7" s="1"/>
  <c r="ZM21" i="7" s="1"/>
  <c r="ZM22" i="7" s="1"/>
  <c r="ZM23" i="7" s="1"/>
  <c r="ZM24" i="7" s="1"/>
  <c r="ZM25" i="7" s="1"/>
  <c r="ZM26" i="7" s="1"/>
  <c r="ZM27" i="7" s="1"/>
  <c r="ZN18" i="7"/>
  <c r="ZN19" i="7" s="1"/>
  <c r="ZN20" i="7" s="1"/>
  <c r="ZN21" i="7" s="1"/>
  <c r="ZN22" i="7" s="1"/>
  <c r="ZN23" i="7" s="1"/>
  <c r="ZN24" i="7" s="1"/>
  <c r="ZN25" i="7" s="1"/>
  <c r="ZN26" i="7" s="1"/>
  <c r="ZN27" i="7" s="1"/>
  <c r="ZO18" i="7"/>
  <c r="ZO19" i="7" s="1"/>
  <c r="ZO20" i="7" s="1"/>
  <c r="ZO21" i="7" s="1"/>
  <c r="ZO22" i="7" s="1"/>
  <c r="ZO23" i="7" s="1"/>
  <c r="ZO24" i="7" s="1"/>
  <c r="ZO25" i="7" s="1"/>
  <c r="ZO26" i="7" s="1"/>
  <c r="ZO27" i="7" s="1"/>
  <c r="ZP18" i="7"/>
  <c r="ZP19" i="7" s="1"/>
  <c r="ZP20" i="7" s="1"/>
  <c r="ZP21" i="7" s="1"/>
  <c r="ZP22" i="7" s="1"/>
  <c r="ZP23" i="7" s="1"/>
  <c r="ZP24" i="7" s="1"/>
  <c r="ZP25" i="7" s="1"/>
  <c r="ZP26" i="7" s="1"/>
  <c r="ZP27" i="7" s="1"/>
  <c r="ZQ18" i="7"/>
  <c r="ZQ19" i="7" s="1"/>
  <c r="ZQ20" i="7" s="1"/>
  <c r="ZQ21" i="7" s="1"/>
  <c r="ZQ22" i="7" s="1"/>
  <c r="ZQ23" i="7" s="1"/>
  <c r="ZQ24" i="7" s="1"/>
  <c r="ZQ25" i="7" s="1"/>
  <c r="ZQ26" i="7" s="1"/>
  <c r="ZQ27" i="7" s="1"/>
  <c r="ZR18" i="7"/>
  <c r="ZR19" i="7" s="1"/>
  <c r="ZR20" i="7" s="1"/>
  <c r="ZR21" i="7" s="1"/>
  <c r="ZR22" i="7" s="1"/>
  <c r="ZR23" i="7" s="1"/>
  <c r="ZR24" i="7" s="1"/>
  <c r="ZR25" i="7" s="1"/>
  <c r="ZR26" i="7" s="1"/>
  <c r="ZR27" i="7" s="1"/>
  <c r="ZS18" i="7"/>
  <c r="ZS19" i="7" s="1"/>
  <c r="ZS20" i="7" s="1"/>
  <c r="ZS21" i="7" s="1"/>
  <c r="ZS22" i="7" s="1"/>
  <c r="ZS23" i="7" s="1"/>
  <c r="ZS24" i="7" s="1"/>
  <c r="ZS25" i="7" s="1"/>
  <c r="ZS26" i="7" s="1"/>
  <c r="ZS27" i="7" s="1"/>
  <c r="ZT18" i="7"/>
  <c r="ZT19" i="7" s="1"/>
  <c r="ZT20" i="7" s="1"/>
  <c r="ZT21" i="7" s="1"/>
  <c r="ZT22" i="7" s="1"/>
  <c r="ZT23" i="7" s="1"/>
  <c r="ZT24" i="7" s="1"/>
  <c r="ZT25" i="7" s="1"/>
  <c r="ZT26" i="7" s="1"/>
  <c r="ZT27" i="7" s="1"/>
  <c r="ZU18" i="7"/>
  <c r="ZU19" i="7" s="1"/>
  <c r="ZU20" i="7" s="1"/>
  <c r="ZU21" i="7" s="1"/>
  <c r="ZU22" i="7" s="1"/>
  <c r="ZU23" i="7" s="1"/>
  <c r="ZU24" i="7" s="1"/>
  <c r="ZU25" i="7" s="1"/>
  <c r="ZU26" i="7" s="1"/>
  <c r="ZU27" i="7" s="1"/>
  <c r="ZV18" i="7"/>
  <c r="ZV19" i="7" s="1"/>
  <c r="ZV20" i="7" s="1"/>
  <c r="ZV21" i="7" s="1"/>
  <c r="ZV22" i="7" s="1"/>
  <c r="ZV23" i="7" s="1"/>
  <c r="ZV24" i="7" s="1"/>
  <c r="ZV25" i="7" s="1"/>
  <c r="ZV26" i="7" s="1"/>
  <c r="ZV27" i="7" s="1"/>
  <c r="ZW18" i="7"/>
  <c r="ZW19" i="7" s="1"/>
  <c r="ZW20" i="7" s="1"/>
  <c r="ZW21" i="7" s="1"/>
  <c r="ZW22" i="7" s="1"/>
  <c r="ZW23" i="7" s="1"/>
  <c r="ZW24" i="7" s="1"/>
  <c r="ZW25" i="7" s="1"/>
  <c r="ZW26" i="7" s="1"/>
  <c r="ZW27" i="7" s="1"/>
  <c r="ZX18" i="7"/>
  <c r="ZX19" i="7" s="1"/>
  <c r="ZX20" i="7" s="1"/>
  <c r="ZX21" i="7" s="1"/>
  <c r="ZX22" i="7" s="1"/>
  <c r="ZX23" i="7" s="1"/>
  <c r="ZX24" i="7" s="1"/>
  <c r="ZX25" i="7" s="1"/>
  <c r="ZX26" i="7" s="1"/>
  <c r="ZX27" i="7" s="1"/>
  <c r="ZY18" i="7"/>
  <c r="ZY19" i="7" s="1"/>
  <c r="ZY20" i="7" s="1"/>
  <c r="ZY21" i="7" s="1"/>
  <c r="ZY22" i="7" s="1"/>
  <c r="ZY23" i="7" s="1"/>
  <c r="ZY24" i="7" s="1"/>
  <c r="ZY25" i="7" s="1"/>
  <c r="ZY26" i="7" s="1"/>
  <c r="ZY27" i="7" s="1"/>
  <c r="ZZ18" i="7"/>
  <c r="ZZ19" i="7" s="1"/>
  <c r="ZZ20" i="7" s="1"/>
  <c r="ZZ21" i="7" s="1"/>
  <c r="ZZ22" i="7" s="1"/>
  <c r="ZZ23" i="7" s="1"/>
  <c r="ZZ24" i="7" s="1"/>
  <c r="ZZ25" i="7" s="1"/>
  <c r="ZZ26" i="7" s="1"/>
  <c r="ZZ27" i="7" s="1"/>
  <c r="AAA18" i="7"/>
  <c r="AAA19" i="7" s="1"/>
  <c r="AAA20" i="7" s="1"/>
  <c r="AAA21" i="7" s="1"/>
  <c r="AAA22" i="7" s="1"/>
  <c r="AAA23" i="7" s="1"/>
  <c r="AAA24" i="7" s="1"/>
  <c r="AAA25" i="7" s="1"/>
  <c r="AAA26" i="7" s="1"/>
  <c r="AAA27" i="7" s="1"/>
  <c r="AAB18" i="7"/>
  <c r="AAB19" i="7" s="1"/>
  <c r="AAB20" i="7" s="1"/>
  <c r="AAB21" i="7" s="1"/>
  <c r="AAB22" i="7" s="1"/>
  <c r="AAB23" i="7" s="1"/>
  <c r="AAB24" i="7" s="1"/>
  <c r="AAB25" i="7" s="1"/>
  <c r="AAB26" i="7" s="1"/>
  <c r="AAB27" i="7" s="1"/>
  <c r="AAC18" i="7"/>
  <c r="AAC19" i="7" s="1"/>
  <c r="AAC20" i="7" s="1"/>
  <c r="AAC21" i="7" s="1"/>
  <c r="AAC22" i="7" s="1"/>
  <c r="AAC23" i="7" s="1"/>
  <c r="AAC24" i="7" s="1"/>
  <c r="AAC25" i="7" s="1"/>
  <c r="AAC26" i="7" s="1"/>
  <c r="AAC27" i="7" s="1"/>
  <c r="AAD18" i="7"/>
  <c r="AAD19" i="7" s="1"/>
  <c r="AAD20" i="7" s="1"/>
  <c r="AAD21" i="7" s="1"/>
  <c r="AAD22" i="7" s="1"/>
  <c r="AAD23" i="7" s="1"/>
  <c r="AAD24" i="7" s="1"/>
  <c r="AAD25" i="7" s="1"/>
  <c r="AAD26" i="7" s="1"/>
  <c r="AAD27" i="7" s="1"/>
  <c r="AAE18" i="7"/>
  <c r="AAE19" i="7" s="1"/>
  <c r="AAE20" i="7" s="1"/>
  <c r="AAE21" i="7" s="1"/>
  <c r="AAE22" i="7" s="1"/>
  <c r="AAE23" i="7" s="1"/>
  <c r="AAE24" i="7" s="1"/>
  <c r="AAE25" i="7" s="1"/>
  <c r="AAE26" i="7" s="1"/>
  <c r="AAE27" i="7" s="1"/>
  <c r="AAF18" i="7"/>
  <c r="AAF19" i="7" s="1"/>
  <c r="AAF20" i="7" s="1"/>
  <c r="AAF21" i="7" s="1"/>
  <c r="AAF22" i="7" s="1"/>
  <c r="AAF23" i="7" s="1"/>
  <c r="AAF24" i="7" s="1"/>
  <c r="AAF25" i="7" s="1"/>
  <c r="AAF26" i="7" s="1"/>
  <c r="AAF27" i="7" s="1"/>
  <c r="AAG18" i="7"/>
  <c r="AAG19" i="7" s="1"/>
  <c r="AAG20" i="7" s="1"/>
  <c r="AAG21" i="7" s="1"/>
  <c r="AAG22" i="7" s="1"/>
  <c r="AAG23" i="7" s="1"/>
  <c r="AAG24" i="7" s="1"/>
  <c r="AAG25" i="7" s="1"/>
  <c r="AAG26" i="7" s="1"/>
  <c r="AAG27" i="7" s="1"/>
  <c r="AAH18" i="7"/>
  <c r="AAH19" i="7" s="1"/>
  <c r="AAH20" i="7" s="1"/>
  <c r="AAH21" i="7" s="1"/>
  <c r="AAH22" i="7" s="1"/>
  <c r="AAH23" i="7" s="1"/>
  <c r="AAH24" i="7" s="1"/>
  <c r="AAH25" i="7" s="1"/>
  <c r="AAH26" i="7" s="1"/>
  <c r="AAH27" i="7" s="1"/>
  <c r="AAI18" i="7"/>
  <c r="AAI19" i="7" s="1"/>
  <c r="AAI20" i="7" s="1"/>
  <c r="AAI21" i="7" s="1"/>
  <c r="AAI22" i="7" s="1"/>
  <c r="AAI23" i="7" s="1"/>
  <c r="AAI24" i="7" s="1"/>
  <c r="AAI25" i="7" s="1"/>
  <c r="AAI26" i="7" s="1"/>
  <c r="AAI27" i="7" s="1"/>
  <c r="AAJ18" i="7"/>
  <c r="AAJ19" i="7" s="1"/>
  <c r="AAJ20" i="7" s="1"/>
  <c r="AAJ21" i="7" s="1"/>
  <c r="AAJ22" i="7" s="1"/>
  <c r="AAJ23" i="7" s="1"/>
  <c r="AAJ24" i="7" s="1"/>
  <c r="AAJ25" i="7" s="1"/>
  <c r="AAJ26" i="7" s="1"/>
  <c r="AAJ27" i="7" s="1"/>
  <c r="AAK18" i="7"/>
  <c r="AAK19" i="7" s="1"/>
  <c r="AAK20" i="7" s="1"/>
  <c r="AAK21" i="7" s="1"/>
  <c r="AAK22" i="7" s="1"/>
  <c r="AAK23" i="7" s="1"/>
  <c r="AAK24" i="7" s="1"/>
  <c r="AAK25" i="7" s="1"/>
  <c r="AAK26" i="7" s="1"/>
  <c r="AAK27" i="7" s="1"/>
  <c r="AAL18" i="7"/>
  <c r="AAL19" i="7" s="1"/>
  <c r="AAL20" i="7" s="1"/>
  <c r="AAL21" i="7" s="1"/>
  <c r="AAL22" i="7" s="1"/>
  <c r="AAL23" i="7" s="1"/>
  <c r="AAL24" i="7" s="1"/>
  <c r="AAL25" i="7" s="1"/>
  <c r="AAL26" i="7" s="1"/>
  <c r="AAL27" i="7" s="1"/>
  <c r="AAM18" i="7"/>
  <c r="AAM19" i="7" s="1"/>
  <c r="AAM20" i="7" s="1"/>
  <c r="AAM21" i="7" s="1"/>
  <c r="AAM22" i="7" s="1"/>
  <c r="AAM23" i="7" s="1"/>
  <c r="AAM24" i="7" s="1"/>
  <c r="AAM25" i="7" s="1"/>
  <c r="AAM26" i="7" s="1"/>
  <c r="AAM27" i="7" s="1"/>
  <c r="AAN18" i="7"/>
  <c r="AAN19" i="7" s="1"/>
  <c r="AAN20" i="7" s="1"/>
  <c r="AAN21" i="7" s="1"/>
  <c r="AAN22" i="7" s="1"/>
  <c r="AAN23" i="7" s="1"/>
  <c r="AAN24" i="7" s="1"/>
  <c r="AAN25" i="7" s="1"/>
  <c r="AAN26" i="7" s="1"/>
  <c r="AAN27" i="7" s="1"/>
  <c r="AAO18" i="7"/>
  <c r="AAO19" i="7" s="1"/>
  <c r="AAO20" i="7" s="1"/>
  <c r="AAO21" i="7" s="1"/>
  <c r="AAO22" i="7" s="1"/>
  <c r="AAO23" i="7" s="1"/>
  <c r="AAO24" i="7" s="1"/>
  <c r="AAO25" i="7" s="1"/>
  <c r="AAO26" i="7" s="1"/>
  <c r="AAO27" i="7" s="1"/>
  <c r="AAP18" i="7"/>
  <c r="AAP19" i="7" s="1"/>
  <c r="AAP20" i="7" s="1"/>
  <c r="AAP21" i="7" s="1"/>
  <c r="AAP22" i="7" s="1"/>
  <c r="AAP23" i="7" s="1"/>
  <c r="AAP24" i="7" s="1"/>
  <c r="AAP25" i="7" s="1"/>
  <c r="AAP26" i="7" s="1"/>
  <c r="AAP27" i="7" s="1"/>
  <c r="AAQ18" i="7"/>
  <c r="AAQ19" i="7" s="1"/>
  <c r="AAQ20" i="7" s="1"/>
  <c r="AAQ21" i="7" s="1"/>
  <c r="AAQ22" i="7" s="1"/>
  <c r="AAQ23" i="7" s="1"/>
  <c r="AAQ24" i="7" s="1"/>
  <c r="AAQ25" i="7" s="1"/>
  <c r="AAQ26" i="7" s="1"/>
  <c r="AAQ27" i="7" s="1"/>
  <c r="AAR18" i="7"/>
  <c r="AAR19" i="7" s="1"/>
  <c r="AAR20" i="7" s="1"/>
  <c r="AAR21" i="7" s="1"/>
  <c r="AAR22" i="7" s="1"/>
  <c r="AAR23" i="7" s="1"/>
  <c r="AAR24" i="7" s="1"/>
  <c r="AAR25" i="7" s="1"/>
  <c r="AAR26" i="7" s="1"/>
  <c r="AAR27" i="7" s="1"/>
  <c r="AAS18" i="7"/>
  <c r="AAS19" i="7" s="1"/>
  <c r="AAS20" i="7" s="1"/>
  <c r="AAS21" i="7" s="1"/>
  <c r="AAS22" i="7" s="1"/>
  <c r="AAS23" i="7" s="1"/>
  <c r="AAS24" i="7" s="1"/>
  <c r="AAS25" i="7" s="1"/>
  <c r="AAS26" i="7" s="1"/>
  <c r="AAS27" i="7" s="1"/>
  <c r="AAT18" i="7"/>
  <c r="AAT19" i="7" s="1"/>
  <c r="AAT20" i="7" s="1"/>
  <c r="AAT21" i="7" s="1"/>
  <c r="AAT22" i="7" s="1"/>
  <c r="AAT23" i="7" s="1"/>
  <c r="AAT24" i="7" s="1"/>
  <c r="AAT25" i="7" s="1"/>
  <c r="AAT26" i="7" s="1"/>
  <c r="AAT27" i="7" s="1"/>
  <c r="AAU18" i="7"/>
  <c r="AAU19" i="7" s="1"/>
  <c r="AAU20" i="7" s="1"/>
  <c r="AAU21" i="7" s="1"/>
  <c r="AAU22" i="7" s="1"/>
  <c r="AAU23" i="7" s="1"/>
  <c r="AAU24" i="7" s="1"/>
  <c r="AAU25" i="7" s="1"/>
  <c r="AAU26" i="7" s="1"/>
  <c r="AAU27" i="7" s="1"/>
  <c r="AAV18" i="7"/>
  <c r="AAV19" i="7" s="1"/>
  <c r="AAV20" i="7" s="1"/>
  <c r="AAV21" i="7" s="1"/>
  <c r="AAV22" i="7" s="1"/>
  <c r="AAV23" i="7" s="1"/>
  <c r="AAV24" i="7" s="1"/>
  <c r="AAV25" i="7" s="1"/>
  <c r="AAV26" i="7" s="1"/>
  <c r="AAV27" i="7" s="1"/>
  <c r="AAW18" i="7"/>
  <c r="AAW19" i="7" s="1"/>
  <c r="AAW20" i="7" s="1"/>
  <c r="AAW21" i="7" s="1"/>
  <c r="AAW22" i="7" s="1"/>
  <c r="AAW23" i="7" s="1"/>
  <c r="AAW24" i="7" s="1"/>
  <c r="AAW25" i="7" s="1"/>
  <c r="AAW26" i="7" s="1"/>
  <c r="AAW27" i="7" s="1"/>
  <c r="AAX18" i="7"/>
  <c r="AAX19" i="7" s="1"/>
  <c r="AAX20" i="7" s="1"/>
  <c r="AAX21" i="7" s="1"/>
  <c r="AAX22" i="7" s="1"/>
  <c r="AAX23" i="7" s="1"/>
  <c r="AAX24" i="7" s="1"/>
  <c r="AAX25" i="7" s="1"/>
  <c r="AAX26" i="7" s="1"/>
  <c r="AAX27" i="7" s="1"/>
  <c r="AAY18" i="7"/>
  <c r="AAY19" i="7" s="1"/>
  <c r="AAY20" i="7" s="1"/>
  <c r="AAY21" i="7" s="1"/>
  <c r="AAY22" i="7" s="1"/>
  <c r="AAY23" i="7" s="1"/>
  <c r="AAY24" i="7" s="1"/>
  <c r="AAY25" i="7" s="1"/>
  <c r="AAY26" i="7" s="1"/>
  <c r="AAY27" i="7" s="1"/>
  <c r="AAZ18" i="7"/>
  <c r="AAZ19" i="7" s="1"/>
  <c r="AAZ20" i="7" s="1"/>
  <c r="AAZ21" i="7" s="1"/>
  <c r="AAZ22" i="7" s="1"/>
  <c r="AAZ23" i="7" s="1"/>
  <c r="AAZ24" i="7" s="1"/>
  <c r="AAZ25" i="7" s="1"/>
  <c r="AAZ26" i="7" s="1"/>
  <c r="AAZ27" i="7" s="1"/>
  <c r="ABA18" i="7"/>
  <c r="ABA19" i="7" s="1"/>
  <c r="ABA20" i="7" s="1"/>
  <c r="ABA21" i="7" s="1"/>
  <c r="ABA22" i="7" s="1"/>
  <c r="ABA23" i="7" s="1"/>
  <c r="ABA24" i="7" s="1"/>
  <c r="ABA25" i="7" s="1"/>
  <c r="ABA26" i="7" s="1"/>
  <c r="ABA27" i="7" s="1"/>
  <c r="ABB18" i="7"/>
  <c r="ABB19" i="7" s="1"/>
  <c r="ABB20" i="7" s="1"/>
  <c r="ABB21" i="7" s="1"/>
  <c r="ABB22" i="7" s="1"/>
  <c r="ABB23" i="7" s="1"/>
  <c r="ABB24" i="7" s="1"/>
  <c r="ABB25" i="7" s="1"/>
  <c r="ABB26" i="7" s="1"/>
  <c r="ABB27" i="7" s="1"/>
  <c r="ABC18" i="7"/>
  <c r="ABC19" i="7" s="1"/>
  <c r="ABC20" i="7" s="1"/>
  <c r="ABC21" i="7" s="1"/>
  <c r="ABC22" i="7" s="1"/>
  <c r="ABC23" i="7" s="1"/>
  <c r="ABC24" i="7" s="1"/>
  <c r="ABC25" i="7" s="1"/>
  <c r="ABC26" i="7" s="1"/>
  <c r="ABC27" i="7" s="1"/>
  <c r="ABD18" i="7"/>
  <c r="ABD19" i="7" s="1"/>
  <c r="ABD20" i="7" s="1"/>
  <c r="ABD21" i="7" s="1"/>
  <c r="ABD22" i="7" s="1"/>
  <c r="ABD23" i="7" s="1"/>
  <c r="ABD24" i="7" s="1"/>
  <c r="ABD25" i="7" s="1"/>
  <c r="ABD26" i="7" s="1"/>
  <c r="ABD27" i="7" s="1"/>
  <c r="ABE18" i="7"/>
  <c r="ABE19" i="7" s="1"/>
  <c r="ABE20" i="7" s="1"/>
  <c r="ABE21" i="7" s="1"/>
  <c r="ABE22" i="7" s="1"/>
  <c r="ABE23" i="7" s="1"/>
  <c r="ABE24" i="7" s="1"/>
  <c r="ABE25" i="7" s="1"/>
  <c r="ABE26" i="7" s="1"/>
  <c r="ABE27" i="7" s="1"/>
  <c r="ABF18" i="7"/>
  <c r="ABF19" i="7" s="1"/>
  <c r="ABF20" i="7" s="1"/>
  <c r="ABF21" i="7" s="1"/>
  <c r="ABF22" i="7" s="1"/>
  <c r="ABF23" i="7" s="1"/>
  <c r="ABF24" i="7" s="1"/>
  <c r="ABF25" i="7" s="1"/>
  <c r="ABF26" i="7" s="1"/>
  <c r="ABF27" i="7" s="1"/>
  <c r="ABG18" i="7"/>
  <c r="ABG19" i="7" s="1"/>
  <c r="ABG20" i="7" s="1"/>
  <c r="ABG21" i="7" s="1"/>
  <c r="ABG22" i="7" s="1"/>
  <c r="ABG23" i="7" s="1"/>
  <c r="ABG24" i="7" s="1"/>
  <c r="ABG25" i="7" s="1"/>
  <c r="ABG26" i="7" s="1"/>
  <c r="ABG27" i="7" s="1"/>
  <c r="ABH18" i="7"/>
  <c r="ABH19" i="7" s="1"/>
  <c r="ABH20" i="7" s="1"/>
  <c r="ABH21" i="7" s="1"/>
  <c r="ABH22" i="7" s="1"/>
  <c r="ABH23" i="7" s="1"/>
  <c r="ABH24" i="7" s="1"/>
  <c r="ABH25" i="7" s="1"/>
  <c r="ABH26" i="7" s="1"/>
  <c r="ABH27" i="7" s="1"/>
  <c r="ABI18" i="7"/>
  <c r="ABI19" i="7" s="1"/>
  <c r="ABI20" i="7" s="1"/>
  <c r="ABI21" i="7" s="1"/>
  <c r="ABI22" i="7" s="1"/>
  <c r="ABI23" i="7" s="1"/>
  <c r="ABI24" i="7" s="1"/>
  <c r="ABI25" i="7" s="1"/>
  <c r="ABI26" i="7" s="1"/>
  <c r="ABI27" i="7" s="1"/>
  <c r="ABJ18" i="7"/>
  <c r="ABJ19" i="7" s="1"/>
  <c r="ABJ20" i="7" s="1"/>
  <c r="ABJ21" i="7" s="1"/>
  <c r="ABJ22" i="7" s="1"/>
  <c r="ABJ23" i="7" s="1"/>
  <c r="ABJ24" i="7" s="1"/>
  <c r="ABJ25" i="7" s="1"/>
  <c r="ABJ26" i="7" s="1"/>
  <c r="ABJ27" i="7" s="1"/>
  <c r="ABK18" i="7"/>
  <c r="ABK19" i="7" s="1"/>
  <c r="ABK20" i="7" s="1"/>
  <c r="ABK21" i="7" s="1"/>
  <c r="ABK22" i="7" s="1"/>
  <c r="ABK23" i="7" s="1"/>
  <c r="ABK24" i="7" s="1"/>
  <c r="ABK25" i="7" s="1"/>
  <c r="ABK26" i="7" s="1"/>
  <c r="ABK27" i="7" s="1"/>
  <c r="ABL18" i="7"/>
  <c r="ABL19" i="7" s="1"/>
  <c r="ABL20" i="7" s="1"/>
  <c r="ABL21" i="7" s="1"/>
  <c r="ABL22" i="7" s="1"/>
  <c r="ABL23" i="7" s="1"/>
  <c r="ABL24" i="7" s="1"/>
  <c r="ABL25" i="7" s="1"/>
  <c r="ABL26" i="7" s="1"/>
  <c r="ABL27" i="7" s="1"/>
  <c r="ABM18" i="7"/>
  <c r="ABM19" i="7" s="1"/>
  <c r="ABM20" i="7" s="1"/>
  <c r="ABM21" i="7" s="1"/>
  <c r="ABM22" i="7" s="1"/>
  <c r="ABM23" i="7" s="1"/>
  <c r="ABM24" i="7" s="1"/>
  <c r="ABM25" i="7" s="1"/>
  <c r="ABM26" i="7" s="1"/>
  <c r="ABM27" i="7" s="1"/>
  <c r="ABN18" i="7"/>
  <c r="ABN19" i="7" s="1"/>
  <c r="ABN20" i="7" s="1"/>
  <c r="ABN21" i="7" s="1"/>
  <c r="ABN22" i="7" s="1"/>
  <c r="ABN23" i="7" s="1"/>
  <c r="ABN24" i="7" s="1"/>
  <c r="ABN25" i="7" s="1"/>
  <c r="ABN26" i="7" s="1"/>
  <c r="ABN27" i="7" s="1"/>
  <c r="ABO18" i="7"/>
  <c r="ABO19" i="7" s="1"/>
  <c r="ABO20" i="7" s="1"/>
  <c r="ABO21" i="7" s="1"/>
  <c r="ABO22" i="7" s="1"/>
  <c r="ABO23" i="7" s="1"/>
  <c r="ABO24" i="7" s="1"/>
  <c r="ABO25" i="7" s="1"/>
  <c r="ABO26" i="7" s="1"/>
  <c r="ABO27" i="7" s="1"/>
  <c r="ABP18" i="7"/>
  <c r="ABP19" i="7" s="1"/>
  <c r="ABP20" i="7" s="1"/>
  <c r="ABP21" i="7" s="1"/>
  <c r="ABP22" i="7" s="1"/>
  <c r="ABP23" i="7" s="1"/>
  <c r="ABP24" i="7" s="1"/>
  <c r="ABP25" i="7" s="1"/>
  <c r="ABP26" i="7" s="1"/>
  <c r="ABP27" i="7" s="1"/>
  <c r="ABQ18" i="7"/>
  <c r="ABQ19" i="7" s="1"/>
  <c r="ABQ20" i="7" s="1"/>
  <c r="ABQ21" i="7" s="1"/>
  <c r="ABQ22" i="7" s="1"/>
  <c r="ABQ23" i="7" s="1"/>
  <c r="ABQ24" i="7" s="1"/>
  <c r="ABQ25" i="7" s="1"/>
  <c r="ABQ26" i="7" s="1"/>
  <c r="ABQ27" i="7" s="1"/>
  <c r="ABR18" i="7"/>
  <c r="ABR19" i="7" s="1"/>
  <c r="ABR20" i="7" s="1"/>
  <c r="ABR21" i="7" s="1"/>
  <c r="ABR22" i="7" s="1"/>
  <c r="ABR23" i="7" s="1"/>
  <c r="ABR24" i="7" s="1"/>
  <c r="ABR25" i="7" s="1"/>
  <c r="ABR26" i="7" s="1"/>
  <c r="ABR27" i="7" s="1"/>
  <c r="ABS18" i="7"/>
  <c r="ABS19" i="7" s="1"/>
  <c r="ABS20" i="7" s="1"/>
  <c r="ABS21" i="7" s="1"/>
  <c r="ABS22" i="7" s="1"/>
  <c r="ABS23" i="7" s="1"/>
  <c r="ABS24" i="7" s="1"/>
  <c r="ABS25" i="7" s="1"/>
  <c r="ABS26" i="7" s="1"/>
  <c r="ABS27" i="7" s="1"/>
  <c r="ABT18" i="7"/>
  <c r="ABT19" i="7" s="1"/>
  <c r="ABT20" i="7" s="1"/>
  <c r="ABT21" i="7" s="1"/>
  <c r="ABT22" i="7" s="1"/>
  <c r="ABT23" i="7" s="1"/>
  <c r="ABT24" i="7" s="1"/>
  <c r="ABT25" i="7" s="1"/>
  <c r="ABT26" i="7" s="1"/>
  <c r="ABT27" i="7" s="1"/>
  <c r="ABU18" i="7"/>
  <c r="ABU19" i="7" s="1"/>
  <c r="ABU20" i="7" s="1"/>
  <c r="ABU21" i="7" s="1"/>
  <c r="ABU22" i="7" s="1"/>
  <c r="ABU23" i="7" s="1"/>
  <c r="ABU24" i="7" s="1"/>
  <c r="ABU25" i="7" s="1"/>
  <c r="ABU26" i="7" s="1"/>
  <c r="ABU27" i="7" s="1"/>
  <c r="ABV18" i="7"/>
  <c r="ABV19" i="7" s="1"/>
  <c r="ABV20" i="7" s="1"/>
  <c r="ABV21" i="7" s="1"/>
  <c r="ABV22" i="7" s="1"/>
  <c r="ABV23" i="7" s="1"/>
  <c r="ABV24" i="7" s="1"/>
  <c r="ABV25" i="7" s="1"/>
  <c r="ABV26" i="7" s="1"/>
  <c r="ABV27" i="7" s="1"/>
  <c r="ABW18" i="7"/>
  <c r="ABW19" i="7" s="1"/>
  <c r="ABW20" i="7" s="1"/>
  <c r="ABW21" i="7" s="1"/>
  <c r="ABW22" i="7" s="1"/>
  <c r="ABW23" i="7" s="1"/>
  <c r="ABW24" i="7" s="1"/>
  <c r="ABW25" i="7" s="1"/>
  <c r="ABW26" i="7" s="1"/>
  <c r="ABW27" i="7" s="1"/>
  <c r="ABX18" i="7"/>
  <c r="ABX19" i="7" s="1"/>
  <c r="ABX20" i="7" s="1"/>
  <c r="ABX21" i="7" s="1"/>
  <c r="ABX22" i="7" s="1"/>
  <c r="ABX23" i="7" s="1"/>
  <c r="ABX24" i="7" s="1"/>
  <c r="ABX25" i="7" s="1"/>
  <c r="ABX26" i="7" s="1"/>
  <c r="ABX27" i="7" s="1"/>
  <c r="ABY18" i="7"/>
  <c r="ABY19" i="7" s="1"/>
  <c r="ABY20" i="7" s="1"/>
  <c r="ABY21" i="7" s="1"/>
  <c r="ABY22" i="7" s="1"/>
  <c r="ABY23" i="7" s="1"/>
  <c r="ABY24" i="7" s="1"/>
  <c r="ABY25" i="7" s="1"/>
  <c r="ABY26" i="7" s="1"/>
  <c r="ABY27" i="7" s="1"/>
  <c r="ABZ18" i="7"/>
  <c r="ABZ19" i="7" s="1"/>
  <c r="ABZ20" i="7" s="1"/>
  <c r="ABZ21" i="7" s="1"/>
  <c r="ABZ22" i="7" s="1"/>
  <c r="ABZ23" i="7" s="1"/>
  <c r="ABZ24" i="7" s="1"/>
  <c r="ABZ25" i="7" s="1"/>
  <c r="ABZ26" i="7" s="1"/>
  <c r="ABZ27" i="7" s="1"/>
  <c r="ACA18" i="7"/>
  <c r="ACA19" i="7" s="1"/>
  <c r="ACA20" i="7" s="1"/>
  <c r="ACA21" i="7" s="1"/>
  <c r="ACA22" i="7" s="1"/>
  <c r="ACA23" i="7" s="1"/>
  <c r="ACA24" i="7" s="1"/>
  <c r="ACA25" i="7" s="1"/>
  <c r="ACA26" i="7" s="1"/>
  <c r="ACA27" i="7" s="1"/>
  <c r="ACB18" i="7"/>
  <c r="ACB19" i="7" s="1"/>
  <c r="ACB20" i="7" s="1"/>
  <c r="ACB21" i="7" s="1"/>
  <c r="ACB22" i="7" s="1"/>
  <c r="ACB23" i="7" s="1"/>
  <c r="ACB24" i="7" s="1"/>
  <c r="ACB25" i="7" s="1"/>
  <c r="ACB26" i="7" s="1"/>
  <c r="ACB27" i="7" s="1"/>
  <c r="ACC18" i="7"/>
  <c r="ACC19" i="7" s="1"/>
  <c r="ACC20" i="7" s="1"/>
  <c r="ACC21" i="7" s="1"/>
  <c r="ACC22" i="7" s="1"/>
  <c r="ACC23" i="7" s="1"/>
  <c r="ACC24" i="7" s="1"/>
  <c r="ACC25" i="7" s="1"/>
  <c r="ACC26" i="7" s="1"/>
  <c r="ACC27" i="7" s="1"/>
  <c r="ACD18" i="7"/>
  <c r="ACD19" i="7" s="1"/>
  <c r="ACD20" i="7" s="1"/>
  <c r="ACD21" i="7" s="1"/>
  <c r="ACD22" i="7" s="1"/>
  <c r="ACD23" i="7" s="1"/>
  <c r="ACD24" i="7" s="1"/>
  <c r="ACD25" i="7" s="1"/>
  <c r="ACD26" i="7" s="1"/>
  <c r="ACD27" i="7" s="1"/>
  <c r="ACE18" i="7"/>
  <c r="ACE19" i="7" s="1"/>
  <c r="ACE20" i="7" s="1"/>
  <c r="ACE21" i="7" s="1"/>
  <c r="ACE22" i="7" s="1"/>
  <c r="ACE23" i="7" s="1"/>
  <c r="ACE24" i="7" s="1"/>
  <c r="ACE25" i="7" s="1"/>
  <c r="ACE26" i="7" s="1"/>
  <c r="ACE27" i="7" s="1"/>
  <c r="ACF18" i="7"/>
  <c r="ACF19" i="7" s="1"/>
  <c r="ACF20" i="7" s="1"/>
  <c r="ACF21" i="7" s="1"/>
  <c r="ACF22" i="7" s="1"/>
  <c r="ACF23" i="7" s="1"/>
  <c r="ACF24" i="7" s="1"/>
  <c r="ACF25" i="7" s="1"/>
  <c r="ACF26" i="7" s="1"/>
  <c r="ACF27" i="7" s="1"/>
  <c r="ACG18" i="7"/>
  <c r="ACG19" i="7" s="1"/>
  <c r="ACG20" i="7" s="1"/>
  <c r="ACG21" i="7" s="1"/>
  <c r="ACG22" i="7" s="1"/>
  <c r="ACG23" i="7" s="1"/>
  <c r="ACG24" i="7" s="1"/>
  <c r="ACG25" i="7" s="1"/>
  <c r="ACG26" i="7" s="1"/>
  <c r="ACG27" i="7" s="1"/>
  <c r="ACH18" i="7"/>
  <c r="ACH19" i="7" s="1"/>
  <c r="ACH20" i="7" s="1"/>
  <c r="ACH21" i="7" s="1"/>
  <c r="ACH22" i="7" s="1"/>
  <c r="ACH23" i="7" s="1"/>
  <c r="ACH24" i="7" s="1"/>
  <c r="ACH25" i="7" s="1"/>
  <c r="ACH26" i="7" s="1"/>
  <c r="ACH27" i="7" s="1"/>
  <c r="ACI18" i="7"/>
  <c r="ACI19" i="7" s="1"/>
  <c r="ACI20" i="7" s="1"/>
  <c r="ACI21" i="7" s="1"/>
  <c r="ACI22" i="7" s="1"/>
  <c r="ACI23" i="7" s="1"/>
  <c r="ACI24" i="7" s="1"/>
  <c r="ACI25" i="7" s="1"/>
  <c r="ACI26" i="7" s="1"/>
  <c r="ACI27" i="7" s="1"/>
  <c r="ACJ18" i="7"/>
  <c r="ACJ19" i="7" s="1"/>
  <c r="ACJ20" i="7" s="1"/>
  <c r="ACJ21" i="7" s="1"/>
  <c r="ACJ22" i="7" s="1"/>
  <c r="ACJ23" i="7" s="1"/>
  <c r="ACJ24" i="7" s="1"/>
  <c r="ACJ25" i="7" s="1"/>
  <c r="ACJ26" i="7" s="1"/>
  <c r="ACJ27" i="7" s="1"/>
  <c r="ACK18" i="7"/>
  <c r="ACK19" i="7" s="1"/>
  <c r="ACK20" i="7" s="1"/>
  <c r="ACK21" i="7" s="1"/>
  <c r="ACK22" i="7" s="1"/>
  <c r="ACK23" i="7" s="1"/>
  <c r="ACK24" i="7" s="1"/>
  <c r="ACK25" i="7" s="1"/>
  <c r="ACK26" i="7" s="1"/>
  <c r="ACK27" i="7" s="1"/>
  <c r="ACL18" i="7"/>
  <c r="ACL19" i="7" s="1"/>
  <c r="ACL20" i="7" s="1"/>
  <c r="ACL21" i="7" s="1"/>
  <c r="ACL22" i="7" s="1"/>
  <c r="ACL23" i="7" s="1"/>
  <c r="ACL24" i="7" s="1"/>
  <c r="ACL25" i="7" s="1"/>
  <c r="ACL26" i="7" s="1"/>
  <c r="ACL27" i="7" s="1"/>
  <c r="ACM18" i="7"/>
  <c r="ACM19" i="7" s="1"/>
  <c r="ACM20" i="7" s="1"/>
  <c r="ACM21" i="7" s="1"/>
  <c r="ACM22" i="7" s="1"/>
  <c r="ACM23" i="7" s="1"/>
  <c r="ACM24" i="7" s="1"/>
  <c r="ACM25" i="7" s="1"/>
  <c r="ACM26" i="7" s="1"/>
  <c r="ACM27" i="7" s="1"/>
  <c r="ACN18" i="7"/>
  <c r="ACN19" i="7" s="1"/>
  <c r="ACN20" i="7" s="1"/>
  <c r="ACN21" i="7" s="1"/>
  <c r="ACN22" i="7" s="1"/>
  <c r="ACN23" i="7" s="1"/>
  <c r="ACN24" i="7" s="1"/>
  <c r="ACN25" i="7" s="1"/>
  <c r="ACN26" i="7" s="1"/>
  <c r="ACN27" i="7" s="1"/>
  <c r="ACO18" i="7"/>
  <c r="ACO19" i="7" s="1"/>
  <c r="ACO20" i="7" s="1"/>
  <c r="ACO21" i="7" s="1"/>
  <c r="ACO22" i="7" s="1"/>
  <c r="ACO23" i="7" s="1"/>
  <c r="ACO24" i="7" s="1"/>
  <c r="ACO25" i="7" s="1"/>
  <c r="ACO26" i="7" s="1"/>
  <c r="ACO27" i="7" s="1"/>
  <c r="ACP18" i="7"/>
  <c r="ACP19" i="7" s="1"/>
  <c r="ACP20" i="7" s="1"/>
  <c r="ACP21" i="7" s="1"/>
  <c r="ACP22" i="7" s="1"/>
  <c r="ACP23" i="7" s="1"/>
  <c r="ACP24" i="7" s="1"/>
  <c r="ACP25" i="7" s="1"/>
  <c r="ACP26" i="7" s="1"/>
  <c r="ACP27" i="7" s="1"/>
  <c r="ACQ18" i="7"/>
  <c r="ACQ19" i="7" s="1"/>
  <c r="ACQ20" i="7" s="1"/>
  <c r="ACQ21" i="7" s="1"/>
  <c r="ACQ22" i="7" s="1"/>
  <c r="ACQ23" i="7" s="1"/>
  <c r="ACQ24" i="7" s="1"/>
  <c r="ACQ25" i="7" s="1"/>
  <c r="ACQ26" i="7" s="1"/>
  <c r="ACQ27" i="7" s="1"/>
  <c r="ACR18" i="7"/>
  <c r="ACR19" i="7" s="1"/>
  <c r="ACR20" i="7" s="1"/>
  <c r="ACR21" i="7" s="1"/>
  <c r="ACR22" i="7" s="1"/>
  <c r="ACR23" i="7" s="1"/>
  <c r="ACR24" i="7" s="1"/>
  <c r="ACR25" i="7" s="1"/>
  <c r="ACR26" i="7" s="1"/>
  <c r="ACR27" i="7" s="1"/>
  <c r="ACS18" i="7"/>
  <c r="ACS19" i="7" s="1"/>
  <c r="ACS20" i="7" s="1"/>
  <c r="ACS21" i="7" s="1"/>
  <c r="ACS22" i="7" s="1"/>
  <c r="ACS23" i="7" s="1"/>
  <c r="ACS24" i="7" s="1"/>
  <c r="ACS25" i="7" s="1"/>
  <c r="ACS26" i="7" s="1"/>
  <c r="ACS27" i="7" s="1"/>
  <c r="ACT18" i="7"/>
  <c r="ACT19" i="7" s="1"/>
  <c r="ACT20" i="7" s="1"/>
  <c r="ACT21" i="7" s="1"/>
  <c r="ACT22" i="7" s="1"/>
  <c r="ACT23" i="7" s="1"/>
  <c r="ACT24" i="7" s="1"/>
  <c r="ACT25" i="7" s="1"/>
  <c r="ACT26" i="7" s="1"/>
  <c r="ACT27" i="7" s="1"/>
  <c r="ACU18" i="7"/>
  <c r="ACU19" i="7" s="1"/>
  <c r="ACU20" i="7" s="1"/>
  <c r="ACU21" i="7" s="1"/>
  <c r="ACU22" i="7" s="1"/>
  <c r="ACU23" i="7" s="1"/>
  <c r="ACU24" i="7" s="1"/>
  <c r="ACU25" i="7" s="1"/>
  <c r="ACU26" i="7" s="1"/>
  <c r="ACU27" i="7" s="1"/>
  <c r="ACV18" i="7"/>
  <c r="ACV19" i="7" s="1"/>
  <c r="ACV20" i="7" s="1"/>
  <c r="ACV21" i="7" s="1"/>
  <c r="ACV22" i="7" s="1"/>
  <c r="ACV23" i="7" s="1"/>
  <c r="ACV24" i="7" s="1"/>
  <c r="ACV25" i="7" s="1"/>
  <c r="ACV26" i="7" s="1"/>
  <c r="ACV27" i="7" s="1"/>
  <c r="ACW18" i="7"/>
  <c r="ACW19" i="7" s="1"/>
  <c r="ACW20" i="7" s="1"/>
  <c r="ACW21" i="7" s="1"/>
  <c r="ACW22" i="7" s="1"/>
  <c r="ACW23" i="7" s="1"/>
  <c r="ACW24" i="7" s="1"/>
  <c r="ACW25" i="7" s="1"/>
  <c r="ACW26" i="7" s="1"/>
  <c r="ACW27" i="7" s="1"/>
  <c r="ACX18" i="7"/>
  <c r="ACX19" i="7" s="1"/>
  <c r="ACX20" i="7" s="1"/>
  <c r="ACX21" i="7" s="1"/>
  <c r="ACX22" i="7" s="1"/>
  <c r="ACX23" i="7" s="1"/>
  <c r="ACX24" i="7" s="1"/>
  <c r="ACX25" i="7" s="1"/>
  <c r="ACX26" i="7" s="1"/>
  <c r="ACX27" i="7" s="1"/>
  <c r="ACY18" i="7"/>
  <c r="ACY19" i="7" s="1"/>
  <c r="ACY20" i="7" s="1"/>
  <c r="ACY21" i="7" s="1"/>
  <c r="ACY22" i="7" s="1"/>
  <c r="ACY23" i="7" s="1"/>
  <c r="ACY24" i="7" s="1"/>
  <c r="ACY25" i="7" s="1"/>
  <c r="ACY26" i="7" s="1"/>
  <c r="ACY27" i="7" s="1"/>
  <c r="ACZ18" i="7"/>
  <c r="ACZ19" i="7" s="1"/>
  <c r="ACZ20" i="7" s="1"/>
  <c r="ACZ21" i="7" s="1"/>
  <c r="ACZ22" i="7" s="1"/>
  <c r="ACZ23" i="7" s="1"/>
  <c r="ACZ24" i="7" s="1"/>
  <c r="ACZ25" i="7" s="1"/>
  <c r="ACZ26" i="7" s="1"/>
  <c r="ACZ27" i="7" s="1"/>
  <c r="ADA18" i="7"/>
  <c r="ADA19" i="7" s="1"/>
  <c r="ADA20" i="7" s="1"/>
  <c r="ADA21" i="7" s="1"/>
  <c r="ADA22" i="7" s="1"/>
  <c r="ADA23" i="7" s="1"/>
  <c r="ADA24" i="7" s="1"/>
  <c r="ADA25" i="7" s="1"/>
  <c r="ADA26" i="7" s="1"/>
  <c r="ADA27" i="7" s="1"/>
  <c r="ADB18" i="7"/>
  <c r="ADB19" i="7" s="1"/>
  <c r="ADB20" i="7" s="1"/>
  <c r="ADB21" i="7" s="1"/>
  <c r="ADB22" i="7" s="1"/>
  <c r="ADB23" i="7" s="1"/>
  <c r="ADB24" i="7" s="1"/>
  <c r="ADB25" i="7" s="1"/>
  <c r="ADB26" i="7" s="1"/>
  <c r="ADB27" i="7" s="1"/>
  <c r="ADC18" i="7"/>
  <c r="ADC19" i="7" s="1"/>
  <c r="ADC20" i="7" s="1"/>
  <c r="ADC21" i="7" s="1"/>
  <c r="ADC22" i="7" s="1"/>
  <c r="ADC23" i="7" s="1"/>
  <c r="ADC24" i="7" s="1"/>
  <c r="ADC25" i="7" s="1"/>
  <c r="ADC26" i="7" s="1"/>
  <c r="ADC27" i="7" s="1"/>
  <c r="ADD18" i="7"/>
  <c r="ADD19" i="7" s="1"/>
  <c r="ADD20" i="7" s="1"/>
  <c r="ADD21" i="7" s="1"/>
  <c r="ADD22" i="7" s="1"/>
  <c r="ADD23" i="7" s="1"/>
  <c r="ADD24" i="7" s="1"/>
  <c r="ADD25" i="7" s="1"/>
  <c r="ADD26" i="7" s="1"/>
  <c r="ADD27" i="7" s="1"/>
  <c r="ADE18" i="7"/>
  <c r="ADE19" i="7" s="1"/>
  <c r="ADE20" i="7" s="1"/>
  <c r="ADE21" i="7" s="1"/>
  <c r="ADE22" i="7" s="1"/>
  <c r="ADE23" i="7" s="1"/>
  <c r="ADE24" i="7" s="1"/>
  <c r="ADE25" i="7" s="1"/>
  <c r="ADE26" i="7" s="1"/>
  <c r="ADE27" i="7" s="1"/>
  <c r="ADF18" i="7"/>
  <c r="ADF19" i="7" s="1"/>
  <c r="ADF20" i="7" s="1"/>
  <c r="ADF21" i="7" s="1"/>
  <c r="ADF22" i="7" s="1"/>
  <c r="ADF23" i="7" s="1"/>
  <c r="ADF24" i="7" s="1"/>
  <c r="ADF25" i="7" s="1"/>
  <c r="ADF26" i="7" s="1"/>
  <c r="ADF27" i="7" s="1"/>
  <c r="ADG18" i="7"/>
  <c r="ADG19" i="7" s="1"/>
  <c r="ADG20" i="7" s="1"/>
  <c r="ADG21" i="7" s="1"/>
  <c r="ADG22" i="7" s="1"/>
  <c r="ADG23" i="7" s="1"/>
  <c r="ADG24" i="7" s="1"/>
  <c r="ADG25" i="7" s="1"/>
  <c r="ADG26" i="7" s="1"/>
  <c r="ADG27" i="7" s="1"/>
  <c r="ADH18" i="7"/>
  <c r="ADH19" i="7" s="1"/>
  <c r="ADH20" i="7" s="1"/>
  <c r="ADH21" i="7" s="1"/>
  <c r="ADH22" i="7" s="1"/>
  <c r="ADH23" i="7" s="1"/>
  <c r="ADH24" i="7" s="1"/>
  <c r="ADH25" i="7" s="1"/>
  <c r="ADH26" i="7" s="1"/>
  <c r="ADH27" i="7" s="1"/>
  <c r="ADI18" i="7"/>
  <c r="ADI19" i="7" s="1"/>
  <c r="ADI20" i="7" s="1"/>
  <c r="ADI21" i="7" s="1"/>
  <c r="ADI22" i="7" s="1"/>
  <c r="ADI23" i="7" s="1"/>
  <c r="ADI24" i="7" s="1"/>
  <c r="ADI25" i="7" s="1"/>
  <c r="ADI26" i="7" s="1"/>
  <c r="ADI27" i="7" s="1"/>
  <c r="ADJ18" i="7"/>
  <c r="ADJ19" i="7" s="1"/>
  <c r="ADJ20" i="7" s="1"/>
  <c r="ADJ21" i="7" s="1"/>
  <c r="ADJ22" i="7" s="1"/>
  <c r="ADJ23" i="7" s="1"/>
  <c r="ADJ24" i="7" s="1"/>
  <c r="ADJ25" i="7" s="1"/>
  <c r="ADJ26" i="7" s="1"/>
  <c r="ADJ27" i="7" s="1"/>
  <c r="ADK18" i="7"/>
  <c r="ADK19" i="7" s="1"/>
  <c r="ADK20" i="7" s="1"/>
  <c r="ADK21" i="7" s="1"/>
  <c r="ADK22" i="7" s="1"/>
  <c r="ADK23" i="7" s="1"/>
  <c r="ADK24" i="7" s="1"/>
  <c r="ADK25" i="7" s="1"/>
  <c r="ADK26" i="7" s="1"/>
  <c r="ADK27" i="7" s="1"/>
  <c r="ADL18" i="7"/>
  <c r="ADL19" i="7" s="1"/>
  <c r="ADL20" i="7" s="1"/>
  <c r="ADL21" i="7" s="1"/>
  <c r="ADL22" i="7" s="1"/>
  <c r="ADL23" i="7" s="1"/>
  <c r="ADL24" i="7" s="1"/>
  <c r="ADL25" i="7" s="1"/>
  <c r="ADL26" i="7" s="1"/>
  <c r="ADL27" i="7" s="1"/>
  <c r="ADM18" i="7"/>
  <c r="ADM19" i="7" s="1"/>
  <c r="ADM20" i="7" s="1"/>
  <c r="ADM21" i="7" s="1"/>
  <c r="ADM22" i="7" s="1"/>
  <c r="ADM23" i="7" s="1"/>
  <c r="ADM24" i="7" s="1"/>
  <c r="ADM25" i="7" s="1"/>
  <c r="ADM26" i="7" s="1"/>
  <c r="ADM27" i="7" s="1"/>
  <c r="ADN18" i="7"/>
  <c r="ADN19" i="7" s="1"/>
  <c r="ADN20" i="7" s="1"/>
  <c r="ADN21" i="7" s="1"/>
  <c r="ADN22" i="7" s="1"/>
  <c r="ADN23" i="7" s="1"/>
  <c r="ADN24" i="7" s="1"/>
  <c r="ADN25" i="7" s="1"/>
  <c r="ADN26" i="7" s="1"/>
  <c r="ADN27" i="7" s="1"/>
  <c r="ADO18" i="7"/>
  <c r="ADO19" i="7" s="1"/>
  <c r="ADO20" i="7" s="1"/>
  <c r="ADO21" i="7" s="1"/>
  <c r="ADO22" i="7" s="1"/>
  <c r="ADO23" i="7" s="1"/>
  <c r="ADO24" i="7" s="1"/>
  <c r="ADO25" i="7" s="1"/>
  <c r="ADO26" i="7" s="1"/>
  <c r="ADO27" i="7" s="1"/>
  <c r="ADP18" i="7"/>
  <c r="ADP19" i="7" s="1"/>
  <c r="ADP20" i="7" s="1"/>
  <c r="ADP21" i="7" s="1"/>
  <c r="ADP22" i="7" s="1"/>
  <c r="ADP23" i="7" s="1"/>
  <c r="ADP24" i="7" s="1"/>
  <c r="ADP25" i="7" s="1"/>
  <c r="ADP26" i="7" s="1"/>
  <c r="ADP27" i="7" s="1"/>
  <c r="ADQ18" i="7"/>
  <c r="ADQ19" i="7" s="1"/>
  <c r="ADQ20" i="7" s="1"/>
  <c r="ADQ21" i="7" s="1"/>
  <c r="ADQ22" i="7" s="1"/>
  <c r="ADQ23" i="7" s="1"/>
  <c r="ADQ24" i="7" s="1"/>
  <c r="ADQ25" i="7" s="1"/>
  <c r="ADQ26" i="7" s="1"/>
  <c r="ADQ27" i="7" s="1"/>
  <c r="ADR18" i="7"/>
  <c r="ADR19" i="7" s="1"/>
  <c r="ADR20" i="7" s="1"/>
  <c r="ADR21" i="7" s="1"/>
  <c r="ADR22" i="7" s="1"/>
  <c r="ADR23" i="7" s="1"/>
  <c r="ADR24" i="7" s="1"/>
  <c r="ADR25" i="7" s="1"/>
  <c r="ADR26" i="7" s="1"/>
  <c r="ADR27" i="7" s="1"/>
  <c r="ADS18" i="7"/>
  <c r="ADS19" i="7" s="1"/>
  <c r="ADS20" i="7" s="1"/>
  <c r="ADS21" i="7" s="1"/>
  <c r="ADS22" i="7" s="1"/>
  <c r="ADS23" i="7" s="1"/>
  <c r="ADS24" i="7" s="1"/>
  <c r="ADS25" i="7" s="1"/>
  <c r="ADS26" i="7" s="1"/>
  <c r="ADS27" i="7" s="1"/>
  <c r="ADT18" i="7"/>
  <c r="ADT19" i="7" s="1"/>
  <c r="ADT20" i="7" s="1"/>
  <c r="ADT21" i="7" s="1"/>
  <c r="ADT22" i="7" s="1"/>
  <c r="ADT23" i="7" s="1"/>
  <c r="ADT24" i="7" s="1"/>
  <c r="ADT25" i="7" s="1"/>
  <c r="ADT26" i="7" s="1"/>
  <c r="ADT27" i="7" s="1"/>
  <c r="ADU18" i="7"/>
  <c r="ADU19" i="7" s="1"/>
  <c r="ADU20" i="7" s="1"/>
  <c r="ADU21" i="7" s="1"/>
  <c r="ADU22" i="7" s="1"/>
  <c r="ADU23" i="7" s="1"/>
  <c r="ADU24" i="7" s="1"/>
  <c r="ADU25" i="7" s="1"/>
  <c r="ADU26" i="7" s="1"/>
  <c r="ADU27" i="7" s="1"/>
  <c r="ADV18" i="7"/>
  <c r="ADV19" i="7" s="1"/>
  <c r="ADV20" i="7" s="1"/>
  <c r="ADV21" i="7" s="1"/>
  <c r="ADV22" i="7" s="1"/>
  <c r="ADV23" i="7" s="1"/>
  <c r="ADV24" i="7" s="1"/>
  <c r="ADV25" i="7" s="1"/>
  <c r="ADV26" i="7" s="1"/>
  <c r="ADV27" i="7" s="1"/>
  <c r="ADW18" i="7"/>
  <c r="ADW19" i="7" s="1"/>
  <c r="ADW20" i="7" s="1"/>
  <c r="ADW21" i="7" s="1"/>
  <c r="ADW22" i="7" s="1"/>
  <c r="ADW23" i="7" s="1"/>
  <c r="ADW24" i="7" s="1"/>
  <c r="ADW25" i="7" s="1"/>
  <c r="ADW26" i="7" s="1"/>
  <c r="ADW27" i="7" s="1"/>
  <c r="ADX18" i="7"/>
  <c r="ADX19" i="7" s="1"/>
  <c r="ADX20" i="7" s="1"/>
  <c r="ADX21" i="7" s="1"/>
  <c r="ADX22" i="7" s="1"/>
  <c r="ADX23" i="7" s="1"/>
  <c r="ADX24" i="7" s="1"/>
  <c r="ADX25" i="7" s="1"/>
  <c r="ADX26" i="7" s="1"/>
  <c r="ADX27" i="7" s="1"/>
  <c r="ADY18" i="7"/>
  <c r="ADY19" i="7" s="1"/>
  <c r="ADY20" i="7" s="1"/>
  <c r="ADY21" i="7" s="1"/>
  <c r="ADY22" i="7" s="1"/>
  <c r="ADY23" i="7" s="1"/>
  <c r="ADY24" i="7" s="1"/>
  <c r="ADY25" i="7" s="1"/>
  <c r="ADY26" i="7" s="1"/>
  <c r="ADY27" i="7" s="1"/>
  <c r="ADZ18" i="7"/>
  <c r="ADZ19" i="7" s="1"/>
  <c r="ADZ20" i="7" s="1"/>
  <c r="ADZ21" i="7" s="1"/>
  <c r="ADZ22" i="7" s="1"/>
  <c r="ADZ23" i="7" s="1"/>
  <c r="ADZ24" i="7" s="1"/>
  <c r="ADZ25" i="7" s="1"/>
  <c r="ADZ26" i="7" s="1"/>
  <c r="ADZ27" i="7" s="1"/>
  <c r="AEA18" i="7"/>
  <c r="AEA19" i="7" s="1"/>
  <c r="AEA20" i="7" s="1"/>
  <c r="AEA21" i="7" s="1"/>
  <c r="AEA22" i="7" s="1"/>
  <c r="AEA23" i="7" s="1"/>
  <c r="AEA24" i="7" s="1"/>
  <c r="AEA25" i="7" s="1"/>
  <c r="AEA26" i="7" s="1"/>
  <c r="AEA27" i="7" s="1"/>
  <c r="AEB18" i="7"/>
  <c r="AEB19" i="7" s="1"/>
  <c r="AEB20" i="7" s="1"/>
  <c r="AEB21" i="7" s="1"/>
  <c r="AEB22" i="7" s="1"/>
  <c r="AEB23" i="7" s="1"/>
  <c r="AEB24" i="7" s="1"/>
  <c r="AEB25" i="7" s="1"/>
  <c r="AEB26" i="7" s="1"/>
  <c r="AEB27" i="7" s="1"/>
  <c r="AEC18" i="7"/>
  <c r="AEC19" i="7" s="1"/>
  <c r="AEC20" i="7" s="1"/>
  <c r="AEC21" i="7" s="1"/>
  <c r="AEC22" i="7" s="1"/>
  <c r="AEC23" i="7" s="1"/>
  <c r="AEC24" i="7" s="1"/>
  <c r="AEC25" i="7" s="1"/>
  <c r="AEC26" i="7" s="1"/>
  <c r="AEC27" i="7" s="1"/>
  <c r="AED18" i="7"/>
  <c r="AED19" i="7" s="1"/>
  <c r="AED20" i="7" s="1"/>
  <c r="AED21" i="7" s="1"/>
  <c r="AED22" i="7" s="1"/>
  <c r="AED23" i="7" s="1"/>
  <c r="AED24" i="7" s="1"/>
  <c r="AED25" i="7" s="1"/>
  <c r="AED26" i="7" s="1"/>
  <c r="AED27" i="7" s="1"/>
  <c r="AEE18" i="7"/>
  <c r="AEE19" i="7" s="1"/>
  <c r="AEE20" i="7" s="1"/>
  <c r="AEE21" i="7" s="1"/>
  <c r="AEE22" i="7" s="1"/>
  <c r="AEE23" i="7" s="1"/>
  <c r="AEE24" i="7" s="1"/>
  <c r="AEE25" i="7" s="1"/>
  <c r="AEE26" i="7" s="1"/>
  <c r="AEE27" i="7" s="1"/>
  <c r="AEF18" i="7"/>
  <c r="AEF19" i="7" s="1"/>
  <c r="AEF20" i="7" s="1"/>
  <c r="AEF21" i="7" s="1"/>
  <c r="AEF22" i="7" s="1"/>
  <c r="AEF23" i="7" s="1"/>
  <c r="AEF24" i="7" s="1"/>
  <c r="AEF25" i="7" s="1"/>
  <c r="AEF26" i="7" s="1"/>
  <c r="AEF27" i="7" s="1"/>
  <c r="AEG18" i="7"/>
  <c r="AEG19" i="7" s="1"/>
  <c r="AEG20" i="7" s="1"/>
  <c r="AEG21" i="7" s="1"/>
  <c r="AEG22" i="7" s="1"/>
  <c r="AEG23" i="7" s="1"/>
  <c r="AEG24" i="7" s="1"/>
  <c r="AEG25" i="7" s="1"/>
  <c r="AEG26" i="7" s="1"/>
  <c r="AEG27" i="7" s="1"/>
  <c r="AEH18" i="7"/>
  <c r="AEH19" i="7" s="1"/>
  <c r="AEH20" i="7" s="1"/>
  <c r="AEH21" i="7" s="1"/>
  <c r="AEH22" i="7" s="1"/>
  <c r="AEH23" i="7" s="1"/>
  <c r="AEH24" i="7" s="1"/>
  <c r="AEH25" i="7" s="1"/>
  <c r="AEH26" i="7" s="1"/>
  <c r="AEH27" i="7" s="1"/>
  <c r="AEI18" i="7"/>
  <c r="AEI19" i="7" s="1"/>
  <c r="AEI20" i="7" s="1"/>
  <c r="AEI21" i="7" s="1"/>
  <c r="AEI22" i="7" s="1"/>
  <c r="AEI23" i="7" s="1"/>
  <c r="AEI24" i="7" s="1"/>
  <c r="AEI25" i="7" s="1"/>
  <c r="AEI26" i="7" s="1"/>
  <c r="AEI27" i="7" s="1"/>
  <c r="AEJ18" i="7"/>
  <c r="AEJ19" i="7" s="1"/>
  <c r="AEJ20" i="7" s="1"/>
  <c r="AEJ21" i="7" s="1"/>
  <c r="AEJ22" i="7" s="1"/>
  <c r="AEJ23" i="7" s="1"/>
  <c r="AEJ24" i="7" s="1"/>
  <c r="AEJ25" i="7" s="1"/>
  <c r="AEJ26" i="7" s="1"/>
  <c r="AEJ27" i="7" s="1"/>
  <c r="AEK18" i="7"/>
  <c r="AEK19" i="7" s="1"/>
  <c r="AEK20" i="7" s="1"/>
  <c r="AEK21" i="7" s="1"/>
  <c r="AEK22" i="7" s="1"/>
  <c r="AEK23" i="7" s="1"/>
  <c r="AEK24" i="7" s="1"/>
  <c r="AEK25" i="7" s="1"/>
  <c r="AEK26" i="7" s="1"/>
  <c r="AEK27" i="7" s="1"/>
  <c r="AEL18" i="7"/>
  <c r="AEL19" i="7" s="1"/>
  <c r="AEM18" i="7"/>
  <c r="AEM19" i="7" s="1"/>
  <c r="AEM20" i="7" s="1"/>
  <c r="AEM21" i="7" s="1"/>
  <c r="AEM22" i="7" s="1"/>
  <c r="AEM23" i="7" s="1"/>
  <c r="AEM24" i="7" s="1"/>
  <c r="AEM25" i="7" s="1"/>
  <c r="AEM26" i="7" s="1"/>
  <c r="AEM27" i="7" s="1"/>
  <c r="AEN18" i="7"/>
  <c r="AEN19" i="7" s="1"/>
  <c r="AEN20" i="7" s="1"/>
  <c r="AEN21" i="7" s="1"/>
  <c r="AEN22" i="7" s="1"/>
  <c r="AEN23" i="7" s="1"/>
  <c r="AEN24" i="7" s="1"/>
  <c r="AEN25" i="7" s="1"/>
  <c r="AEN26" i="7" s="1"/>
  <c r="AEN27" i="7" s="1"/>
  <c r="AEO18" i="7"/>
  <c r="AEO19" i="7" s="1"/>
  <c r="AEO20" i="7" s="1"/>
  <c r="AEO21" i="7" s="1"/>
  <c r="AEO22" i="7" s="1"/>
  <c r="AEO23" i="7" s="1"/>
  <c r="AEO24" i="7" s="1"/>
  <c r="AEO25" i="7" s="1"/>
  <c r="AEO26" i="7" s="1"/>
  <c r="AEO27" i="7" s="1"/>
  <c r="AEP18" i="7"/>
  <c r="AEP19" i="7" s="1"/>
  <c r="AEP20" i="7" s="1"/>
  <c r="AEP21" i="7" s="1"/>
  <c r="AEP22" i="7" s="1"/>
  <c r="AEP23" i="7" s="1"/>
  <c r="AEP24" i="7" s="1"/>
  <c r="AEP25" i="7" s="1"/>
  <c r="AEP26" i="7" s="1"/>
  <c r="AEP27" i="7" s="1"/>
  <c r="AEQ18" i="7"/>
  <c r="AEQ19" i="7" s="1"/>
  <c r="AEQ20" i="7" s="1"/>
  <c r="AEQ21" i="7" s="1"/>
  <c r="AEQ22" i="7" s="1"/>
  <c r="AEQ23" i="7" s="1"/>
  <c r="AEQ24" i="7" s="1"/>
  <c r="AEQ25" i="7" s="1"/>
  <c r="AEQ26" i="7" s="1"/>
  <c r="AEQ27" i="7" s="1"/>
  <c r="AER18" i="7"/>
  <c r="AER19" i="7" s="1"/>
  <c r="AER20" i="7" s="1"/>
  <c r="AER21" i="7" s="1"/>
  <c r="AER22" i="7" s="1"/>
  <c r="AER23" i="7" s="1"/>
  <c r="AER24" i="7" s="1"/>
  <c r="AER25" i="7" s="1"/>
  <c r="AER26" i="7" s="1"/>
  <c r="AER27" i="7" s="1"/>
  <c r="AES18" i="7"/>
  <c r="AES19" i="7" s="1"/>
  <c r="AES20" i="7" s="1"/>
  <c r="AES21" i="7" s="1"/>
  <c r="AES22" i="7" s="1"/>
  <c r="AES23" i="7" s="1"/>
  <c r="AES24" i="7" s="1"/>
  <c r="AES25" i="7" s="1"/>
  <c r="AES26" i="7" s="1"/>
  <c r="AES27" i="7" s="1"/>
  <c r="AET18" i="7"/>
  <c r="AET19" i="7" s="1"/>
  <c r="AET20" i="7" s="1"/>
  <c r="AET21" i="7" s="1"/>
  <c r="AET22" i="7" s="1"/>
  <c r="AET23" i="7" s="1"/>
  <c r="AET24" i="7" s="1"/>
  <c r="AET25" i="7" s="1"/>
  <c r="AET26" i="7" s="1"/>
  <c r="AET27" i="7" s="1"/>
  <c r="AEU18" i="7"/>
  <c r="AEU19" i="7" s="1"/>
  <c r="AEU20" i="7" s="1"/>
  <c r="AEU21" i="7" s="1"/>
  <c r="AEU22" i="7" s="1"/>
  <c r="AEU23" i="7" s="1"/>
  <c r="AEU24" i="7" s="1"/>
  <c r="AEU25" i="7" s="1"/>
  <c r="AEU26" i="7" s="1"/>
  <c r="AEU27" i="7" s="1"/>
  <c r="AEV18" i="7"/>
  <c r="AEV19" i="7" s="1"/>
  <c r="AEV20" i="7" s="1"/>
  <c r="AEV21" i="7" s="1"/>
  <c r="AEV22" i="7" s="1"/>
  <c r="AEV23" i="7" s="1"/>
  <c r="AEV24" i="7" s="1"/>
  <c r="AEV25" i="7" s="1"/>
  <c r="AEV26" i="7" s="1"/>
  <c r="AEV27" i="7" s="1"/>
  <c r="AEW18" i="7"/>
  <c r="AEW19" i="7" s="1"/>
  <c r="AEW20" i="7" s="1"/>
  <c r="AEW21" i="7" s="1"/>
  <c r="AEW22" i="7" s="1"/>
  <c r="AEW23" i="7" s="1"/>
  <c r="AEW24" i="7" s="1"/>
  <c r="AEW25" i="7" s="1"/>
  <c r="AEW26" i="7" s="1"/>
  <c r="AEW27" i="7" s="1"/>
  <c r="AEX18" i="7"/>
  <c r="AEX19" i="7" s="1"/>
  <c r="AEX20" i="7" s="1"/>
  <c r="AEX21" i="7" s="1"/>
  <c r="AEX22" i="7" s="1"/>
  <c r="AEX23" i="7" s="1"/>
  <c r="AEX24" i="7" s="1"/>
  <c r="AEX25" i="7" s="1"/>
  <c r="AEX26" i="7" s="1"/>
  <c r="AEX27" i="7" s="1"/>
  <c r="AEY18" i="7"/>
  <c r="AEY19" i="7" s="1"/>
  <c r="AEY20" i="7" s="1"/>
  <c r="AEY21" i="7" s="1"/>
  <c r="AEY22" i="7" s="1"/>
  <c r="AEY23" i="7" s="1"/>
  <c r="AEY24" i="7" s="1"/>
  <c r="AEY25" i="7" s="1"/>
  <c r="AEY26" i="7" s="1"/>
  <c r="AEY27" i="7" s="1"/>
  <c r="AEZ18" i="7"/>
  <c r="AEZ19" i="7" s="1"/>
  <c r="AEZ20" i="7" s="1"/>
  <c r="AEZ21" i="7" s="1"/>
  <c r="AEZ22" i="7" s="1"/>
  <c r="AEZ23" i="7" s="1"/>
  <c r="AEZ24" i="7" s="1"/>
  <c r="AEZ25" i="7" s="1"/>
  <c r="AEZ26" i="7" s="1"/>
  <c r="AEZ27" i="7" s="1"/>
  <c r="AFA18" i="7"/>
  <c r="AFA19" i="7" s="1"/>
  <c r="AFA20" i="7" s="1"/>
  <c r="AFA21" i="7" s="1"/>
  <c r="AFA22" i="7" s="1"/>
  <c r="AFA23" i="7" s="1"/>
  <c r="AFA24" i="7" s="1"/>
  <c r="AFA25" i="7" s="1"/>
  <c r="AFA26" i="7" s="1"/>
  <c r="AFA27" i="7" s="1"/>
  <c r="AFB18" i="7"/>
  <c r="AFB19" i="7" s="1"/>
  <c r="AFB20" i="7" s="1"/>
  <c r="AFB21" i="7" s="1"/>
  <c r="AFB22" i="7" s="1"/>
  <c r="AFB23" i="7" s="1"/>
  <c r="AFB24" i="7" s="1"/>
  <c r="AFB25" i="7" s="1"/>
  <c r="AFB26" i="7" s="1"/>
  <c r="AFB27" i="7" s="1"/>
  <c r="AFC18" i="7"/>
  <c r="AFC19" i="7" s="1"/>
  <c r="AFC20" i="7" s="1"/>
  <c r="AFC21" i="7" s="1"/>
  <c r="AFC22" i="7" s="1"/>
  <c r="AFC23" i="7" s="1"/>
  <c r="AFC24" i="7" s="1"/>
  <c r="AFC25" i="7" s="1"/>
  <c r="AFC26" i="7" s="1"/>
  <c r="AFC27" i="7" s="1"/>
  <c r="AFD18" i="7"/>
  <c r="AFD19" i="7" s="1"/>
  <c r="AFD20" i="7" s="1"/>
  <c r="AFD21" i="7" s="1"/>
  <c r="AFD22" i="7" s="1"/>
  <c r="AFD23" i="7" s="1"/>
  <c r="AFD24" i="7" s="1"/>
  <c r="AFD25" i="7" s="1"/>
  <c r="AFD26" i="7" s="1"/>
  <c r="AFD27" i="7" s="1"/>
  <c r="AFE18" i="7"/>
  <c r="AFE19" i="7" s="1"/>
  <c r="AFE20" i="7" s="1"/>
  <c r="AFE21" i="7" s="1"/>
  <c r="AFE22" i="7" s="1"/>
  <c r="AFE23" i="7" s="1"/>
  <c r="AFE24" i="7" s="1"/>
  <c r="AFE25" i="7" s="1"/>
  <c r="AFE26" i="7" s="1"/>
  <c r="AFE27" i="7" s="1"/>
  <c r="AFF18" i="7"/>
  <c r="AFF19" i="7" s="1"/>
  <c r="AFF20" i="7" s="1"/>
  <c r="AFF21" i="7" s="1"/>
  <c r="AFF22" i="7" s="1"/>
  <c r="AFF23" i="7" s="1"/>
  <c r="AFF24" i="7" s="1"/>
  <c r="AFF25" i="7" s="1"/>
  <c r="AFF26" i="7" s="1"/>
  <c r="AFF27" i="7" s="1"/>
  <c r="AFG18" i="7"/>
  <c r="AFG19" i="7" s="1"/>
  <c r="AFG20" i="7" s="1"/>
  <c r="AFG21" i="7" s="1"/>
  <c r="AFG22" i="7" s="1"/>
  <c r="AFG23" i="7" s="1"/>
  <c r="AFG24" i="7" s="1"/>
  <c r="AFG25" i="7" s="1"/>
  <c r="AFG26" i="7" s="1"/>
  <c r="AFG27" i="7" s="1"/>
  <c r="AFH18" i="7"/>
  <c r="AFH19" i="7" s="1"/>
  <c r="AFH20" i="7" s="1"/>
  <c r="AFH21" i="7" s="1"/>
  <c r="AFH22" i="7" s="1"/>
  <c r="AFH23" i="7" s="1"/>
  <c r="AFH24" i="7" s="1"/>
  <c r="AFH25" i="7" s="1"/>
  <c r="AFH26" i="7" s="1"/>
  <c r="AFH27" i="7" s="1"/>
  <c r="AFI18" i="7"/>
  <c r="AFI19" i="7" s="1"/>
  <c r="AFI20" i="7" s="1"/>
  <c r="AFI21" i="7" s="1"/>
  <c r="AFI22" i="7" s="1"/>
  <c r="AFI23" i="7" s="1"/>
  <c r="AFI24" i="7" s="1"/>
  <c r="AFI25" i="7" s="1"/>
  <c r="AFI26" i="7" s="1"/>
  <c r="AFI27" i="7" s="1"/>
  <c r="AFJ18" i="7"/>
  <c r="AFJ19" i="7" s="1"/>
  <c r="AFJ20" i="7" s="1"/>
  <c r="AFJ21" i="7" s="1"/>
  <c r="AFJ22" i="7" s="1"/>
  <c r="AFJ23" i="7" s="1"/>
  <c r="AFJ24" i="7" s="1"/>
  <c r="AFJ25" i="7" s="1"/>
  <c r="AFJ26" i="7" s="1"/>
  <c r="AFJ27" i="7" s="1"/>
  <c r="AFK18" i="7"/>
  <c r="AFK19" i="7" s="1"/>
  <c r="AFK20" i="7" s="1"/>
  <c r="AFK21" i="7" s="1"/>
  <c r="AFK22" i="7" s="1"/>
  <c r="AFK23" i="7" s="1"/>
  <c r="AFK24" i="7" s="1"/>
  <c r="AFK25" i="7" s="1"/>
  <c r="AFK26" i="7" s="1"/>
  <c r="AFK27" i="7" s="1"/>
  <c r="AFL18" i="7"/>
  <c r="AFL19" i="7" s="1"/>
  <c r="AFL20" i="7" s="1"/>
  <c r="AFL21" i="7" s="1"/>
  <c r="AFL22" i="7" s="1"/>
  <c r="AFL23" i="7" s="1"/>
  <c r="AFL24" i="7" s="1"/>
  <c r="AFL25" i="7" s="1"/>
  <c r="AFL26" i="7" s="1"/>
  <c r="AFL27" i="7" s="1"/>
  <c r="AFM18" i="7"/>
  <c r="AFM19" i="7" s="1"/>
  <c r="AFM20" i="7" s="1"/>
  <c r="AFM21" i="7" s="1"/>
  <c r="AFM22" i="7" s="1"/>
  <c r="AFM23" i="7" s="1"/>
  <c r="AFM24" i="7" s="1"/>
  <c r="AFM25" i="7" s="1"/>
  <c r="AFM26" i="7" s="1"/>
  <c r="AFM27" i="7" s="1"/>
  <c r="AFN18" i="7"/>
  <c r="AFN19" i="7" s="1"/>
  <c r="AFN20" i="7" s="1"/>
  <c r="AFN21" i="7" s="1"/>
  <c r="AFN22" i="7" s="1"/>
  <c r="AFN23" i="7" s="1"/>
  <c r="AFN24" i="7" s="1"/>
  <c r="AFN25" i="7" s="1"/>
  <c r="AFN26" i="7" s="1"/>
  <c r="AFN27" i="7" s="1"/>
  <c r="AFO18" i="7"/>
  <c r="AFO19" i="7" s="1"/>
  <c r="AFO20" i="7" s="1"/>
  <c r="AFO21" i="7" s="1"/>
  <c r="AFO22" i="7" s="1"/>
  <c r="AFO23" i="7" s="1"/>
  <c r="AFO24" i="7" s="1"/>
  <c r="AFO25" i="7" s="1"/>
  <c r="AFO26" i="7" s="1"/>
  <c r="AFO27" i="7" s="1"/>
  <c r="AFP18" i="7"/>
  <c r="AFP19" i="7" s="1"/>
  <c r="AFP20" i="7" s="1"/>
  <c r="AFP21" i="7" s="1"/>
  <c r="AFP22" i="7" s="1"/>
  <c r="AFP23" i="7" s="1"/>
  <c r="AFP24" i="7" s="1"/>
  <c r="AFP25" i="7" s="1"/>
  <c r="AFP26" i="7" s="1"/>
  <c r="AFP27" i="7" s="1"/>
  <c r="AFQ18" i="7"/>
  <c r="AFQ19" i="7" s="1"/>
  <c r="AFQ20" i="7" s="1"/>
  <c r="AFQ21" i="7" s="1"/>
  <c r="AFQ22" i="7" s="1"/>
  <c r="AFQ23" i="7" s="1"/>
  <c r="AFQ24" i="7" s="1"/>
  <c r="AFQ25" i="7" s="1"/>
  <c r="AFQ26" i="7" s="1"/>
  <c r="AFQ27" i="7" s="1"/>
  <c r="AFR18" i="7"/>
  <c r="AFR19" i="7" s="1"/>
  <c r="AFR20" i="7" s="1"/>
  <c r="AFR21" i="7" s="1"/>
  <c r="AFR22" i="7" s="1"/>
  <c r="AFR23" i="7" s="1"/>
  <c r="AFR24" i="7" s="1"/>
  <c r="AFR25" i="7" s="1"/>
  <c r="AFR26" i="7" s="1"/>
  <c r="AFR27" i="7" s="1"/>
  <c r="AFS18" i="7"/>
  <c r="AFS19" i="7" s="1"/>
  <c r="AFS20" i="7" s="1"/>
  <c r="AFS21" i="7" s="1"/>
  <c r="AFS22" i="7" s="1"/>
  <c r="AFS23" i="7" s="1"/>
  <c r="AFS24" i="7" s="1"/>
  <c r="AFS25" i="7" s="1"/>
  <c r="AFS26" i="7" s="1"/>
  <c r="AFS27" i="7" s="1"/>
  <c r="AFT18" i="7"/>
  <c r="AFT19" i="7" s="1"/>
  <c r="AFT20" i="7" s="1"/>
  <c r="AFT21" i="7" s="1"/>
  <c r="AFT22" i="7" s="1"/>
  <c r="AFT23" i="7" s="1"/>
  <c r="AFT24" i="7" s="1"/>
  <c r="AFT25" i="7" s="1"/>
  <c r="AFT26" i="7" s="1"/>
  <c r="AFT27" i="7" s="1"/>
  <c r="AFU18" i="7"/>
  <c r="AFU19" i="7" s="1"/>
  <c r="AFU20" i="7" s="1"/>
  <c r="AFU21" i="7" s="1"/>
  <c r="AFU22" i="7" s="1"/>
  <c r="AFU23" i="7" s="1"/>
  <c r="AFU24" i="7" s="1"/>
  <c r="AFU25" i="7" s="1"/>
  <c r="AFU26" i="7" s="1"/>
  <c r="AFU27" i="7" s="1"/>
  <c r="AFV18" i="7"/>
  <c r="AFV19" i="7" s="1"/>
  <c r="AFV20" i="7" s="1"/>
  <c r="AFV21" i="7" s="1"/>
  <c r="AFV22" i="7" s="1"/>
  <c r="AFV23" i="7" s="1"/>
  <c r="AFV24" i="7" s="1"/>
  <c r="AFV25" i="7" s="1"/>
  <c r="AFV26" i="7" s="1"/>
  <c r="AFV27" i="7" s="1"/>
  <c r="AFW18" i="7"/>
  <c r="AFW19" i="7" s="1"/>
  <c r="AFW20" i="7" s="1"/>
  <c r="AFW21" i="7" s="1"/>
  <c r="AFW22" i="7" s="1"/>
  <c r="AFW23" i="7" s="1"/>
  <c r="AFW24" i="7" s="1"/>
  <c r="AFW25" i="7" s="1"/>
  <c r="AFW26" i="7" s="1"/>
  <c r="AFW27" i="7" s="1"/>
  <c r="AFX18" i="7"/>
  <c r="AFX19" i="7" s="1"/>
  <c r="AFX20" i="7" s="1"/>
  <c r="AFX21" i="7" s="1"/>
  <c r="AFX22" i="7" s="1"/>
  <c r="AFX23" i="7" s="1"/>
  <c r="AFX24" i="7" s="1"/>
  <c r="AFX25" i="7" s="1"/>
  <c r="AFX26" i="7" s="1"/>
  <c r="AFX27" i="7" s="1"/>
  <c r="AFY18" i="7"/>
  <c r="AFY19" i="7" s="1"/>
  <c r="AFY20" i="7" s="1"/>
  <c r="AFY21" i="7" s="1"/>
  <c r="AFY22" i="7" s="1"/>
  <c r="AFY23" i="7" s="1"/>
  <c r="AFY24" i="7" s="1"/>
  <c r="AFY25" i="7" s="1"/>
  <c r="AFY26" i="7" s="1"/>
  <c r="AFY27" i="7" s="1"/>
  <c r="AFZ18" i="7"/>
  <c r="AFZ19" i="7" s="1"/>
  <c r="AFZ20" i="7" s="1"/>
  <c r="AFZ21" i="7" s="1"/>
  <c r="AFZ22" i="7" s="1"/>
  <c r="AFZ23" i="7" s="1"/>
  <c r="AFZ24" i="7" s="1"/>
  <c r="AFZ25" i="7" s="1"/>
  <c r="AFZ26" i="7" s="1"/>
  <c r="AFZ27" i="7" s="1"/>
  <c r="AGA18" i="7"/>
  <c r="AGA19" i="7" s="1"/>
  <c r="AGA20" i="7" s="1"/>
  <c r="AGA21" i="7" s="1"/>
  <c r="AGA22" i="7" s="1"/>
  <c r="AGA23" i="7" s="1"/>
  <c r="AGA24" i="7" s="1"/>
  <c r="AGA25" i="7" s="1"/>
  <c r="AGA26" i="7" s="1"/>
  <c r="AGA27" i="7" s="1"/>
  <c r="AGB18" i="7"/>
  <c r="AGB19" i="7" s="1"/>
  <c r="AGB20" i="7" s="1"/>
  <c r="AGB21" i="7" s="1"/>
  <c r="AGB22" i="7" s="1"/>
  <c r="AGB23" i="7" s="1"/>
  <c r="AGB24" i="7" s="1"/>
  <c r="AGB25" i="7" s="1"/>
  <c r="AGB26" i="7" s="1"/>
  <c r="AGB27" i="7" s="1"/>
  <c r="AGC18" i="7"/>
  <c r="AGC19" i="7" s="1"/>
  <c r="AGC20" i="7" s="1"/>
  <c r="AGC21" i="7" s="1"/>
  <c r="AGC22" i="7" s="1"/>
  <c r="AGC23" i="7" s="1"/>
  <c r="AGC24" i="7" s="1"/>
  <c r="AGC25" i="7" s="1"/>
  <c r="AGC26" i="7" s="1"/>
  <c r="AGC27" i="7" s="1"/>
  <c r="AGD18" i="7"/>
  <c r="AGD19" i="7" s="1"/>
  <c r="AGD20" i="7" s="1"/>
  <c r="AGD21" i="7" s="1"/>
  <c r="AGD22" i="7" s="1"/>
  <c r="AGD23" i="7" s="1"/>
  <c r="AGD24" i="7" s="1"/>
  <c r="AGD25" i="7" s="1"/>
  <c r="AGD26" i="7" s="1"/>
  <c r="AGD27" i="7" s="1"/>
  <c r="AGE18" i="7"/>
  <c r="AGE19" i="7" s="1"/>
  <c r="AGE20" i="7" s="1"/>
  <c r="AGE21" i="7" s="1"/>
  <c r="AGE22" i="7" s="1"/>
  <c r="AGE23" i="7" s="1"/>
  <c r="AGE24" i="7" s="1"/>
  <c r="AGE25" i="7" s="1"/>
  <c r="AGE26" i="7" s="1"/>
  <c r="AGE27" i="7" s="1"/>
  <c r="AGF18" i="7"/>
  <c r="AGF19" i="7" s="1"/>
  <c r="AGF20" i="7" s="1"/>
  <c r="AGF21" i="7" s="1"/>
  <c r="AGF22" i="7" s="1"/>
  <c r="AGF23" i="7" s="1"/>
  <c r="AGF24" i="7" s="1"/>
  <c r="AGF25" i="7" s="1"/>
  <c r="AGF26" i="7" s="1"/>
  <c r="AGF27" i="7" s="1"/>
  <c r="AGG18" i="7"/>
  <c r="AGG19" i="7" s="1"/>
  <c r="AGG20" i="7" s="1"/>
  <c r="AGG21" i="7" s="1"/>
  <c r="AGG22" i="7" s="1"/>
  <c r="AGG23" i="7" s="1"/>
  <c r="AGG24" i="7" s="1"/>
  <c r="AGG25" i="7" s="1"/>
  <c r="AGG26" i="7" s="1"/>
  <c r="AGG27" i="7" s="1"/>
  <c r="AGH18" i="7"/>
  <c r="AGH19" i="7" s="1"/>
  <c r="AGH20" i="7" s="1"/>
  <c r="AGH21" i="7" s="1"/>
  <c r="AGH22" i="7" s="1"/>
  <c r="AGH23" i="7" s="1"/>
  <c r="AGH24" i="7" s="1"/>
  <c r="AGH25" i="7" s="1"/>
  <c r="AGH26" i="7" s="1"/>
  <c r="AGH27" i="7" s="1"/>
  <c r="AGI18" i="7"/>
  <c r="AGI19" i="7" s="1"/>
  <c r="AGI20" i="7" s="1"/>
  <c r="AGI21" i="7" s="1"/>
  <c r="AGI22" i="7" s="1"/>
  <c r="AGI23" i="7" s="1"/>
  <c r="AGI24" i="7" s="1"/>
  <c r="AGI25" i="7" s="1"/>
  <c r="AGI26" i="7" s="1"/>
  <c r="AGI27" i="7" s="1"/>
  <c r="AGJ18" i="7"/>
  <c r="AGJ19" i="7" s="1"/>
  <c r="AGJ20" i="7" s="1"/>
  <c r="AGJ21" i="7" s="1"/>
  <c r="AGJ22" i="7" s="1"/>
  <c r="AGJ23" i="7" s="1"/>
  <c r="AGJ24" i="7" s="1"/>
  <c r="AGJ25" i="7" s="1"/>
  <c r="AGJ26" i="7" s="1"/>
  <c r="AGJ27" i="7" s="1"/>
  <c r="AGK18" i="7"/>
  <c r="AGK19" i="7" s="1"/>
  <c r="AGK20" i="7" s="1"/>
  <c r="AGK21" i="7" s="1"/>
  <c r="AGK22" i="7" s="1"/>
  <c r="AGK23" i="7" s="1"/>
  <c r="AGK24" i="7" s="1"/>
  <c r="AGK25" i="7" s="1"/>
  <c r="AGK26" i="7" s="1"/>
  <c r="AGK27" i="7" s="1"/>
  <c r="AGL18" i="7"/>
  <c r="AGL19" i="7" s="1"/>
  <c r="AGL20" i="7" s="1"/>
  <c r="AGL21" i="7" s="1"/>
  <c r="AGL22" i="7" s="1"/>
  <c r="AGL23" i="7" s="1"/>
  <c r="AGL24" i="7" s="1"/>
  <c r="AGL25" i="7" s="1"/>
  <c r="AGL26" i="7" s="1"/>
  <c r="AGL27" i="7" s="1"/>
  <c r="AGM18" i="7"/>
  <c r="AGM19" i="7" s="1"/>
  <c r="AGM20" i="7" s="1"/>
  <c r="AGM21" i="7" s="1"/>
  <c r="AGM22" i="7" s="1"/>
  <c r="AGM23" i="7" s="1"/>
  <c r="AGM24" i="7" s="1"/>
  <c r="AGM25" i="7" s="1"/>
  <c r="AGM26" i="7" s="1"/>
  <c r="AGM27" i="7" s="1"/>
  <c r="AGN18" i="7"/>
  <c r="AGN19" i="7" s="1"/>
  <c r="AGN20" i="7" s="1"/>
  <c r="AGN21" i="7" s="1"/>
  <c r="AGN22" i="7" s="1"/>
  <c r="AGN23" i="7" s="1"/>
  <c r="AGN24" i="7" s="1"/>
  <c r="AGN25" i="7" s="1"/>
  <c r="AGN26" i="7" s="1"/>
  <c r="AGN27" i="7" s="1"/>
  <c r="AGO18" i="7"/>
  <c r="AGO19" i="7" s="1"/>
  <c r="AGO20" i="7" s="1"/>
  <c r="AGO21" i="7" s="1"/>
  <c r="AGO22" i="7" s="1"/>
  <c r="AGO23" i="7" s="1"/>
  <c r="AGO24" i="7" s="1"/>
  <c r="AGO25" i="7" s="1"/>
  <c r="AGO26" i="7" s="1"/>
  <c r="AGO27" i="7" s="1"/>
  <c r="AGP18" i="7"/>
  <c r="AGP19" i="7" s="1"/>
  <c r="AGP20" i="7" s="1"/>
  <c r="AGP21" i="7" s="1"/>
  <c r="AGP22" i="7" s="1"/>
  <c r="AGP23" i="7" s="1"/>
  <c r="AGP24" i="7" s="1"/>
  <c r="AGP25" i="7" s="1"/>
  <c r="AGP26" i="7" s="1"/>
  <c r="AGP27" i="7" s="1"/>
  <c r="AGQ18" i="7"/>
  <c r="AGQ19" i="7" s="1"/>
  <c r="AGQ20" i="7" s="1"/>
  <c r="AGQ21" i="7" s="1"/>
  <c r="AGQ22" i="7" s="1"/>
  <c r="AGQ23" i="7" s="1"/>
  <c r="AGQ24" i="7" s="1"/>
  <c r="AGQ25" i="7" s="1"/>
  <c r="AGQ26" i="7" s="1"/>
  <c r="AGQ27" i="7" s="1"/>
  <c r="AGR18" i="7"/>
  <c r="AGR19" i="7" s="1"/>
  <c r="AGR20" i="7" s="1"/>
  <c r="AGR21" i="7" s="1"/>
  <c r="AGR22" i="7" s="1"/>
  <c r="AGR23" i="7" s="1"/>
  <c r="AGR24" i="7" s="1"/>
  <c r="AGR25" i="7" s="1"/>
  <c r="AGR26" i="7" s="1"/>
  <c r="AGR27" i="7" s="1"/>
  <c r="AGS18" i="7"/>
  <c r="AGS19" i="7" s="1"/>
  <c r="AGS20" i="7" s="1"/>
  <c r="AGS21" i="7" s="1"/>
  <c r="AGS22" i="7" s="1"/>
  <c r="AGS23" i="7" s="1"/>
  <c r="AGS24" i="7" s="1"/>
  <c r="AGS25" i="7" s="1"/>
  <c r="AGS26" i="7" s="1"/>
  <c r="AGS27" i="7" s="1"/>
  <c r="AGT18" i="7"/>
  <c r="AGT19" i="7" s="1"/>
  <c r="AGT20" i="7" s="1"/>
  <c r="AGT21" i="7" s="1"/>
  <c r="AGT22" i="7" s="1"/>
  <c r="AGT23" i="7" s="1"/>
  <c r="AGT24" i="7" s="1"/>
  <c r="AGT25" i="7" s="1"/>
  <c r="AGT26" i="7" s="1"/>
  <c r="AGT27" i="7" s="1"/>
  <c r="AGU18" i="7"/>
  <c r="AGU19" i="7" s="1"/>
  <c r="AGU20" i="7" s="1"/>
  <c r="AGU21" i="7" s="1"/>
  <c r="AGU22" i="7" s="1"/>
  <c r="AGU23" i="7" s="1"/>
  <c r="AGU24" i="7" s="1"/>
  <c r="AGU25" i="7" s="1"/>
  <c r="AGU26" i="7" s="1"/>
  <c r="AGU27" i="7" s="1"/>
  <c r="AGV18" i="7"/>
  <c r="AGV19" i="7" s="1"/>
  <c r="AGV20" i="7" s="1"/>
  <c r="AGV21" i="7" s="1"/>
  <c r="AGV22" i="7" s="1"/>
  <c r="AGV23" i="7" s="1"/>
  <c r="AGV24" i="7" s="1"/>
  <c r="AGV25" i="7" s="1"/>
  <c r="AGV26" i="7" s="1"/>
  <c r="AGV27" i="7" s="1"/>
  <c r="AGW18" i="7"/>
  <c r="AGW19" i="7" s="1"/>
  <c r="AGW20" i="7" s="1"/>
  <c r="AGW21" i="7" s="1"/>
  <c r="AGW22" i="7" s="1"/>
  <c r="AGW23" i="7" s="1"/>
  <c r="AGW24" i="7" s="1"/>
  <c r="AGW25" i="7" s="1"/>
  <c r="AGW26" i="7" s="1"/>
  <c r="AGW27" i="7" s="1"/>
  <c r="AGX18" i="7"/>
  <c r="AGX19" i="7" s="1"/>
  <c r="AGX20" i="7" s="1"/>
  <c r="AGX21" i="7" s="1"/>
  <c r="AGX22" i="7" s="1"/>
  <c r="AGX23" i="7" s="1"/>
  <c r="AGX24" i="7" s="1"/>
  <c r="AGX25" i="7" s="1"/>
  <c r="AGX26" i="7" s="1"/>
  <c r="AGX27" i="7" s="1"/>
  <c r="AGY18" i="7"/>
  <c r="AGY19" i="7" s="1"/>
  <c r="AGY20" i="7" s="1"/>
  <c r="AGY21" i="7" s="1"/>
  <c r="AGY22" i="7" s="1"/>
  <c r="AGY23" i="7" s="1"/>
  <c r="AGY24" i="7" s="1"/>
  <c r="AGY25" i="7" s="1"/>
  <c r="AGY26" i="7" s="1"/>
  <c r="AGY27" i="7" s="1"/>
  <c r="AGZ18" i="7"/>
  <c r="AGZ19" i="7" s="1"/>
  <c r="AGZ20" i="7" s="1"/>
  <c r="AGZ21" i="7" s="1"/>
  <c r="AGZ22" i="7" s="1"/>
  <c r="AGZ23" i="7" s="1"/>
  <c r="AGZ24" i="7" s="1"/>
  <c r="AGZ25" i="7" s="1"/>
  <c r="AGZ26" i="7" s="1"/>
  <c r="AGZ27" i="7" s="1"/>
  <c r="AHA18" i="7"/>
  <c r="AHA19" i="7" s="1"/>
  <c r="AHA20" i="7" s="1"/>
  <c r="AHA21" i="7" s="1"/>
  <c r="AHA22" i="7" s="1"/>
  <c r="AHA23" i="7" s="1"/>
  <c r="AHA24" i="7" s="1"/>
  <c r="AHA25" i="7" s="1"/>
  <c r="AHA26" i="7" s="1"/>
  <c r="AHA27" i="7" s="1"/>
  <c r="AHB18" i="7"/>
  <c r="AHB19" i="7" s="1"/>
  <c r="AHB20" i="7" s="1"/>
  <c r="AHB21" i="7" s="1"/>
  <c r="AHB22" i="7" s="1"/>
  <c r="AHB23" i="7" s="1"/>
  <c r="AHB24" i="7" s="1"/>
  <c r="AHB25" i="7" s="1"/>
  <c r="AHB26" i="7" s="1"/>
  <c r="AHB27" i="7" s="1"/>
  <c r="AHC18" i="7"/>
  <c r="AHC19" i="7" s="1"/>
  <c r="AHC20" i="7" s="1"/>
  <c r="AHC21" i="7" s="1"/>
  <c r="AHC22" i="7" s="1"/>
  <c r="AHC23" i="7" s="1"/>
  <c r="AHC24" i="7" s="1"/>
  <c r="AHC25" i="7" s="1"/>
  <c r="AHC26" i="7" s="1"/>
  <c r="AHC27" i="7" s="1"/>
  <c r="AHD18" i="7"/>
  <c r="AHD19" i="7" s="1"/>
  <c r="AHD20" i="7" s="1"/>
  <c r="AHD21" i="7" s="1"/>
  <c r="AHD22" i="7" s="1"/>
  <c r="AHD23" i="7" s="1"/>
  <c r="AHD24" i="7" s="1"/>
  <c r="AHD25" i="7" s="1"/>
  <c r="AHD26" i="7" s="1"/>
  <c r="AHD27" i="7" s="1"/>
  <c r="AHE18" i="7"/>
  <c r="AHE19" i="7" s="1"/>
  <c r="AHE20" i="7" s="1"/>
  <c r="AHE21" i="7" s="1"/>
  <c r="AHE22" i="7" s="1"/>
  <c r="AHE23" i="7" s="1"/>
  <c r="AHE24" i="7" s="1"/>
  <c r="AHE25" i="7" s="1"/>
  <c r="AHE26" i="7" s="1"/>
  <c r="AHE27" i="7" s="1"/>
  <c r="AHF18" i="7"/>
  <c r="AHF19" i="7" s="1"/>
  <c r="AHF20" i="7" s="1"/>
  <c r="AHF21" i="7" s="1"/>
  <c r="AHF22" i="7" s="1"/>
  <c r="AHF23" i="7" s="1"/>
  <c r="AHF24" i="7" s="1"/>
  <c r="AHF25" i="7" s="1"/>
  <c r="AHF26" i="7" s="1"/>
  <c r="AHF27" i="7" s="1"/>
  <c r="AHG18" i="7"/>
  <c r="AHG19" i="7" s="1"/>
  <c r="AHG20" i="7" s="1"/>
  <c r="AHG21" i="7" s="1"/>
  <c r="AHG22" i="7" s="1"/>
  <c r="AHG23" i="7" s="1"/>
  <c r="AHG24" i="7" s="1"/>
  <c r="AHG25" i="7" s="1"/>
  <c r="AHG26" i="7" s="1"/>
  <c r="AHG27" i="7" s="1"/>
  <c r="AHH18" i="7"/>
  <c r="AHH19" i="7" s="1"/>
  <c r="AHH20" i="7" s="1"/>
  <c r="AHH21" i="7" s="1"/>
  <c r="AHH22" i="7" s="1"/>
  <c r="AHH23" i="7" s="1"/>
  <c r="AHH24" i="7" s="1"/>
  <c r="AHH25" i="7" s="1"/>
  <c r="AHH26" i="7" s="1"/>
  <c r="AHH27" i="7" s="1"/>
  <c r="AHI18" i="7"/>
  <c r="AHI19" i="7" s="1"/>
  <c r="AHI20" i="7" s="1"/>
  <c r="AHI21" i="7" s="1"/>
  <c r="AHI22" i="7" s="1"/>
  <c r="AHI23" i="7" s="1"/>
  <c r="AHI24" i="7" s="1"/>
  <c r="AHI25" i="7" s="1"/>
  <c r="AHI26" i="7" s="1"/>
  <c r="AHI27" i="7" s="1"/>
  <c r="AHJ18" i="7"/>
  <c r="AHJ19" i="7" s="1"/>
  <c r="AHJ20" i="7" s="1"/>
  <c r="AHJ21" i="7" s="1"/>
  <c r="AHJ22" i="7" s="1"/>
  <c r="AHJ23" i="7" s="1"/>
  <c r="AHJ24" i="7" s="1"/>
  <c r="AHJ25" i="7" s="1"/>
  <c r="AHJ26" i="7" s="1"/>
  <c r="AHJ27" i="7" s="1"/>
  <c r="AHK18" i="7"/>
  <c r="AHK19" i="7" s="1"/>
  <c r="AHK20" i="7" s="1"/>
  <c r="AHK21" i="7" s="1"/>
  <c r="AHK22" i="7" s="1"/>
  <c r="AHK23" i="7" s="1"/>
  <c r="AHK24" i="7" s="1"/>
  <c r="AHK25" i="7" s="1"/>
  <c r="AHK26" i="7" s="1"/>
  <c r="AHK27" i="7" s="1"/>
  <c r="AHL18" i="7"/>
  <c r="AHL19" i="7" s="1"/>
  <c r="AHL20" i="7" s="1"/>
  <c r="AHL21" i="7" s="1"/>
  <c r="AHL22" i="7" s="1"/>
  <c r="AHL23" i="7" s="1"/>
  <c r="AHL24" i="7" s="1"/>
  <c r="AHL25" i="7" s="1"/>
  <c r="AHL26" i="7" s="1"/>
  <c r="AHL27" i="7" s="1"/>
  <c r="AHM18" i="7"/>
  <c r="AHM19" i="7" s="1"/>
  <c r="AHM20" i="7" s="1"/>
  <c r="AHM21" i="7" s="1"/>
  <c r="AHM22" i="7" s="1"/>
  <c r="AHM23" i="7" s="1"/>
  <c r="AHM24" i="7" s="1"/>
  <c r="AHM25" i="7" s="1"/>
  <c r="AHM26" i="7" s="1"/>
  <c r="AHM27" i="7" s="1"/>
  <c r="AHN18" i="7"/>
  <c r="AHN19" i="7" s="1"/>
  <c r="AHN20" i="7" s="1"/>
  <c r="AHN21" i="7" s="1"/>
  <c r="AHN22" i="7" s="1"/>
  <c r="AHN23" i="7" s="1"/>
  <c r="AHN24" i="7" s="1"/>
  <c r="AHN25" i="7" s="1"/>
  <c r="AHN26" i="7" s="1"/>
  <c r="AHN27" i="7" s="1"/>
  <c r="AHO18" i="7"/>
  <c r="AHO19" i="7" s="1"/>
  <c r="AHO20" i="7" s="1"/>
  <c r="AHO21" i="7" s="1"/>
  <c r="AHO22" i="7" s="1"/>
  <c r="AHO23" i="7" s="1"/>
  <c r="AHO24" i="7" s="1"/>
  <c r="AHO25" i="7" s="1"/>
  <c r="AHO26" i="7" s="1"/>
  <c r="AHO27" i="7" s="1"/>
  <c r="AHP18" i="7"/>
  <c r="AHP19" i="7" s="1"/>
  <c r="AHP20" i="7" s="1"/>
  <c r="AHP21" i="7" s="1"/>
  <c r="AHP22" i="7" s="1"/>
  <c r="AHP23" i="7" s="1"/>
  <c r="AHP24" i="7" s="1"/>
  <c r="AHP25" i="7" s="1"/>
  <c r="AHP26" i="7" s="1"/>
  <c r="AHP27" i="7" s="1"/>
  <c r="AHQ18" i="7"/>
  <c r="AHQ19" i="7" s="1"/>
  <c r="AHQ20" i="7" s="1"/>
  <c r="AHQ21" i="7" s="1"/>
  <c r="AHQ22" i="7" s="1"/>
  <c r="AHQ23" i="7" s="1"/>
  <c r="AHQ24" i="7" s="1"/>
  <c r="AHQ25" i="7" s="1"/>
  <c r="AHQ26" i="7" s="1"/>
  <c r="AHQ27" i="7" s="1"/>
  <c r="AHR18" i="7"/>
  <c r="AHR19" i="7" s="1"/>
  <c r="AHR20" i="7" s="1"/>
  <c r="AHR21" i="7" s="1"/>
  <c r="AHR22" i="7" s="1"/>
  <c r="AHR23" i="7" s="1"/>
  <c r="AHR24" i="7" s="1"/>
  <c r="AHR25" i="7" s="1"/>
  <c r="AHR26" i="7" s="1"/>
  <c r="AHR27" i="7" s="1"/>
  <c r="AHS18" i="7"/>
  <c r="AHS19" i="7" s="1"/>
  <c r="AHS20" i="7" s="1"/>
  <c r="AHS21" i="7" s="1"/>
  <c r="AHS22" i="7" s="1"/>
  <c r="AHS23" i="7" s="1"/>
  <c r="AHS24" i="7" s="1"/>
  <c r="AHS25" i="7" s="1"/>
  <c r="AHS26" i="7" s="1"/>
  <c r="AHS27" i="7" s="1"/>
  <c r="AHT18" i="7"/>
  <c r="AHT19" i="7" s="1"/>
  <c r="AHT20" i="7" s="1"/>
  <c r="AHT21" i="7" s="1"/>
  <c r="AHT22" i="7" s="1"/>
  <c r="AHT23" i="7" s="1"/>
  <c r="AHT24" i="7" s="1"/>
  <c r="AHT25" i="7" s="1"/>
  <c r="AHT26" i="7" s="1"/>
  <c r="AHT27" i="7" s="1"/>
  <c r="AHU18" i="7"/>
  <c r="AHU19" i="7" s="1"/>
  <c r="AHU20" i="7" s="1"/>
  <c r="AHU21" i="7" s="1"/>
  <c r="AHU22" i="7" s="1"/>
  <c r="AHU23" i="7" s="1"/>
  <c r="AHU24" i="7" s="1"/>
  <c r="AHU25" i="7" s="1"/>
  <c r="AHU26" i="7" s="1"/>
  <c r="AHU27" i="7" s="1"/>
  <c r="AHV18" i="7"/>
  <c r="AHV19" i="7" s="1"/>
  <c r="AHV20" i="7" s="1"/>
  <c r="AHV21" i="7" s="1"/>
  <c r="AHV22" i="7" s="1"/>
  <c r="AHV23" i="7" s="1"/>
  <c r="AHV24" i="7" s="1"/>
  <c r="AHV25" i="7" s="1"/>
  <c r="AHV26" i="7" s="1"/>
  <c r="AHV27" i="7" s="1"/>
  <c r="AHW18" i="7"/>
  <c r="AHW19" i="7" s="1"/>
  <c r="AHW20" i="7" s="1"/>
  <c r="AHW21" i="7" s="1"/>
  <c r="AHW22" i="7" s="1"/>
  <c r="AHW23" i="7" s="1"/>
  <c r="AHW24" i="7" s="1"/>
  <c r="AHW25" i="7" s="1"/>
  <c r="AHW26" i="7" s="1"/>
  <c r="AHW27" i="7" s="1"/>
  <c r="AHX18" i="7"/>
  <c r="AHX19" i="7" s="1"/>
  <c r="AHX20" i="7" s="1"/>
  <c r="AHX21" i="7" s="1"/>
  <c r="AHX22" i="7" s="1"/>
  <c r="AHX23" i="7" s="1"/>
  <c r="AHX24" i="7" s="1"/>
  <c r="AHX25" i="7" s="1"/>
  <c r="AHX26" i="7" s="1"/>
  <c r="AHX27" i="7" s="1"/>
  <c r="AHY18" i="7"/>
  <c r="AHY19" i="7" s="1"/>
  <c r="AHY20" i="7" s="1"/>
  <c r="AHY21" i="7" s="1"/>
  <c r="AHY22" i="7" s="1"/>
  <c r="AHY23" i="7" s="1"/>
  <c r="AHY24" i="7" s="1"/>
  <c r="AHY25" i="7" s="1"/>
  <c r="AHY26" i="7" s="1"/>
  <c r="AHY27" i="7" s="1"/>
  <c r="AHZ18" i="7"/>
  <c r="AHZ19" i="7" s="1"/>
  <c r="AHZ20" i="7" s="1"/>
  <c r="AHZ21" i="7" s="1"/>
  <c r="AHZ22" i="7" s="1"/>
  <c r="AHZ23" i="7" s="1"/>
  <c r="AHZ24" i="7" s="1"/>
  <c r="AHZ25" i="7" s="1"/>
  <c r="AHZ26" i="7" s="1"/>
  <c r="AHZ27" i="7" s="1"/>
  <c r="AIA18" i="7"/>
  <c r="AIA19" i="7" s="1"/>
  <c r="AIA20" i="7" s="1"/>
  <c r="AIA21" i="7" s="1"/>
  <c r="AIA22" i="7" s="1"/>
  <c r="AIA23" i="7" s="1"/>
  <c r="AIA24" i="7" s="1"/>
  <c r="AIA25" i="7" s="1"/>
  <c r="AIA26" i="7" s="1"/>
  <c r="AIA27" i="7" s="1"/>
  <c r="AIB18" i="7"/>
  <c r="AIB19" i="7" s="1"/>
  <c r="AIB20" i="7" s="1"/>
  <c r="AIB21" i="7" s="1"/>
  <c r="AIB22" i="7" s="1"/>
  <c r="AIB23" i="7" s="1"/>
  <c r="AIB24" i="7" s="1"/>
  <c r="AIB25" i="7" s="1"/>
  <c r="AIB26" i="7" s="1"/>
  <c r="AIB27" i="7" s="1"/>
  <c r="AIC18" i="7"/>
  <c r="AIC19" i="7" s="1"/>
  <c r="AIC20" i="7" s="1"/>
  <c r="AIC21" i="7" s="1"/>
  <c r="AIC22" i="7" s="1"/>
  <c r="AIC23" i="7" s="1"/>
  <c r="AIC24" i="7" s="1"/>
  <c r="AIC25" i="7" s="1"/>
  <c r="AIC26" i="7" s="1"/>
  <c r="AIC27" i="7" s="1"/>
  <c r="AID18" i="7"/>
  <c r="AID19" i="7" s="1"/>
  <c r="AID20" i="7" s="1"/>
  <c r="AID21" i="7" s="1"/>
  <c r="AID22" i="7" s="1"/>
  <c r="AID23" i="7" s="1"/>
  <c r="AID24" i="7" s="1"/>
  <c r="AID25" i="7" s="1"/>
  <c r="AID26" i="7" s="1"/>
  <c r="AID27" i="7" s="1"/>
  <c r="AIE18" i="7"/>
  <c r="AIE19" i="7" s="1"/>
  <c r="AIE20" i="7" s="1"/>
  <c r="AIE21" i="7" s="1"/>
  <c r="AIE22" i="7" s="1"/>
  <c r="AIE23" i="7" s="1"/>
  <c r="AIE24" i="7" s="1"/>
  <c r="AIE25" i="7" s="1"/>
  <c r="AIE26" i="7" s="1"/>
  <c r="AIE27" i="7" s="1"/>
  <c r="AIF18" i="7"/>
  <c r="AIF19" i="7" s="1"/>
  <c r="AIF20" i="7" s="1"/>
  <c r="AIF21" i="7" s="1"/>
  <c r="AIF22" i="7" s="1"/>
  <c r="AIF23" i="7" s="1"/>
  <c r="AIF24" i="7" s="1"/>
  <c r="AIF25" i="7" s="1"/>
  <c r="AIF26" i="7" s="1"/>
  <c r="AIF27" i="7" s="1"/>
  <c r="AIG18" i="7"/>
  <c r="AIG19" i="7" s="1"/>
  <c r="AIG20" i="7" s="1"/>
  <c r="AIG21" i="7" s="1"/>
  <c r="AIG22" i="7" s="1"/>
  <c r="AIG23" i="7" s="1"/>
  <c r="AIG24" i="7" s="1"/>
  <c r="AIG25" i="7" s="1"/>
  <c r="AIG26" i="7" s="1"/>
  <c r="AIG27" i="7" s="1"/>
  <c r="AIH18" i="7"/>
  <c r="AIH19" i="7" s="1"/>
  <c r="AIH20" i="7" s="1"/>
  <c r="AIH21" i="7" s="1"/>
  <c r="AIH22" i="7" s="1"/>
  <c r="AIH23" i="7" s="1"/>
  <c r="AIH24" i="7" s="1"/>
  <c r="AIH25" i="7" s="1"/>
  <c r="AIH26" i="7" s="1"/>
  <c r="AIH27" i="7" s="1"/>
  <c r="AII18" i="7"/>
  <c r="AII19" i="7" s="1"/>
  <c r="AII20" i="7" s="1"/>
  <c r="AII21" i="7" s="1"/>
  <c r="AII22" i="7" s="1"/>
  <c r="AII23" i="7" s="1"/>
  <c r="AII24" i="7" s="1"/>
  <c r="AII25" i="7" s="1"/>
  <c r="AII26" i="7" s="1"/>
  <c r="AII27" i="7" s="1"/>
  <c r="AIJ18" i="7"/>
  <c r="AIJ19" i="7" s="1"/>
  <c r="AIJ20" i="7" s="1"/>
  <c r="AIJ21" i="7" s="1"/>
  <c r="AIJ22" i="7" s="1"/>
  <c r="AIJ23" i="7" s="1"/>
  <c r="AIJ24" i="7" s="1"/>
  <c r="AIJ25" i="7" s="1"/>
  <c r="AIJ26" i="7" s="1"/>
  <c r="AIJ27" i="7" s="1"/>
  <c r="AIK18" i="7"/>
  <c r="AIK19" i="7" s="1"/>
  <c r="AIK20" i="7" s="1"/>
  <c r="AIK21" i="7" s="1"/>
  <c r="AIK22" i="7" s="1"/>
  <c r="AIK23" i="7" s="1"/>
  <c r="AIK24" i="7" s="1"/>
  <c r="AIK25" i="7" s="1"/>
  <c r="AIK26" i="7" s="1"/>
  <c r="AIK27" i="7" s="1"/>
  <c r="AIL18" i="7"/>
  <c r="AIL19" i="7" s="1"/>
  <c r="AIL20" i="7" s="1"/>
  <c r="AIL21" i="7" s="1"/>
  <c r="AIL22" i="7" s="1"/>
  <c r="AIL23" i="7" s="1"/>
  <c r="AIL24" i="7" s="1"/>
  <c r="AIL25" i="7" s="1"/>
  <c r="AIL26" i="7" s="1"/>
  <c r="AIL27" i="7" s="1"/>
  <c r="AIM18" i="7"/>
  <c r="AIM19" i="7" s="1"/>
  <c r="AIM20" i="7" s="1"/>
  <c r="AIM21" i="7" s="1"/>
  <c r="AIM22" i="7" s="1"/>
  <c r="AIM23" i="7" s="1"/>
  <c r="AIM24" i="7" s="1"/>
  <c r="AIM25" i="7" s="1"/>
  <c r="AIM26" i="7" s="1"/>
  <c r="AIM27" i="7" s="1"/>
  <c r="AIN18" i="7"/>
  <c r="AIN19" i="7" s="1"/>
  <c r="AIN20" i="7" s="1"/>
  <c r="AIN21" i="7" s="1"/>
  <c r="AIN22" i="7" s="1"/>
  <c r="AIN23" i="7" s="1"/>
  <c r="AIN24" i="7" s="1"/>
  <c r="AIN25" i="7" s="1"/>
  <c r="AIN26" i="7" s="1"/>
  <c r="AIN27" i="7" s="1"/>
  <c r="AIO18" i="7"/>
  <c r="AIO19" i="7" s="1"/>
  <c r="AIO20" i="7" s="1"/>
  <c r="AIO21" i="7" s="1"/>
  <c r="AIO22" i="7" s="1"/>
  <c r="AIO23" i="7" s="1"/>
  <c r="AIO24" i="7" s="1"/>
  <c r="AIO25" i="7" s="1"/>
  <c r="AIO26" i="7" s="1"/>
  <c r="AIO27" i="7" s="1"/>
  <c r="AIP18" i="7"/>
  <c r="AIP19" i="7" s="1"/>
  <c r="AIP20" i="7" s="1"/>
  <c r="AIP21" i="7" s="1"/>
  <c r="AIP22" i="7" s="1"/>
  <c r="AIP23" i="7" s="1"/>
  <c r="AIP24" i="7" s="1"/>
  <c r="AIP25" i="7" s="1"/>
  <c r="AIP26" i="7" s="1"/>
  <c r="AIP27" i="7" s="1"/>
  <c r="AIQ18" i="7"/>
  <c r="AIQ19" i="7" s="1"/>
  <c r="AIQ20" i="7" s="1"/>
  <c r="AIQ21" i="7" s="1"/>
  <c r="AIQ22" i="7" s="1"/>
  <c r="AIQ23" i="7" s="1"/>
  <c r="AIQ24" i="7" s="1"/>
  <c r="AIQ25" i="7" s="1"/>
  <c r="AIQ26" i="7" s="1"/>
  <c r="AIQ27" i="7" s="1"/>
  <c r="AIR18" i="7"/>
  <c r="AIR19" i="7" s="1"/>
  <c r="AIR20" i="7" s="1"/>
  <c r="AIR21" i="7" s="1"/>
  <c r="AIR22" i="7" s="1"/>
  <c r="AIR23" i="7" s="1"/>
  <c r="AIR24" i="7" s="1"/>
  <c r="AIR25" i="7" s="1"/>
  <c r="AIR26" i="7" s="1"/>
  <c r="AIR27" i="7" s="1"/>
  <c r="AIS18" i="7"/>
  <c r="AIS19" i="7" s="1"/>
  <c r="AIS20" i="7" s="1"/>
  <c r="AIS21" i="7" s="1"/>
  <c r="AIS22" i="7" s="1"/>
  <c r="AIS23" i="7" s="1"/>
  <c r="AIS24" i="7" s="1"/>
  <c r="AIS25" i="7" s="1"/>
  <c r="AIS26" i="7" s="1"/>
  <c r="AIS27" i="7" s="1"/>
  <c r="AIT18" i="7"/>
  <c r="AIT19" i="7" s="1"/>
  <c r="AIT20" i="7" s="1"/>
  <c r="AIT21" i="7" s="1"/>
  <c r="AIT22" i="7" s="1"/>
  <c r="AIT23" i="7" s="1"/>
  <c r="AIT24" i="7" s="1"/>
  <c r="AIT25" i="7" s="1"/>
  <c r="AIT26" i="7" s="1"/>
  <c r="AIT27" i="7" s="1"/>
  <c r="AIU18" i="7"/>
  <c r="AIU19" i="7" s="1"/>
  <c r="AIU20" i="7" s="1"/>
  <c r="AIU21" i="7" s="1"/>
  <c r="AIU22" i="7" s="1"/>
  <c r="AIU23" i="7" s="1"/>
  <c r="AIU24" i="7" s="1"/>
  <c r="AIU25" i="7" s="1"/>
  <c r="AIU26" i="7" s="1"/>
  <c r="AIU27" i="7" s="1"/>
  <c r="AIV18" i="7"/>
  <c r="AIV19" i="7" s="1"/>
  <c r="AIV20" i="7" s="1"/>
  <c r="AIV21" i="7" s="1"/>
  <c r="AIV22" i="7" s="1"/>
  <c r="AIV23" i="7" s="1"/>
  <c r="AIV24" i="7" s="1"/>
  <c r="AIV25" i="7" s="1"/>
  <c r="AIV26" i="7" s="1"/>
  <c r="AIV27" i="7" s="1"/>
  <c r="AIW18" i="7"/>
  <c r="AIW19" i="7" s="1"/>
  <c r="AIW20" i="7" s="1"/>
  <c r="AIW21" i="7" s="1"/>
  <c r="AIW22" i="7" s="1"/>
  <c r="AIW23" i="7" s="1"/>
  <c r="AIW24" i="7" s="1"/>
  <c r="AIW25" i="7" s="1"/>
  <c r="AIW26" i="7" s="1"/>
  <c r="AIW27" i="7" s="1"/>
  <c r="AIX18" i="7"/>
  <c r="AIX19" i="7" s="1"/>
  <c r="AIX20" i="7" s="1"/>
  <c r="AIX21" i="7" s="1"/>
  <c r="AIX22" i="7" s="1"/>
  <c r="AIX23" i="7" s="1"/>
  <c r="AIX24" i="7" s="1"/>
  <c r="AIX25" i="7" s="1"/>
  <c r="AIX26" i="7" s="1"/>
  <c r="AIX27" i="7" s="1"/>
  <c r="AIY18" i="7"/>
  <c r="AIY19" i="7" s="1"/>
  <c r="AIY20" i="7" s="1"/>
  <c r="AIY21" i="7" s="1"/>
  <c r="AIY22" i="7" s="1"/>
  <c r="AIY23" i="7" s="1"/>
  <c r="AIY24" i="7" s="1"/>
  <c r="AIY25" i="7" s="1"/>
  <c r="AIY26" i="7" s="1"/>
  <c r="AIY27" i="7" s="1"/>
  <c r="AIZ18" i="7"/>
  <c r="AIZ19" i="7" s="1"/>
  <c r="AIZ20" i="7" s="1"/>
  <c r="AIZ21" i="7" s="1"/>
  <c r="AIZ22" i="7" s="1"/>
  <c r="AIZ23" i="7" s="1"/>
  <c r="AIZ24" i="7" s="1"/>
  <c r="AIZ25" i="7" s="1"/>
  <c r="AIZ26" i="7" s="1"/>
  <c r="AIZ27" i="7" s="1"/>
  <c r="AJA18" i="7"/>
  <c r="AJA19" i="7" s="1"/>
  <c r="AJA20" i="7" s="1"/>
  <c r="AJA21" i="7" s="1"/>
  <c r="AJA22" i="7" s="1"/>
  <c r="AJA23" i="7" s="1"/>
  <c r="AJA24" i="7" s="1"/>
  <c r="AJA25" i="7" s="1"/>
  <c r="AJA26" i="7" s="1"/>
  <c r="AJA27" i="7" s="1"/>
  <c r="AJB18" i="7"/>
  <c r="AJB19" i="7" s="1"/>
  <c r="AJB20" i="7" s="1"/>
  <c r="AJB21" i="7" s="1"/>
  <c r="AJB22" i="7" s="1"/>
  <c r="AJB23" i="7" s="1"/>
  <c r="AJB24" i="7" s="1"/>
  <c r="AJB25" i="7" s="1"/>
  <c r="AJB26" i="7" s="1"/>
  <c r="AJB27" i="7" s="1"/>
  <c r="AJC18" i="7"/>
  <c r="AJC19" i="7" s="1"/>
  <c r="AJC20" i="7" s="1"/>
  <c r="AJC21" i="7" s="1"/>
  <c r="AJC22" i="7" s="1"/>
  <c r="AJC23" i="7" s="1"/>
  <c r="AJC24" i="7" s="1"/>
  <c r="AJC25" i="7" s="1"/>
  <c r="AJC26" i="7" s="1"/>
  <c r="AJC27" i="7" s="1"/>
  <c r="AJD18" i="7"/>
  <c r="AJD19" i="7" s="1"/>
  <c r="AJD20" i="7" s="1"/>
  <c r="AJD21" i="7" s="1"/>
  <c r="AJD22" i="7" s="1"/>
  <c r="AJD23" i="7" s="1"/>
  <c r="AJD24" i="7" s="1"/>
  <c r="AJD25" i="7" s="1"/>
  <c r="AJD26" i="7" s="1"/>
  <c r="AJD27" i="7" s="1"/>
  <c r="AJE18" i="7"/>
  <c r="AJE19" i="7" s="1"/>
  <c r="AJE20" i="7" s="1"/>
  <c r="AJE21" i="7" s="1"/>
  <c r="AJE22" i="7" s="1"/>
  <c r="AJE23" i="7" s="1"/>
  <c r="AJE24" i="7" s="1"/>
  <c r="AJE25" i="7" s="1"/>
  <c r="AJE26" i="7" s="1"/>
  <c r="AJE27" i="7" s="1"/>
  <c r="AJF18" i="7"/>
  <c r="AJF19" i="7" s="1"/>
  <c r="AJF20" i="7" s="1"/>
  <c r="AJF21" i="7" s="1"/>
  <c r="AJF22" i="7" s="1"/>
  <c r="AJF23" i="7" s="1"/>
  <c r="AJF24" i="7" s="1"/>
  <c r="AJF25" i="7" s="1"/>
  <c r="AJF26" i="7" s="1"/>
  <c r="AJF27" i="7" s="1"/>
  <c r="AJG18" i="7"/>
  <c r="AJG19" i="7" s="1"/>
  <c r="AJG20" i="7" s="1"/>
  <c r="AJG21" i="7" s="1"/>
  <c r="AJG22" i="7" s="1"/>
  <c r="AJG23" i="7" s="1"/>
  <c r="AJG24" i="7" s="1"/>
  <c r="AJG25" i="7" s="1"/>
  <c r="AJG26" i="7" s="1"/>
  <c r="AJG27" i="7" s="1"/>
  <c r="AJH18" i="7"/>
  <c r="AJH19" i="7" s="1"/>
  <c r="AJH20" i="7" s="1"/>
  <c r="AJH21" i="7" s="1"/>
  <c r="AJH22" i="7" s="1"/>
  <c r="AJH23" i="7" s="1"/>
  <c r="AJH24" i="7" s="1"/>
  <c r="AJH25" i="7" s="1"/>
  <c r="AJH26" i="7" s="1"/>
  <c r="AJH27" i="7" s="1"/>
  <c r="AJI18" i="7"/>
  <c r="AJI19" i="7" s="1"/>
  <c r="AJI20" i="7" s="1"/>
  <c r="AJI21" i="7" s="1"/>
  <c r="AJI22" i="7" s="1"/>
  <c r="AJI23" i="7" s="1"/>
  <c r="AJI24" i="7" s="1"/>
  <c r="AJI25" i="7" s="1"/>
  <c r="AJI26" i="7" s="1"/>
  <c r="AJI27" i="7" s="1"/>
  <c r="AJJ18" i="7"/>
  <c r="AJJ19" i="7" s="1"/>
  <c r="AJJ20" i="7" s="1"/>
  <c r="AJJ21" i="7" s="1"/>
  <c r="AJJ22" i="7" s="1"/>
  <c r="AJJ23" i="7" s="1"/>
  <c r="AJJ24" i="7" s="1"/>
  <c r="AJJ25" i="7" s="1"/>
  <c r="AJJ26" i="7" s="1"/>
  <c r="AJJ27" i="7" s="1"/>
  <c r="AJK18" i="7"/>
  <c r="AJK19" i="7" s="1"/>
  <c r="AJK20" i="7" s="1"/>
  <c r="AJK21" i="7" s="1"/>
  <c r="AJK22" i="7" s="1"/>
  <c r="AJK23" i="7" s="1"/>
  <c r="AJK24" i="7" s="1"/>
  <c r="AJK25" i="7" s="1"/>
  <c r="AJK26" i="7" s="1"/>
  <c r="AJK27" i="7" s="1"/>
  <c r="AJL18" i="7"/>
  <c r="AJL19" i="7" s="1"/>
  <c r="AJL20" i="7" s="1"/>
  <c r="AJL21" i="7" s="1"/>
  <c r="AJL22" i="7" s="1"/>
  <c r="AJL23" i="7" s="1"/>
  <c r="AJL24" i="7" s="1"/>
  <c r="AJL25" i="7" s="1"/>
  <c r="AJL26" i="7" s="1"/>
  <c r="AJL27" i="7" s="1"/>
  <c r="AJM18" i="7"/>
  <c r="AJM19" i="7" s="1"/>
  <c r="AJM20" i="7" s="1"/>
  <c r="AJM21" i="7" s="1"/>
  <c r="AJM22" i="7" s="1"/>
  <c r="AJM23" i="7" s="1"/>
  <c r="AJM24" i="7" s="1"/>
  <c r="AJM25" i="7" s="1"/>
  <c r="AJM26" i="7" s="1"/>
  <c r="AJM27" i="7" s="1"/>
  <c r="AJN18" i="7"/>
  <c r="AJN19" i="7" s="1"/>
  <c r="AJN20" i="7" s="1"/>
  <c r="AJN21" i="7" s="1"/>
  <c r="AJN22" i="7" s="1"/>
  <c r="AJN23" i="7" s="1"/>
  <c r="AJN24" i="7" s="1"/>
  <c r="AJN25" i="7" s="1"/>
  <c r="AJN26" i="7" s="1"/>
  <c r="AJN27" i="7" s="1"/>
  <c r="AJO18" i="7"/>
  <c r="AJO19" i="7" s="1"/>
  <c r="AJO20" i="7" s="1"/>
  <c r="AJO21" i="7" s="1"/>
  <c r="AJO22" i="7" s="1"/>
  <c r="AJO23" i="7" s="1"/>
  <c r="AJO24" i="7" s="1"/>
  <c r="AJO25" i="7" s="1"/>
  <c r="AJO26" i="7" s="1"/>
  <c r="AJO27" i="7" s="1"/>
  <c r="AJP18" i="7"/>
  <c r="AJP19" i="7" s="1"/>
  <c r="AJP20" i="7" s="1"/>
  <c r="AJP21" i="7" s="1"/>
  <c r="AJP22" i="7" s="1"/>
  <c r="AJP23" i="7" s="1"/>
  <c r="AJP24" i="7" s="1"/>
  <c r="AJP25" i="7" s="1"/>
  <c r="AJP26" i="7" s="1"/>
  <c r="AJP27" i="7" s="1"/>
  <c r="AJQ18" i="7"/>
  <c r="AJQ19" i="7" s="1"/>
  <c r="AJQ20" i="7" s="1"/>
  <c r="AJQ21" i="7" s="1"/>
  <c r="AJQ22" i="7" s="1"/>
  <c r="AJQ23" i="7" s="1"/>
  <c r="AJQ24" i="7" s="1"/>
  <c r="AJQ25" i="7" s="1"/>
  <c r="AJQ26" i="7" s="1"/>
  <c r="AJQ27" i="7" s="1"/>
  <c r="AJR18" i="7"/>
  <c r="AJR19" i="7" s="1"/>
  <c r="AJR20" i="7" s="1"/>
  <c r="AJR21" i="7" s="1"/>
  <c r="AJR22" i="7" s="1"/>
  <c r="AJR23" i="7" s="1"/>
  <c r="AJR24" i="7" s="1"/>
  <c r="AJR25" i="7" s="1"/>
  <c r="AJR26" i="7" s="1"/>
  <c r="AJR27" i="7" s="1"/>
  <c r="AJS18" i="7"/>
  <c r="AJS19" i="7" s="1"/>
  <c r="AJS20" i="7" s="1"/>
  <c r="AJS21" i="7" s="1"/>
  <c r="AJS22" i="7" s="1"/>
  <c r="AJS23" i="7" s="1"/>
  <c r="AJS24" i="7" s="1"/>
  <c r="AJS25" i="7" s="1"/>
  <c r="AJS26" i="7" s="1"/>
  <c r="AJS27" i="7" s="1"/>
  <c r="AJT18" i="7"/>
  <c r="AJT19" i="7" s="1"/>
  <c r="AJT20" i="7" s="1"/>
  <c r="AJT21" i="7" s="1"/>
  <c r="AJT22" i="7" s="1"/>
  <c r="AJT23" i="7" s="1"/>
  <c r="AJT24" i="7" s="1"/>
  <c r="AJT25" i="7" s="1"/>
  <c r="AJT26" i="7" s="1"/>
  <c r="AJT27" i="7" s="1"/>
  <c r="AJU18" i="7"/>
  <c r="AJU19" i="7" s="1"/>
  <c r="AJU20" i="7" s="1"/>
  <c r="AJU21" i="7" s="1"/>
  <c r="AJU22" i="7" s="1"/>
  <c r="AJU23" i="7" s="1"/>
  <c r="AJU24" i="7" s="1"/>
  <c r="AJU25" i="7" s="1"/>
  <c r="AJU26" i="7" s="1"/>
  <c r="AJU27" i="7" s="1"/>
  <c r="AJV18" i="7"/>
  <c r="AJV19" i="7" s="1"/>
  <c r="AJV20" i="7" s="1"/>
  <c r="AJV21" i="7" s="1"/>
  <c r="AJV22" i="7" s="1"/>
  <c r="AJV23" i="7" s="1"/>
  <c r="AJV24" i="7" s="1"/>
  <c r="AJV25" i="7" s="1"/>
  <c r="AJV26" i="7" s="1"/>
  <c r="AJV27" i="7" s="1"/>
  <c r="AJW18" i="7"/>
  <c r="AJW19" i="7" s="1"/>
  <c r="AJW20" i="7" s="1"/>
  <c r="AJW21" i="7" s="1"/>
  <c r="AJW22" i="7" s="1"/>
  <c r="AJW23" i="7" s="1"/>
  <c r="AJW24" i="7" s="1"/>
  <c r="AJW25" i="7" s="1"/>
  <c r="AJW26" i="7" s="1"/>
  <c r="AJW27" i="7" s="1"/>
  <c r="AJX18" i="7"/>
  <c r="AJX19" i="7" s="1"/>
  <c r="AJX20" i="7" s="1"/>
  <c r="AJX21" i="7" s="1"/>
  <c r="AJX22" i="7" s="1"/>
  <c r="AJX23" i="7" s="1"/>
  <c r="AJX24" i="7" s="1"/>
  <c r="AJX25" i="7" s="1"/>
  <c r="AJX26" i="7" s="1"/>
  <c r="AJX27" i="7" s="1"/>
  <c r="AJY18" i="7"/>
  <c r="AJY19" i="7" s="1"/>
  <c r="AJY20" i="7" s="1"/>
  <c r="AJY21" i="7" s="1"/>
  <c r="AJY22" i="7" s="1"/>
  <c r="AJY23" i="7" s="1"/>
  <c r="AJY24" i="7" s="1"/>
  <c r="AJY25" i="7" s="1"/>
  <c r="AJY26" i="7" s="1"/>
  <c r="AJY27" i="7" s="1"/>
  <c r="AJZ18" i="7"/>
  <c r="AJZ19" i="7" s="1"/>
  <c r="AJZ20" i="7" s="1"/>
  <c r="AJZ21" i="7" s="1"/>
  <c r="AJZ22" i="7" s="1"/>
  <c r="AJZ23" i="7" s="1"/>
  <c r="AJZ24" i="7" s="1"/>
  <c r="AJZ25" i="7" s="1"/>
  <c r="AJZ26" i="7" s="1"/>
  <c r="AJZ27" i="7" s="1"/>
  <c r="AKA18" i="7"/>
  <c r="AKA19" i="7" s="1"/>
  <c r="AKA20" i="7" s="1"/>
  <c r="AKA21" i="7" s="1"/>
  <c r="AKA22" i="7" s="1"/>
  <c r="AKA23" i="7" s="1"/>
  <c r="AKA24" i="7" s="1"/>
  <c r="AKA25" i="7" s="1"/>
  <c r="AKA26" i="7" s="1"/>
  <c r="AKA27" i="7" s="1"/>
  <c r="AKB18" i="7"/>
  <c r="AKB19" i="7" s="1"/>
  <c r="AKB20" i="7" s="1"/>
  <c r="AKB21" i="7" s="1"/>
  <c r="AKB22" i="7" s="1"/>
  <c r="AKB23" i="7" s="1"/>
  <c r="AKB24" i="7" s="1"/>
  <c r="AKB25" i="7" s="1"/>
  <c r="AKB26" i="7" s="1"/>
  <c r="AKB27" i="7" s="1"/>
  <c r="AKC18" i="7"/>
  <c r="AKC19" i="7" s="1"/>
  <c r="AKC20" i="7" s="1"/>
  <c r="AKC21" i="7" s="1"/>
  <c r="AKC22" i="7" s="1"/>
  <c r="AKC23" i="7" s="1"/>
  <c r="AKC24" i="7" s="1"/>
  <c r="AKC25" i="7" s="1"/>
  <c r="AKC26" i="7" s="1"/>
  <c r="AKC27" i="7" s="1"/>
  <c r="AKD18" i="7"/>
  <c r="AKD19" i="7" s="1"/>
  <c r="AKD20" i="7" s="1"/>
  <c r="AKD21" i="7" s="1"/>
  <c r="AKD22" i="7" s="1"/>
  <c r="AKD23" i="7" s="1"/>
  <c r="AKD24" i="7" s="1"/>
  <c r="AKD25" i="7" s="1"/>
  <c r="AKD26" i="7" s="1"/>
  <c r="AKD27" i="7" s="1"/>
  <c r="AKE18" i="7"/>
  <c r="AKE19" i="7" s="1"/>
  <c r="AKE20" i="7" s="1"/>
  <c r="AKE21" i="7" s="1"/>
  <c r="AKE22" i="7" s="1"/>
  <c r="AKE23" i="7" s="1"/>
  <c r="AKE24" i="7" s="1"/>
  <c r="AKE25" i="7" s="1"/>
  <c r="AKE26" i="7" s="1"/>
  <c r="AKE27" i="7" s="1"/>
  <c r="AKF18" i="7"/>
  <c r="AKF19" i="7" s="1"/>
  <c r="AKF20" i="7" s="1"/>
  <c r="AKF21" i="7" s="1"/>
  <c r="AKF22" i="7" s="1"/>
  <c r="AKF23" i="7" s="1"/>
  <c r="AKF24" i="7" s="1"/>
  <c r="AKF25" i="7" s="1"/>
  <c r="AKF26" i="7" s="1"/>
  <c r="AKF27" i="7" s="1"/>
  <c r="AKG18" i="7"/>
  <c r="AKG19" i="7" s="1"/>
  <c r="AKG20" i="7" s="1"/>
  <c r="AKG21" i="7" s="1"/>
  <c r="AKG22" i="7" s="1"/>
  <c r="AKG23" i="7" s="1"/>
  <c r="AKG24" i="7" s="1"/>
  <c r="AKG25" i="7" s="1"/>
  <c r="AKG26" i="7" s="1"/>
  <c r="AKG27" i="7" s="1"/>
  <c r="AKH18" i="7"/>
  <c r="AKH19" i="7" s="1"/>
  <c r="AKH20" i="7" s="1"/>
  <c r="AKH21" i="7" s="1"/>
  <c r="AKH22" i="7" s="1"/>
  <c r="AKH23" i="7" s="1"/>
  <c r="AKH24" i="7" s="1"/>
  <c r="AKH25" i="7" s="1"/>
  <c r="AKH26" i="7" s="1"/>
  <c r="AKH27" i="7" s="1"/>
  <c r="AKI18" i="7"/>
  <c r="AKI19" i="7" s="1"/>
  <c r="AKI20" i="7" s="1"/>
  <c r="AKI21" i="7" s="1"/>
  <c r="AKI22" i="7" s="1"/>
  <c r="AKI23" i="7" s="1"/>
  <c r="AKI24" i="7" s="1"/>
  <c r="AKI25" i="7" s="1"/>
  <c r="AKI26" i="7" s="1"/>
  <c r="AKI27" i="7" s="1"/>
  <c r="AKJ18" i="7"/>
  <c r="AKJ19" i="7" s="1"/>
  <c r="AKJ20" i="7" s="1"/>
  <c r="AKJ21" i="7" s="1"/>
  <c r="AKJ22" i="7" s="1"/>
  <c r="AKJ23" i="7" s="1"/>
  <c r="AKJ24" i="7" s="1"/>
  <c r="AKJ25" i="7" s="1"/>
  <c r="AKJ26" i="7" s="1"/>
  <c r="AKJ27" i="7" s="1"/>
  <c r="AKK18" i="7"/>
  <c r="AKK19" i="7" s="1"/>
  <c r="AKK20" i="7" s="1"/>
  <c r="AKK21" i="7" s="1"/>
  <c r="AKK22" i="7" s="1"/>
  <c r="AKK23" i="7" s="1"/>
  <c r="AKK24" i="7" s="1"/>
  <c r="AKK25" i="7" s="1"/>
  <c r="AKK26" i="7" s="1"/>
  <c r="AKK27" i="7" s="1"/>
  <c r="AKL18" i="7"/>
  <c r="AKL19" i="7" s="1"/>
  <c r="AKL20" i="7" s="1"/>
  <c r="AKL21" i="7" s="1"/>
  <c r="AKL22" i="7" s="1"/>
  <c r="AKL23" i="7" s="1"/>
  <c r="AKL24" i="7" s="1"/>
  <c r="AKL25" i="7" s="1"/>
  <c r="AKL26" i="7" s="1"/>
  <c r="AKL27" i="7" s="1"/>
  <c r="AKM18" i="7"/>
  <c r="AKM19" i="7" s="1"/>
  <c r="AKM20" i="7" s="1"/>
  <c r="AKM21" i="7" s="1"/>
  <c r="AKM22" i="7" s="1"/>
  <c r="AKM23" i="7" s="1"/>
  <c r="AKM24" i="7" s="1"/>
  <c r="AKM25" i="7" s="1"/>
  <c r="AKM26" i="7" s="1"/>
  <c r="AKM27" i="7" s="1"/>
  <c r="AKN18" i="7"/>
  <c r="AKN19" i="7" s="1"/>
  <c r="AKN20" i="7" s="1"/>
  <c r="AKN21" i="7" s="1"/>
  <c r="AKN22" i="7" s="1"/>
  <c r="AKN23" i="7" s="1"/>
  <c r="AKN24" i="7" s="1"/>
  <c r="AKN25" i="7" s="1"/>
  <c r="AKN26" i="7" s="1"/>
  <c r="AKN27" i="7" s="1"/>
  <c r="AKO18" i="7"/>
  <c r="AKO19" i="7" s="1"/>
  <c r="AKO20" i="7" s="1"/>
  <c r="AKO21" i="7" s="1"/>
  <c r="AKO22" i="7" s="1"/>
  <c r="AKO23" i="7" s="1"/>
  <c r="AKO24" i="7" s="1"/>
  <c r="AKO25" i="7" s="1"/>
  <c r="AKO26" i="7" s="1"/>
  <c r="AKO27" i="7" s="1"/>
  <c r="AKP18" i="7"/>
  <c r="AKP19" i="7" s="1"/>
  <c r="AKP20" i="7" s="1"/>
  <c r="AKP21" i="7" s="1"/>
  <c r="AKP22" i="7" s="1"/>
  <c r="AKP23" i="7" s="1"/>
  <c r="AKP24" i="7" s="1"/>
  <c r="AKP25" i="7" s="1"/>
  <c r="AKP26" i="7" s="1"/>
  <c r="AKP27" i="7" s="1"/>
  <c r="AKQ18" i="7"/>
  <c r="AKQ19" i="7" s="1"/>
  <c r="AKQ20" i="7" s="1"/>
  <c r="AKQ21" i="7" s="1"/>
  <c r="AKQ22" i="7" s="1"/>
  <c r="AKQ23" i="7" s="1"/>
  <c r="AKQ24" i="7" s="1"/>
  <c r="AKQ25" i="7" s="1"/>
  <c r="AKQ26" i="7" s="1"/>
  <c r="AKQ27" i="7" s="1"/>
  <c r="AKR18" i="7"/>
  <c r="AKR19" i="7" s="1"/>
  <c r="AKR20" i="7" s="1"/>
  <c r="AKR21" i="7" s="1"/>
  <c r="AKR22" i="7" s="1"/>
  <c r="AKR23" i="7" s="1"/>
  <c r="AKR24" i="7" s="1"/>
  <c r="AKR25" i="7" s="1"/>
  <c r="AKR26" i="7" s="1"/>
  <c r="AKR27" i="7" s="1"/>
  <c r="AKS18" i="7"/>
  <c r="AKS19" i="7" s="1"/>
  <c r="AKS20" i="7" s="1"/>
  <c r="AKS21" i="7" s="1"/>
  <c r="AKS22" i="7" s="1"/>
  <c r="AKS23" i="7" s="1"/>
  <c r="AKS24" i="7" s="1"/>
  <c r="AKS25" i="7" s="1"/>
  <c r="AKS26" i="7" s="1"/>
  <c r="AKS27" i="7" s="1"/>
  <c r="AKT18" i="7"/>
  <c r="AKT19" i="7" s="1"/>
  <c r="AKT20" i="7" s="1"/>
  <c r="AKT21" i="7" s="1"/>
  <c r="AKT22" i="7" s="1"/>
  <c r="AKT23" i="7" s="1"/>
  <c r="AKT24" i="7" s="1"/>
  <c r="AKT25" i="7" s="1"/>
  <c r="AKT26" i="7" s="1"/>
  <c r="AKT27" i="7" s="1"/>
  <c r="AKU18" i="7"/>
  <c r="AKU19" i="7" s="1"/>
  <c r="AKU20" i="7" s="1"/>
  <c r="AKU21" i="7" s="1"/>
  <c r="AKU22" i="7" s="1"/>
  <c r="AKU23" i="7" s="1"/>
  <c r="AKU24" i="7" s="1"/>
  <c r="AKU25" i="7" s="1"/>
  <c r="AKU26" i="7" s="1"/>
  <c r="AKU27" i="7" s="1"/>
  <c r="AKV18" i="7"/>
  <c r="AKV19" i="7" s="1"/>
  <c r="AKV20" i="7" s="1"/>
  <c r="AKV21" i="7" s="1"/>
  <c r="AKV22" i="7" s="1"/>
  <c r="AKV23" i="7" s="1"/>
  <c r="AKV24" i="7" s="1"/>
  <c r="AKV25" i="7" s="1"/>
  <c r="AKV26" i="7" s="1"/>
  <c r="AKV27" i="7" s="1"/>
  <c r="AKW18" i="7"/>
  <c r="AKW19" i="7" s="1"/>
  <c r="AKW20" i="7" s="1"/>
  <c r="AKW21" i="7" s="1"/>
  <c r="AKW22" i="7" s="1"/>
  <c r="AKW23" i="7" s="1"/>
  <c r="AKW24" i="7" s="1"/>
  <c r="AKW25" i="7" s="1"/>
  <c r="AKW26" i="7" s="1"/>
  <c r="AKW27" i="7" s="1"/>
  <c r="AKX18" i="7"/>
  <c r="AKX19" i="7" s="1"/>
  <c r="AKX20" i="7" s="1"/>
  <c r="AKX21" i="7" s="1"/>
  <c r="AKX22" i="7" s="1"/>
  <c r="AKX23" i="7" s="1"/>
  <c r="AKX24" i="7" s="1"/>
  <c r="AKX25" i="7" s="1"/>
  <c r="AKX26" i="7" s="1"/>
  <c r="AKX27" i="7" s="1"/>
  <c r="AKY18" i="7"/>
  <c r="AKY19" i="7" s="1"/>
  <c r="AKY20" i="7" s="1"/>
  <c r="AKY21" i="7" s="1"/>
  <c r="AKY22" i="7" s="1"/>
  <c r="AKY23" i="7" s="1"/>
  <c r="AKY24" i="7" s="1"/>
  <c r="AKY25" i="7" s="1"/>
  <c r="AKY26" i="7" s="1"/>
  <c r="AKY27" i="7" s="1"/>
  <c r="AKZ18" i="7"/>
  <c r="AKZ19" i="7" s="1"/>
  <c r="AKZ20" i="7" s="1"/>
  <c r="AKZ21" i="7" s="1"/>
  <c r="AKZ22" i="7" s="1"/>
  <c r="AKZ23" i="7" s="1"/>
  <c r="AKZ24" i="7" s="1"/>
  <c r="AKZ25" i="7" s="1"/>
  <c r="AKZ26" i="7" s="1"/>
  <c r="AKZ27" i="7" s="1"/>
  <c r="ALA18" i="7"/>
  <c r="ALA19" i="7" s="1"/>
  <c r="ALA20" i="7" s="1"/>
  <c r="ALA21" i="7" s="1"/>
  <c r="ALA22" i="7" s="1"/>
  <c r="ALA23" i="7" s="1"/>
  <c r="ALA24" i="7" s="1"/>
  <c r="ALA25" i="7" s="1"/>
  <c r="ALA26" i="7" s="1"/>
  <c r="ALA27" i="7" s="1"/>
  <c r="ALB18" i="7"/>
  <c r="ALB19" i="7" s="1"/>
  <c r="ALB20" i="7" s="1"/>
  <c r="ALB21" i="7" s="1"/>
  <c r="ALB22" i="7" s="1"/>
  <c r="ALB23" i="7" s="1"/>
  <c r="ALB24" i="7" s="1"/>
  <c r="ALB25" i="7" s="1"/>
  <c r="ALB26" i="7" s="1"/>
  <c r="ALB27" i="7" s="1"/>
  <c r="ALC18" i="7"/>
  <c r="ALC19" i="7" s="1"/>
  <c r="ALC20" i="7" s="1"/>
  <c r="ALC21" i="7" s="1"/>
  <c r="ALC22" i="7" s="1"/>
  <c r="ALC23" i="7" s="1"/>
  <c r="ALC24" i="7" s="1"/>
  <c r="ALC25" i="7" s="1"/>
  <c r="ALC26" i="7" s="1"/>
  <c r="ALC27" i="7" s="1"/>
  <c r="ALD18" i="7"/>
  <c r="ALD19" i="7" s="1"/>
  <c r="ALD20" i="7" s="1"/>
  <c r="ALD21" i="7" s="1"/>
  <c r="ALD22" i="7" s="1"/>
  <c r="ALD23" i="7" s="1"/>
  <c r="ALD24" i="7" s="1"/>
  <c r="ALD25" i="7" s="1"/>
  <c r="ALD26" i="7" s="1"/>
  <c r="ALD27" i="7" s="1"/>
  <c r="ALE18" i="7"/>
  <c r="ALE19" i="7" s="1"/>
  <c r="ALE20" i="7" s="1"/>
  <c r="ALE21" i="7" s="1"/>
  <c r="ALE22" i="7" s="1"/>
  <c r="ALE23" i="7" s="1"/>
  <c r="ALE24" i="7" s="1"/>
  <c r="ALE25" i="7" s="1"/>
  <c r="ALE26" i="7" s="1"/>
  <c r="ALE27" i="7" s="1"/>
  <c r="ALF18" i="7"/>
  <c r="ALF19" i="7" s="1"/>
  <c r="ALF20" i="7" s="1"/>
  <c r="ALF21" i="7" s="1"/>
  <c r="ALF22" i="7" s="1"/>
  <c r="ALF23" i="7" s="1"/>
  <c r="ALF24" i="7" s="1"/>
  <c r="ALF25" i="7" s="1"/>
  <c r="ALF26" i="7" s="1"/>
  <c r="ALF27" i="7" s="1"/>
  <c r="ALG18" i="7"/>
  <c r="ALG19" i="7" s="1"/>
  <c r="ALG20" i="7" s="1"/>
  <c r="ALG21" i="7" s="1"/>
  <c r="ALG22" i="7" s="1"/>
  <c r="ALG23" i="7" s="1"/>
  <c r="ALG24" i="7" s="1"/>
  <c r="ALG25" i="7" s="1"/>
  <c r="ALG26" i="7" s="1"/>
  <c r="ALG27" i="7" s="1"/>
  <c r="ALH18" i="7"/>
  <c r="ALH19" i="7" s="1"/>
  <c r="ALH20" i="7" s="1"/>
  <c r="ALH21" i="7" s="1"/>
  <c r="ALH22" i="7" s="1"/>
  <c r="ALH23" i="7" s="1"/>
  <c r="ALH24" i="7" s="1"/>
  <c r="ALH25" i="7" s="1"/>
  <c r="ALH26" i="7" s="1"/>
  <c r="ALH27" i="7" s="1"/>
  <c r="ALI18" i="7"/>
  <c r="ALI19" i="7" s="1"/>
  <c r="ALI20" i="7" s="1"/>
  <c r="ALI21" i="7" s="1"/>
  <c r="ALI22" i="7" s="1"/>
  <c r="ALI23" i="7" s="1"/>
  <c r="ALI24" i="7" s="1"/>
  <c r="ALI25" i="7" s="1"/>
  <c r="ALI26" i="7" s="1"/>
  <c r="ALI27" i="7" s="1"/>
  <c r="ALJ18" i="7"/>
  <c r="ALJ19" i="7" s="1"/>
  <c r="ALJ20" i="7" s="1"/>
  <c r="ALJ21" i="7" s="1"/>
  <c r="ALJ22" i="7" s="1"/>
  <c r="ALJ23" i="7" s="1"/>
  <c r="ALJ24" i="7" s="1"/>
  <c r="ALJ25" i="7" s="1"/>
  <c r="ALJ26" i="7" s="1"/>
  <c r="ALJ27" i="7" s="1"/>
  <c r="ALK18" i="7"/>
  <c r="ALK19" i="7" s="1"/>
  <c r="ALK20" i="7" s="1"/>
  <c r="ALK21" i="7" s="1"/>
  <c r="ALK22" i="7" s="1"/>
  <c r="ALK23" i="7" s="1"/>
  <c r="ALK24" i="7" s="1"/>
  <c r="ALK25" i="7" s="1"/>
  <c r="ALK26" i="7" s="1"/>
  <c r="ALK27" i="7" s="1"/>
  <c r="ALL18" i="7"/>
  <c r="ALL19" i="7" s="1"/>
  <c r="ALL20" i="7" s="1"/>
  <c r="ALL21" i="7" s="1"/>
  <c r="ALL22" i="7" s="1"/>
  <c r="ALL23" i="7" s="1"/>
  <c r="ALL24" i="7" s="1"/>
  <c r="ALL25" i="7" s="1"/>
  <c r="ALL26" i="7" s="1"/>
  <c r="ALL27" i="7" s="1"/>
  <c r="ALM18" i="7"/>
  <c r="ALM19" i="7" s="1"/>
  <c r="ALM20" i="7" s="1"/>
  <c r="ALM21" i="7" s="1"/>
  <c r="ALM22" i="7" s="1"/>
  <c r="ALM23" i="7" s="1"/>
  <c r="ALM24" i="7" s="1"/>
  <c r="ALM25" i="7" s="1"/>
  <c r="ALM26" i="7" s="1"/>
  <c r="ALM27" i="7" s="1"/>
  <c r="ALN18" i="7"/>
  <c r="ALN19" i="7" s="1"/>
  <c r="ALN20" i="7" s="1"/>
  <c r="ALN21" i="7" s="1"/>
  <c r="ALN22" i="7" s="1"/>
  <c r="ALN23" i="7" s="1"/>
  <c r="ALN24" i="7" s="1"/>
  <c r="ALN25" i="7" s="1"/>
  <c r="ALN26" i="7" s="1"/>
  <c r="ALN27" i="7" s="1"/>
  <c r="ALO18" i="7"/>
  <c r="ALO19" i="7" s="1"/>
  <c r="ALO20" i="7" s="1"/>
  <c r="ALO21" i="7" s="1"/>
  <c r="ALO22" i="7" s="1"/>
  <c r="ALO23" i="7" s="1"/>
  <c r="ALO24" i="7" s="1"/>
  <c r="ALO25" i="7" s="1"/>
  <c r="ALO26" i="7" s="1"/>
  <c r="ALO27" i="7" s="1"/>
  <c r="ALP18" i="7"/>
  <c r="ALP19" i="7" s="1"/>
  <c r="ALP20" i="7" s="1"/>
  <c r="ALP21" i="7" s="1"/>
  <c r="ALP22" i="7" s="1"/>
  <c r="ALP23" i="7" s="1"/>
  <c r="ALP24" i="7" s="1"/>
  <c r="ALP25" i="7" s="1"/>
  <c r="ALP26" i="7" s="1"/>
  <c r="ALP27" i="7" s="1"/>
  <c r="ALQ18" i="7"/>
  <c r="ALQ19" i="7" s="1"/>
  <c r="ALQ20" i="7" s="1"/>
  <c r="ALQ21" i="7" s="1"/>
  <c r="ALQ22" i="7" s="1"/>
  <c r="ALQ23" i="7" s="1"/>
  <c r="ALQ24" i="7" s="1"/>
  <c r="ALQ25" i="7" s="1"/>
  <c r="ALQ26" i="7" s="1"/>
  <c r="ALQ27" i="7" s="1"/>
  <c r="Z49" i="3"/>
  <c r="O36" i="6"/>
  <c r="Y49" i="3"/>
  <c r="N36" i="6"/>
  <c r="X49" i="3"/>
  <c r="M36" i="6"/>
  <c r="W49" i="3"/>
  <c r="L36" i="6"/>
  <c r="V49" i="3"/>
  <c r="K36" i="6"/>
  <c r="U49" i="3"/>
  <c r="J36" i="6"/>
  <c r="T49" i="3"/>
  <c r="I36" i="6"/>
  <c r="S49" i="3"/>
  <c r="H36" i="6"/>
  <c r="R49" i="3"/>
  <c r="G36" i="6"/>
  <c r="I27" i="7"/>
  <c r="J27" i="7"/>
  <c r="D17" i="7"/>
  <c r="G35" i="6"/>
  <c r="G22" i="6"/>
  <c r="G24" i="6"/>
  <c r="G17" i="6"/>
  <c r="C45" i="6"/>
  <c r="D43" i="6"/>
  <c r="E42" i="6"/>
  <c r="G42" i="6"/>
  <c r="D42" i="6"/>
  <c r="F42" i="6"/>
  <c r="ALQ17" i="7"/>
  <c r="ALP17" i="7"/>
  <c r="ALO17" i="7"/>
  <c r="ALN17" i="7"/>
  <c r="ALM17" i="7"/>
  <c r="ALL17" i="7"/>
  <c r="ALK17" i="7"/>
  <c r="ALJ17" i="7"/>
  <c r="ALI17" i="7"/>
  <c r="ALH17" i="7"/>
  <c r="ALG17" i="7"/>
  <c r="ALF17" i="7"/>
  <c r="ALE17" i="7"/>
  <c r="ALD17" i="7"/>
  <c r="ALC17" i="7"/>
  <c r="ALB17" i="7"/>
  <c r="ALA17" i="7"/>
  <c r="AKZ17" i="7"/>
  <c r="AKY17" i="7"/>
  <c r="AKX17" i="7"/>
  <c r="AKW17" i="7"/>
  <c r="AKV17" i="7"/>
  <c r="AKU17" i="7"/>
  <c r="AKT17" i="7"/>
  <c r="AKS17" i="7"/>
  <c r="AKR17" i="7"/>
  <c r="AKQ17" i="7"/>
  <c r="AKP17" i="7"/>
  <c r="AKO17" i="7"/>
  <c r="AKN17" i="7"/>
  <c r="AKM17" i="7"/>
  <c r="AKL17" i="7"/>
  <c r="AKK17" i="7"/>
  <c r="AKJ17" i="7"/>
  <c r="AKI17" i="7"/>
  <c r="AKH17" i="7"/>
  <c r="AKG17" i="7"/>
  <c r="AKF17" i="7"/>
  <c r="AKE17" i="7"/>
  <c r="AKD17" i="7"/>
  <c r="AKC17" i="7"/>
  <c r="AKB17" i="7"/>
  <c r="AKA17" i="7"/>
  <c r="AJZ17" i="7"/>
  <c r="AJY17" i="7"/>
  <c r="AJX17" i="7"/>
  <c r="AJW17" i="7"/>
  <c r="AJV17" i="7"/>
  <c r="AJU17" i="7"/>
  <c r="AJT17" i="7"/>
  <c r="AJS17" i="7"/>
  <c r="AJR17" i="7"/>
  <c r="AJQ17" i="7"/>
  <c r="AJP17" i="7"/>
  <c r="AJO17" i="7"/>
  <c r="AJN17" i="7"/>
  <c r="AJM17" i="7"/>
  <c r="AJL17" i="7"/>
  <c r="AJK17" i="7"/>
  <c r="AJJ17" i="7"/>
  <c r="AJI17" i="7"/>
  <c r="AJH17" i="7"/>
  <c r="AJG17" i="7"/>
  <c r="AJF17" i="7"/>
  <c r="AJE17" i="7"/>
  <c r="AJD17" i="7"/>
  <c r="AJC17" i="7"/>
  <c r="AJB17" i="7"/>
  <c r="AJA17" i="7"/>
  <c r="AIZ17" i="7"/>
  <c r="AIY17" i="7"/>
  <c r="AIX17" i="7"/>
  <c r="AIW17" i="7"/>
  <c r="AIV17" i="7"/>
  <c r="AIU17" i="7"/>
  <c r="AIT17" i="7"/>
  <c r="AIS17" i="7"/>
  <c r="AIR17" i="7"/>
  <c r="AIQ17" i="7"/>
  <c r="AIP17" i="7"/>
  <c r="AIO17" i="7"/>
  <c r="AIN17" i="7"/>
  <c r="AIM17" i="7"/>
  <c r="AIL17" i="7"/>
  <c r="AIK17" i="7"/>
  <c r="AIJ17" i="7"/>
  <c r="AII17" i="7"/>
  <c r="AIH17" i="7"/>
  <c r="AIG17" i="7"/>
  <c r="AIF17" i="7"/>
  <c r="AIE17" i="7"/>
  <c r="AID17" i="7"/>
  <c r="AIC17" i="7"/>
  <c r="AIB17" i="7"/>
  <c r="AIA17" i="7"/>
  <c r="AHZ17" i="7"/>
  <c r="AHY17" i="7"/>
  <c r="AHX17" i="7"/>
  <c r="AHW17" i="7"/>
  <c r="AHV17" i="7"/>
  <c r="AHU17" i="7"/>
  <c r="AHT17" i="7"/>
  <c r="AHS17" i="7"/>
  <c r="AHR17" i="7"/>
  <c r="AHQ17" i="7"/>
  <c r="AHP17" i="7"/>
  <c r="AHO17" i="7"/>
  <c r="AHN17" i="7"/>
  <c r="AHM17" i="7"/>
  <c r="AHL17" i="7"/>
  <c r="AHK17" i="7"/>
  <c r="AHJ17" i="7"/>
  <c r="AHI17" i="7"/>
  <c r="AHH17" i="7"/>
  <c r="AHG17" i="7"/>
  <c r="AHF17" i="7"/>
  <c r="AHE17" i="7"/>
  <c r="AHD17" i="7"/>
  <c r="AHC17" i="7"/>
  <c r="AHB17" i="7"/>
  <c r="AHA17" i="7"/>
  <c r="AGZ17" i="7"/>
  <c r="AGY17" i="7"/>
  <c r="AGX17" i="7"/>
  <c r="AGW17" i="7"/>
  <c r="AGV17" i="7"/>
  <c r="AGU17" i="7"/>
  <c r="AGT17" i="7"/>
  <c r="AGS17" i="7"/>
  <c r="AGR17" i="7"/>
  <c r="AGQ17" i="7"/>
  <c r="AGP17" i="7"/>
  <c r="AGO17" i="7"/>
  <c r="AGN17" i="7"/>
  <c r="AGM17" i="7"/>
  <c r="AGL17" i="7"/>
  <c r="AGK17" i="7"/>
  <c r="AGJ17" i="7"/>
  <c r="AGI17" i="7"/>
  <c r="AGH17" i="7"/>
  <c r="AGG17" i="7"/>
  <c r="AGF17" i="7"/>
  <c r="AGE17" i="7"/>
  <c r="AGD17" i="7"/>
  <c r="AGC17" i="7"/>
  <c r="AGB17" i="7"/>
  <c r="AGA17" i="7"/>
  <c r="AFZ17" i="7"/>
  <c r="AFY17" i="7"/>
  <c r="AFX17" i="7"/>
  <c r="AFW17" i="7"/>
  <c r="AFV17" i="7"/>
  <c r="AFU17" i="7"/>
  <c r="AFT17" i="7"/>
  <c r="AFS17" i="7"/>
  <c r="AFR17" i="7"/>
  <c r="AFQ17" i="7"/>
  <c r="AFP17" i="7"/>
  <c r="AFO17" i="7"/>
  <c r="AFN17" i="7"/>
  <c r="AFM17" i="7"/>
  <c r="AFL17" i="7"/>
  <c r="AFK17" i="7"/>
  <c r="AFJ17" i="7"/>
  <c r="AFI17" i="7"/>
  <c r="AFH17" i="7"/>
  <c r="AFG17" i="7"/>
  <c r="AFF17" i="7"/>
  <c r="AFE17" i="7"/>
  <c r="AFD17" i="7"/>
  <c r="AFC17" i="7"/>
  <c r="AFB17" i="7"/>
  <c r="AFA17" i="7"/>
  <c r="AEZ17" i="7"/>
  <c r="AEY17" i="7"/>
  <c r="AEX17" i="7"/>
  <c r="AEW17" i="7"/>
  <c r="AEV17" i="7"/>
  <c r="AEU17" i="7"/>
  <c r="AET17" i="7"/>
  <c r="AES17" i="7"/>
  <c r="AER17" i="7"/>
  <c r="AEQ17" i="7"/>
  <c r="AEP17" i="7"/>
  <c r="AEO17" i="7"/>
  <c r="AEN17" i="7"/>
  <c r="AEM17" i="7"/>
  <c r="AEL17" i="7"/>
  <c r="AEK17" i="7"/>
  <c r="AEJ17" i="7"/>
  <c r="AEI17" i="7"/>
  <c r="AEH17" i="7"/>
  <c r="AEG17" i="7"/>
  <c r="AEF17" i="7"/>
  <c r="AEE17" i="7"/>
  <c r="AED17" i="7"/>
  <c r="AEC17" i="7"/>
  <c r="AEB17" i="7"/>
  <c r="AEA17" i="7"/>
  <c r="ADZ17" i="7"/>
  <c r="ADY17" i="7"/>
  <c r="ADX17" i="7"/>
  <c r="ADW17" i="7"/>
  <c r="ADV17" i="7"/>
  <c r="ADU17" i="7"/>
  <c r="ADT17" i="7"/>
  <c r="ADS17" i="7"/>
  <c r="ADR17" i="7"/>
  <c r="ADQ17" i="7"/>
  <c r="ADP17" i="7"/>
  <c r="ADO17" i="7"/>
  <c r="ADN17" i="7"/>
  <c r="ADM17" i="7"/>
  <c r="ADL17" i="7"/>
  <c r="ADK17" i="7"/>
  <c r="ADJ17" i="7"/>
  <c r="ADI17" i="7"/>
  <c r="ADH17" i="7"/>
  <c r="ADG17" i="7"/>
  <c r="ADF17" i="7"/>
  <c r="ADE17" i="7"/>
  <c r="ADD17" i="7"/>
  <c r="ADC17" i="7"/>
  <c r="ADB17" i="7"/>
  <c r="ADA17" i="7"/>
  <c r="ACZ17" i="7"/>
  <c r="ACY17" i="7"/>
  <c r="ACX17" i="7"/>
  <c r="ACW17" i="7"/>
  <c r="ACV17" i="7"/>
  <c r="ACU17" i="7"/>
  <c r="ACT17" i="7"/>
  <c r="ACS17" i="7"/>
  <c r="ACR17" i="7"/>
  <c r="ACQ17" i="7"/>
  <c r="ACP17" i="7"/>
  <c r="ACO17" i="7"/>
  <c r="ACN17" i="7"/>
  <c r="ACM17" i="7"/>
  <c r="ACL17" i="7"/>
  <c r="ACK17" i="7"/>
  <c r="ACJ17" i="7"/>
  <c r="ACI17" i="7"/>
  <c r="ACH17" i="7"/>
  <c r="ACG17" i="7"/>
  <c r="ACF17" i="7"/>
  <c r="ACE17" i="7"/>
  <c r="ACD17" i="7"/>
  <c r="ACC17" i="7"/>
  <c r="ACB17" i="7"/>
  <c r="ACA17" i="7"/>
  <c r="ABZ17" i="7"/>
  <c r="ABY17" i="7"/>
  <c r="ABX17" i="7"/>
  <c r="ABW17" i="7"/>
  <c r="ABV17" i="7"/>
  <c r="ABU17" i="7"/>
  <c r="ABT17" i="7"/>
  <c r="ABS17" i="7"/>
  <c r="ABR17" i="7"/>
  <c r="ABQ17" i="7"/>
  <c r="ABP17" i="7"/>
  <c r="ABO17" i="7"/>
  <c r="ABN17" i="7"/>
  <c r="ABM17" i="7"/>
  <c r="ABL17" i="7"/>
  <c r="ABK17" i="7"/>
  <c r="ABJ17" i="7"/>
  <c r="ABI17" i="7"/>
  <c r="ABH17" i="7"/>
  <c r="ABG17" i="7"/>
  <c r="ABF17" i="7"/>
  <c r="ABE17" i="7"/>
  <c r="ABD17" i="7"/>
  <c r="ABC17" i="7"/>
  <c r="ABB17" i="7"/>
  <c r="ABA17" i="7"/>
  <c r="AAZ17" i="7"/>
  <c r="AAY17" i="7"/>
  <c r="AAX17" i="7"/>
  <c r="AAW17" i="7"/>
  <c r="AAV17" i="7"/>
  <c r="AAU17" i="7"/>
  <c r="AAT17" i="7"/>
  <c r="AAS17" i="7"/>
  <c r="AAR17" i="7"/>
  <c r="AAQ17" i="7"/>
  <c r="AAP17" i="7"/>
  <c r="AAO17" i="7"/>
  <c r="AAN17" i="7"/>
  <c r="AAM17" i="7"/>
  <c r="AAL17" i="7"/>
  <c r="AAK17" i="7"/>
  <c r="AAJ17" i="7"/>
  <c r="AAI17" i="7"/>
  <c r="AAH17" i="7"/>
  <c r="AAG17" i="7"/>
  <c r="AAF17" i="7"/>
  <c r="AAE17" i="7"/>
  <c r="AAD17" i="7"/>
  <c r="AAC17" i="7"/>
  <c r="AAB17" i="7"/>
  <c r="AAA17" i="7"/>
  <c r="ZZ17" i="7"/>
  <c r="ZY17" i="7"/>
  <c r="ZX17" i="7"/>
  <c r="ZW17" i="7"/>
  <c r="ZV17" i="7"/>
  <c r="ZU17" i="7"/>
  <c r="ZT17" i="7"/>
  <c r="ZS17" i="7"/>
  <c r="ZR17" i="7"/>
  <c r="ZQ17" i="7"/>
  <c r="ZP17" i="7"/>
  <c r="ZO17" i="7"/>
  <c r="ZN17" i="7"/>
  <c r="ZM17" i="7"/>
  <c r="ZL17" i="7"/>
  <c r="ZK17" i="7"/>
  <c r="ZJ17" i="7"/>
  <c r="ZI17" i="7"/>
  <c r="ZH17" i="7"/>
  <c r="ZG17" i="7"/>
  <c r="ZF17" i="7"/>
  <c r="ZE17" i="7"/>
  <c r="ZD17" i="7"/>
  <c r="ZC17" i="7"/>
  <c r="ZB17" i="7"/>
  <c r="ZA17" i="7"/>
  <c r="YZ17" i="7"/>
  <c r="YY17" i="7"/>
  <c r="YX17" i="7"/>
  <c r="YW17" i="7"/>
  <c r="YV17" i="7"/>
  <c r="YU17" i="7"/>
  <c r="YT17" i="7"/>
  <c r="YS17" i="7"/>
  <c r="YR17" i="7"/>
  <c r="YQ17" i="7"/>
  <c r="YP17" i="7"/>
  <c r="YO17" i="7"/>
  <c r="YN17" i="7"/>
  <c r="YM17" i="7"/>
  <c r="YL17" i="7"/>
  <c r="YK17" i="7"/>
  <c r="YJ17" i="7"/>
  <c r="YI17" i="7"/>
  <c r="YH17" i="7"/>
  <c r="YG17" i="7"/>
  <c r="YF17" i="7"/>
  <c r="YE17" i="7"/>
  <c r="YD17" i="7"/>
  <c r="YC17" i="7"/>
  <c r="YB17" i="7"/>
  <c r="YA17" i="7"/>
  <c r="XZ17" i="7"/>
  <c r="XY17" i="7"/>
  <c r="XX17" i="7"/>
  <c r="XW17" i="7"/>
  <c r="XV17" i="7"/>
  <c r="XU17" i="7"/>
  <c r="XT17" i="7"/>
  <c r="XS17" i="7"/>
  <c r="XR17" i="7"/>
  <c r="XQ17" i="7"/>
  <c r="XP17" i="7"/>
  <c r="XO17" i="7"/>
  <c r="XN17" i="7"/>
  <c r="XM17" i="7"/>
  <c r="XL17" i="7"/>
  <c r="XK17" i="7"/>
  <c r="XJ17" i="7"/>
  <c r="XI17" i="7"/>
  <c r="XH17" i="7"/>
  <c r="XG17" i="7"/>
  <c r="XF17" i="7"/>
  <c r="XE17" i="7"/>
  <c r="XD17" i="7"/>
  <c r="XC17" i="7"/>
  <c r="XB17" i="7"/>
  <c r="XA17" i="7"/>
  <c r="WZ17" i="7"/>
  <c r="WY17" i="7"/>
  <c r="WX17" i="7"/>
  <c r="WW17" i="7"/>
  <c r="WV17" i="7"/>
  <c r="WU17" i="7"/>
  <c r="WT17" i="7"/>
  <c r="WS17" i="7"/>
  <c r="WR17" i="7"/>
  <c r="WQ17" i="7"/>
  <c r="WP17" i="7"/>
  <c r="WO17" i="7"/>
  <c r="WN17" i="7"/>
  <c r="WM17" i="7"/>
  <c r="WL17" i="7"/>
  <c r="WK17" i="7"/>
  <c r="WJ17" i="7"/>
  <c r="WI17" i="7"/>
  <c r="WH17" i="7"/>
  <c r="WG17" i="7"/>
  <c r="WF17" i="7"/>
  <c r="WE17" i="7"/>
  <c r="WD17" i="7"/>
  <c r="WC17" i="7"/>
  <c r="WB17" i="7"/>
  <c r="WA17" i="7"/>
  <c r="VZ17" i="7"/>
  <c r="VY17" i="7"/>
  <c r="VX17" i="7"/>
  <c r="VW17" i="7"/>
  <c r="VV17" i="7"/>
  <c r="VU17" i="7"/>
  <c r="VT17" i="7"/>
  <c r="VS17" i="7"/>
  <c r="VR17" i="7"/>
  <c r="VQ17" i="7"/>
  <c r="VP17" i="7"/>
  <c r="VO17" i="7"/>
  <c r="VN17" i="7"/>
  <c r="VM17" i="7"/>
  <c r="VL17" i="7"/>
  <c r="VK17" i="7"/>
  <c r="VJ17" i="7"/>
  <c r="VI17" i="7"/>
  <c r="VH17" i="7"/>
  <c r="VG17" i="7"/>
  <c r="VF17" i="7"/>
  <c r="VE17" i="7"/>
  <c r="VD17" i="7"/>
  <c r="VC17" i="7"/>
  <c r="VB17" i="7"/>
  <c r="VA17" i="7"/>
  <c r="UZ17" i="7"/>
  <c r="UY17" i="7"/>
  <c r="UX17" i="7"/>
  <c r="UW17" i="7"/>
  <c r="UV17" i="7"/>
  <c r="UU17" i="7"/>
  <c r="UT17" i="7"/>
  <c r="US17" i="7"/>
  <c r="UR17" i="7"/>
  <c r="UQ17" i="7"/>
  <c r="UP17" i="7"/>
  <c r="UO17" i="7"/>
  <c r="UN17" i="7"/>
  <c r="UM17" i="7"/>
  <c r="UL17" i="7"/>
  <c r="UK17" i="7"/>
  <c r="UJ17" i="7"/>
  <c r="UI17" i="7"/>
  <c r="UH17" i="7"/>
  <c r="UG17" i="7"/>
  <c r="UF17" i="7"/>
  <c r="UE17" i="7"/>
  <c r="UD17" i="7"/>
  <c r="UC17" i="7"/>
  <c r="UB17" i="7"/>
  <c r="UA17" i="7"/>
  <c r="TZ17" i="7"/>
  <c r="TY17" i="7"/>
  <c r="TX17" i="7"/>
  <c r="TW17" i="7"/>
  <c r="TV17" i="7"/>
  <c r="TU17" i="7"/>
  <c r="TT17" i="7"/>
  <c r="TS17" i="7"/>
  <c r="TR17" i="7"/>
  <c r="TQ17" i="7"/>
  <c r="TP17" i="7"/>
  <c r="TO17" i="7"/>
  <c r="TN17" i="7"/>
  <c r="TM17" i="7"/>
  <c r="TL17" i="7"/>
  <c r="TK17" i="7"/>
  <c r="TJ17" i="7"/>
  <c r="TI17" i="7"/>
  <c r="TH17" i="7"/>
  <c r="TG17" i="7"/>
  <c r="TF17" i="7"/>
  <c r="TE17" i="7"/>
  <c r="TD17" i="7"/>
  <c r="TC17" i="7"/>
  <c r="TB17" i="7"/>
  <c r="TA17" i="7"/>
  <c r="SZ17" i="7"/>
  <c r="SY17" i="7"/>
  <c r="SX17" i="7"/>
  <c r="SW17" i="7"/>
  <c r="SV17" i="7"/>
  <c r="SU17" i="7"/>
  <c r="ST17" i="7"/>
  <c r="SS17" i="7"/>
  <c r="SR17" i="7"/>
  <c r="SQ17" i="7"/>
  <c r="SP17" i="7"/>
  <c r="SO17" i="7"/>
  <c r="SN17" i="7"/>
  <c r="SM17" i="7"/>
  <c r="SL17" i="7"/>
  <c r="SK17" i="7"/>
  <c r="SJ17" i="7"/>
  <c r="SI17" i="7"/>
  <c r="SH17" i="7"/>
  <c r="SG17" i="7"/>
  <c r="SF17" i="7"/>
  <c r="SE17" i="7"/>
  <c r="SD17" i="7"/>
  <c r="SC17" i="7"/>
  <c r="SB17" i="7"/>
  <c r="SA17" i="7"/>
  <c r="RZ17" i="7"/>
  <c r="RY17" i="7"/>
  <c r="RX17" i="7"/>
  <c r="RW17" i="7"/>
  <c r="RV17" i="7"/>
  <c r="RU17" i="7"/>
  <c r="RT17" i="7"/>
  <c r="RS17" i="7"/>
  <c r="RR17" i="7"/>
  <c r="RQ17" i="7"/>
  <c r="RP17" i="7"/>
  <c r="RO17" i="7"/>
  <c r="RN17" i="7"/>
  <c r="RM17" i="7"/>
  <c r="RL17" i="7"/>
  <c r="RK17" i="7"/>
  <c r="RJ17" i="7"/>
  <c r="RI17" i="7"/>
  <c r="RH17" i="7"/>
  <c r="RG17" i="7"/>
  <c r="RF17" i="7"/>
  <c r="RE17" i="7"/>
  <c r="RD17" i="7"/>
  <c r="RC17" i="7"/>
  <c r="RB17" i="7"/>
  <c r="RA17" i="7"/>
  <c r="QZ17" i="7"/>
  <c r="QY17" i="7"/>
  <c r="QX17" i="7"/>
  <c r="QW17" i="7"/>
  <c r="QV17" i="7"/>
  <c r="QU17" i="7"/>
  <c r="QT17" i="7"/>
  <c r="QS17" i="7"/>
  <c r="QR17" i="7"/>
  <c r="QQ17" i="7"/>
  <c r="QP17" i="7"/>
  <c r="QO17" i="7"/>
  <c r="QN17" i="7"/>
  <c r="QM17" i="7"/>
  <c r="QL17" i="7"/>
  <c r="QK17" i="7"/>
  <c r="QJ17" i="7"/>
  <c r="QI17" i="7"/>
  <c r="QH17" i="7"/>
  <c r="QG17" i="7"/>
  <c r="QF17" i="7"/>
  <c r="QE17" i="7"/>
  <c r="QD17" i="7"/>
  <c r="QC17" i="7"/>
  <c r="QB17" i="7"/>
  <c r="QA17" i="7"/>
  <c r="PZ17" i="7"/>
  <c r="PY17" i="7"/>
  <c r="PX17" i="7"/>
  <c r="PW17" i="7"/>
  <c r="PV17" i="7"/>
  <c r="PU17" i="7"/>
  <c r="PT17" i="7"/>
  <c r="PS17" i="7"/>
  <c r="PR17" i="7"/>
  <c r="PQ17" i="7"/>
  <c r="PP17" i="7"/>
  <c r="PO17" i="7"/>
  <c r="PN17" i="7"/>
  <c r="PM17" i="7"/>
  <c r="PL17" i="7"/>
  <c r="PK17" i="7"/>
  <c r="PJ17" i="7"/>
  <c r="PI17" i="7"/>
  <c r="PH17" i="7"/>
  <c r="PG17" i="7"/>
  <c r="PF17" i="7"/>
  <c r="PE17" i="7"/>
  <c r="PD17" i="7"/>
  <c r="PC17" i="7"/>
  <c r="PB17" i="7"/>
  <c r="PA17" i="7"/>
  <c r="OZ17" i="7"/>
  <c r="OY17" i="7"/>
  <c r="OX17" i="7"/>
  <c r="OW17" i="7"/>
  <c r="OV17" i="7"/>
  <c r="OU17" i="7"/>
  <c r="OT17" i="7"/>
  <c r="OS17" i="7"/>
  <c r="OR17" i="7"/>
  <c r="OQ17" i="7"/>
  <c r="OP17" i="7"/>
  <c r="OO17" i="7"/>
  <c r="ON17" i="7"/>
  <c r="OM17" i="7"/>
  <c r="OL17" i="7"/>
  <c r="OK17" i="7"/>
  <c r="OJ17" i="7"/>
  <c r="OI17" i="7"/>
  <c r="OH17" i="7"/>
  <c r="OG17" i="7"/>
  <c r="OF17" i="7"/>
  <c r="OE17" i="7"/>
  <c r="OD17" i="7"/>
  <c r="OC17" i="7"/>
  <c r="OB17" i="7"/>
  <c r="OA17" i="7"/>
  <c r="NZ17" i="7"/>
  <c r="NY17" i="7"/>
  <c r="NX17" i="7"/>
  <c r="NW17" i="7"/>
  <c r="NV17" i="7"/>
  <c r="NU17" i="7"/>
  <c r="NT17" i="7"/>
  <c r="NS17" i="7"/>
  <c r="NR17" i="7"/>
  <c r="NQ17" i="7"/>
  <c r="NP17" i="7"/>
  <c r="NO17" i="7"/>
  <c r="NN17" i="7"/>
  <c r="NM17" i="7"/>
  <c r="NL17" i="7"/>
  <c r="NK17" i="7"/>
  <c r="NJ17" i="7"/>
  <c r="NI17" i="7"/>
  <c r="NH17" i="7"/>
  <c r="NG17" i="7"/>
  <c r="NF17" i="7"/>
  <c r="NE17" i="7"/>
  <c r="ND17" i="7"/>
  <c r="NC17" i="7"/>
  <c r="NB17" i="7"/>
  <c r="NA17" i="7"/>
  <c r="MZ17" i="7"/>
  <c r="MY17" i="7"/>
  <c r="MX17" i="7"/>
  <c r="MW17" i="7"/>
  <c r="MV17" i="7"/>
  <c r="MU17" i="7"/>
  <c r="MT17" i="7"/>
  <c r="MS17" i="7"/>
  <c r="MR17" i="7"/>
  <c r="MQ17" i="7"/>
  <c r="MP17" i="7"/>
  <c r="MO17" i="7"/>
  <c r="MN17" i="7"/>
  <c r="MM17" i="7"/>
  <c r="ML17" i="7"/>
  <c r="MK17" i="7"/>
  <c r="MJ17" i="7"/>
  <c r="MI17" i="7"/>
  <c r="MH17" i="7"/>
  <c r="MG17" i="7"/>
  <c r="MF17" i="7"/>
  <c r="ME17" i="7"/>
  <c r="MD17" i="7"/>
  <c r="MC17" i="7"/>
  <c r="MB17" i="7"/>
  <c r="MA17" i="7"/>
  <c r="LZ17" i="7"/>
  <c r="LY17" i="7"/>
  <c r="LX17" i="7"/>
  <c r="LW17" i="7"/>
  <c r="LV17" i="7"/>
  <c r="LU17" i="7"/>
  <c r="LT17" i="7"/>
  <c r="LS17" i="7"/>
  <c r="LR17" i="7"/>
  <c r="LQ17" i="7"/>
  <c r="LP17" i="7"/>
  <c r="LO17" i="7"/>
  <c r="LN17" i="7"/>
  <c r="LM17" i="7"/>
  <c r="LL17" i="7"/>
  <c r="LK17" i="7"/>
  <c r="LJ17" i="7"/>
  <c r="LI17" i="7"/>
  <c r="LH17" i="7"/>
  <c r="LG17" i="7"/>
  <c r="LF17" i="7"/>
  <c r="LE17" i="7"/>
  <c r="LD17" i="7"/>
  <c r="LC17" i="7"/>
  <c r="LB17" i="7"/>
  <c r="LA17" i="7"/>
  <c r="KZ17" i="7"/>
  <c r="KY17" i="7"/>
  <c r="KX17" i="7"/>
  <c r="KW17" i="7"/>
  <c r="KV17" i="7"/>
  <c r="KU17" i="7"/>
  <c r="KT17" i="7"/>
  <c r="KS17" i="7"/>
  <c r="KR17" i="7"/>
  <c r="KQ17" i="7"/>
  <c r="KP17" i="7"/>
  <c r="KO17" i="7"/>
  <c r="KN17" i="7"/>
  <c r="KM17" i="7"/>
  <c r="KL17" i="7"/>
  <c r="KK17" i="7"/>
  <c r="KJ17" i="7"/>
  <c r="KI17" i="7"/>
  <c r="KH17" i="7"/>
  <c r="KG17" i="7"/>
  <c r="KF17" i="7"/>
  <c r="KE17" i="7"/>
  <c r="KD17" i="7"/>
  <c r="KC17" i="7"/>
  <c r="KB17" i="7"/>
  <c r="KA17" i="7"/>
  <c r="JZ17" i="7"/>
  <c r="JY17" i="7"/>
  <c r="JX17" i="7"/>
  <c r="JW17" i="7"/>
  <c r="JV17" i="7"/>
  <c r="JU17" i="7"/>
  <c r="JT17" i="7"/>
  <c r="JS17" i="7"/>
  <c r="JR17" i="7"/>
  <c r="JQ17" i="7"/>
  <c r="JP17" i="7"/>
  <c r="JO17" i="7"/>
  <c r="JN17" i="7"/>
  <c r="JM17" i="7"/>
  <c r="JL17" i="7"/>
  <c r="JK17" i="7"/>
  <c r="JJ17" i="7"/>
  <c r="JI17" i="7"/>
  <c r="JH17" i="7"/>
  <c r="JG17" i="7"/>
  <c r="JF17" i="7"/>
  <c r="JE17" i="7"/>
  <c r="JD17" i="7"/>
  <c r="JC17" i="7"/>
  <c r="JB17" i="7"/>
  <c r="JA17" i="7"/>
  <c r="IZ17" i="7"/>
  <c r="IY17" i="7"/>
  <c r="IX17" i="7"/>
  <c r="IW17" i="7"/>
  <c r="IV17" i="7"/>
  <c r="IU17" i="7"/>
  <c r="IT17" i="7"/>
  <c r="IS17" i="7"/>
  <c r="IR17" i="7"/>
  <c r="IQ17" i="7"/>
  <c r="IP17" i="7"/>
  <c r="IO17" i="7"/>
  <c r="IN17" i="7"/>
  <c r="IM17" i="7"/>
  <c r="IL17" i="7"/>
  <c r="IK17" i="7"/>
  <c r="IJ17" i="7"/>
  <c r="II17" i="7"/>
  <c r="IH17" i="7"/>
  <c r="IG17" i="7"/>
  <c r="IF17" i="7"/>
  <c r="IE17" i="7"/>
  <c r="ID17" i="7"/>
  <c r="IC17" i="7"/>
  <c r="IB17" i="7"/>
  <c r="IA17" i="7"/>
  <c r="HZ17" i="7"/>
  <c r="HY17" i="7"/>
  <c r="HX17" i="7"/>
  <c r="HW17" i="7"/>
  <c r="HV17" i="7"/>
  <c r="HU17" i="7"/>
  <c r="HT17" i="7"/>
  <c r="HS17" i="7"/>
  <c r="HR17" i="7"/>
  <c r="HQ17" i="7"/>
  <c r="HP17" i="7"/>
  <c r="HO17" i="7"/>
  <c r="HN17" i="7"/>
  <c r="HM17" i="7"/>
  <c r="HL17" i="7"/>
  <c r="HK17" i="7"/>
  <c r="HJ17" i="7"/>
  <c r="HI17" i="7"/>
  <c r="HH17" i="7"/>
  <c r="HG17" i="7"/>
  <c r="HF17" i="7"/>
  <c r="HE17" i="7"/>
  <c r="HD17" i="7"/>
  <c r="HC17" i="7"/>
  <c r="HB17" i="7"/>
  <c r="HA17" i="7"/>
  <c r="GZ17" i="7"/>
  <c r="GY17" i="7"/>
  <c r="GX17" i="7"/>
  <c r="GW17" i="7"/>
  <c r="GV17" i="7"/>
  <c r="GU17" i="7"/>
  <c r="GT17" i="7"/>
  <c r="GS17" i="7"/>
  <c r="GR17" i="7"/>
  <c r="GQ17" i="7"/>
  <c r="GP17" i="7"/>
  <c r="GO17" i="7"/>
  <c r="GN17" i="7"/>
  <c r="GM17" i="7"/>
  <c r="GL17" i="7"/>
  <c r="GK17" i="7"/>
  <c r="GJ17" i="7"/>
  <c r="GI17" i="7"/>
  <c r="GH17" i="7"/>
  <c r="GG17" i="7"/>
  <c r="GF17" i="7"/>
  <c r="GE17" i="7"/>
  <c r="GD17" i="7"/>
  <c r="GC17" i="7"/>
  <c r="GB17" i="7"/>
  <c r="GA17" i="7"/>
  <c r="FZ17" i="7"/>
  <c r="FY17" i="7"/>
  <c r="FX17" i="7"/>
  <c r="FW17" i="7"/>
  <c r="FV17" i="7"/>
  <c r="FU17" i="7"/>
  <c r="FT17" i="7"/>
  <c r="FS17" i="7"/>
  <c r="FR17" i="7"/>
  <c r="FQ17" i="7"/>
  <c r="FP17" i="7"/>
  <c r="FO17" i="7"/>
  <c r="FN17" i="7"/>
  <c r="FM17" i="7"/>
  <c r="FL17" i="7"/>
  <c r="FK17" i="7"/>
  <c r="FJ17" i="7"/>
  <c r="FI17" i="7"/>
  <c r="FH17" i="7"/>
  <c r="FG17" i="7"/>
  <c r="FF17" i="7"/>
  <c r="FE17" i="7"/>
  <c r="FD17" i="7"/>
  <c r="FC17" i="7"/>
  <c r="FB17" i="7"/>
  <c r="FA17" i="7"/>
  <c r="EZ17" i="7"/>
  <c r="EY17" i="7"/>
  <c r="EX17" i="7"/>
  <c r="EW17" i="7"/>
  <c r="EV17" i="7"/>
  <c r="EU17" i="7"/>
  <c r="ET17" i="7"/>
  <c r="ES17" i="7"/>
  <c r="ER17" i="7"/>
  <c r="EQ17" i="7"/>
  <c r="EP17" i="7"/>
  <c r="EO17" i="7"/>
  <c r="EN17" i="7"/>
  <c r="EM17" i="7"/>
  <c r="EL17" i="7"/>
  <c r="EK17" i="7"/>
  <c r="EJ17" i="7"/>
  <c r="EI17" i="7"/>
  <c r="EH17" i="7"/>
  <c r="EG17" i="7"/>
  <c r="EF17" i="7"/>
  <c r="EE17" i="7"/>
  <c r="ED17" i="7"/>
  <c r="EC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M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W5" i="3"/>
  <c r="J11" i="3"/>
  <c r="H11" i="3"/>
  <c r="H35" i="6"/>
  <c r="I35" i="6"/>
  <c r="J35" i="6"/>
  <c r="K35" i="6"/>
  <c r="L35" i="6"/>
  <c r="L22" i="6"/>
  <c r="H24" i="6"/>
  <c r="H17" i="6"/>
  <c r="I24" i="6"/>
  <c r="I17" i="6"/>
  <c r="J24" i="6"/>
  <c r="J17" i="6"/>
  <c r="K24" i="6"/>
  <c r="K17" i="6"/>
  <c r="L24" i="6"/>
  <c r="L17" i="6"/>
  <c r="K22" i="6"/>
  <c r="M35" i="6"/>
  <c r="M22" i="6"/>
  <c r="M24" i="6"/>
  <c r="M17" i="6"/>
  <c r="N35" i="6"/>
  <c r="N22" i="6"/>
  <c r="N24" i="6"/>
  <c r="N17" i="6"/>
  <c r="I22" i="3"/>
  <c r="J22" i="6"/>
  <c r="I21" i="3"/>
  <c r="I22" i="6"/>
  <c r="I20" i="3"/>
  <c r="H22" i="6"/>
  <c r="I19" i="3"/>
  <c r="I18" i="3"/>
  <c r="F37" i="6"/>
  <c r="O26" i="6"/>
  <c r="N26" i="6"/>
  <c r="M26" i="6"/>
  <c r="L26" i="6"/>
  <c r="K26" i="6"/>
  <c r="J26" i="6"/>
  <c r="I26" i="6"/>
  <c r="H26" i="6"/>
  <c r="G26" i="6"/>
  <c r="G27" i="6"/>
  <c r="O24" i="6"/>
  <c r="F81" i="6"/>
  <c r="E81" i="6"/>
  <c r="D8" i="6"/>
  <c r="D10" i="6"/>
  <c r="D13" i="6"/>
  <c r="D81" i="6"/>
  <c r="F80" i="6"/>
  <c r="E80" i="6"/>
  <c r="D80" i="6"/>
  <c r="F79" i="6"/>
  <c r="E79" i="6"/>
  <c r="D79" i="6"/>
  <c r="F78" i="6"/>
  <c r="E78" i="6"/>
  <c r="D78" i="6"/>
  <c r="F77" i="6"/>
  <c r="E77" i="6"/>
  <c r="D77" i="6"/>
  <c r="O35" i="6"/>
  <c r="O22" i="6"/>
  <c r="O81" i="6"/>
  <c r="N81" i="6"/>
  <c r="M81" i="6"/>
  <c r="L81" i="6"/>
  <c r="K81" i="6"/>
  <c r="J81" i="6"/>
  <c r="I81" i="6"/>
  <c r="H81" i="6"/>
  <c r="G81" i="6"/>
  <c r="O80" i="6"/>
  <c r="N80" i="6"/>
  <c r="M80" i="6"/>
  <c r="L80" i="6"/>
  <c r="K80" i="6"/>
  <c r="J80" i="6"/>
  <c r="I80" i="6"/>
  <c r="H80" i="6"/>
  <c r="G80" i="6"/>
  <c r="G20" i="6"/>
  <c r="H27" i="6"/>
  <c r="H20" i="6"/>
  <c r="I27" i="6"/>
  <c r="I20" i="6"/>
  <c r="J27" i="6"/>
  <c r="J20" i="6"/>
  <c r="K27" i="6"/>
  <c r="K20" i="6"/>
  <c r="L27" i="6"/>
  <c r="L20" i="6"/>
  <c r="M27" i="6"/>
  <c r="M20" i="6"/>
  <c r="N27" i="6"/>
  <c r="N20" i="6"/>
  <c r="O27" i="6"/>
  <c r="O20" i="6"/>
  <c r="O79" i="6"/>
  <c r="N79" i="6"/>
  <c r="M79" i="6"/>
  <c r="L79" i="6"/>
  <c r="K79" i="6"/>
  <c r="J79" i="6"/>
  <c r="I79" i="6"/>
  <c r="H79" i="6"/>
  <c r="G79" i="6"/>
  <c r="G19" i="6"/>
  <c r="H19" i="6"/>
  <c r="I19" i="6"/>
  <c r="J19" i="6"/>
  <c r="K19" i="6"/>
  <c r="L19" i="6"/>
  <c r="M19" i="6"/>
  <c r="N19" i="6"/>
  <c r="O19" i="6"/>
  <c r="O78" i="6"/>
  <c r="N78" i="6"/>
  <c r="M78" i="6"/>
  <c r="L78" i="6"/>
  <c r="K78" i="6"/>
  <c r="J78" i="6"/>
  <c r="I78" i="6"/>
  <c r="H78" i="6"/>
  <c r="G78" i="6"/>
  <c r="O77" i="6"/>
  <c r="N77" i="6"/>
  <c r="M77" i="6"/>
  <c r="L77" i="6"/>
  <c r="K77" i="6"/>
  <c r="J77" i="6"/>
  <c r="I77" i="6"/>
  <c r="H77" i="6"/>
  <c r="G77" i="6"/>
  <c r="O17" i="6"/>
  <c r="O76" i="6"/>
  <c r="N76" i="6"/>
  <c r="M76" i="6"/>
  <c r="L76" i="6"/>
  <c r="K76" i="6"/>
  <c r="J76" i="6"/>
  <c r="I76" i="6"/>
  <c r="H76" i="6"/>
  <c r="G76" i="6"/>
  <c r="F76" i="6"/>
  <c r="E76" i="6"/>
  <c r="D76" i="6"/>
  <c r="M31" i="3"/>
  <c r="L30" i="3"/>
  <c r="K29" i="3"/>
  <c r="J28" i="3"/>
  <c r="L31" i="3"/>
  <c r="L25" i="3"/>
  <c r="K30" i="3"/>
  <c r="K25" i="3"/>
  <c r="J29" i="3"/>
  <c r="J25" i="3"/>
  <c r="I28" i="3"/>
  <c r="I25" i="3"/>
  <c r="H27" i="3"/>
  <c r="H25" i="3"/>
  <c r="G27" i="3"/>
  <c r="G25" i="3"/>
  <c r="F27" i="3"/>
  <c r="F25" i="3"/>
  <c r="K31" i="3"/>
  <c r="J30" i="3"/>
  <c r="J31" i="3"/>
  <c r="I29" i="3"/>
  <c r="I30" i="3"/>
  <c r="H28" i="3"/>
  <c r="H29" i="3"/>
  <c r="G28" i="3"/>
  <c r="I27" i="3"/>
  <c r="B12" i="3"/>
  <c r="D22" i="3"/>
  <c r="D21" i="3"/>
  <c r="D20" i="3"/>
  <c r="D19" i="3"/>
  <c r="D18" i="3"/>
  <c r="D17" i="3"/>
  <c r="D16" i="3"/>
  <c r="D15" i="3"/>
  <c r="O33" i="6"/>
  <c r="O32" i="6"/>
  <c r="K18" i="6"/>
  <c r="L18" i="6"/>
  <c r="M18" i="6"/>
  <c r="N18" i="6"/>
  <c r="O18" i="6"/>
  <c r="O31" i="6"/>
  <c r="O30" i="6"/>
  <c r="O14" i="6"/>
  <c r="N33" i="6"/>
  <c r="N32" i="6"/>
  <c r="N31" i="6"/>
  <c r="N30" i="6"/>
  <c r="N14" i="6"/>
  <c r="M33" i="6"/>
  <c r="M32" i="6"/>
  <c r="M31" i="6"/>
  <c r="M30" i="6"/>
  <c r="M14" i="6"/>
  <c r="L33" i="6"/>
  <c r="L32" i="6"/>
  <c r="L31" i="6"/>
  <c r="L30" i="6"/>
  <c r="L14" i="6"/>
  <c r="F35" i="6"/>
  <c r="E35" i="6"/>
  <c r="D18" i="6"/>
  <c r="D20" i="6"/>
  <c r="D33" i="6"/>
  <c r="D34" i="6"/>
  <c r="D35" i="6"/>
  <c r="F22" i="6"/>
  <c r="E22" i="6"/>
  <c r="D22" i="6"/>
  <c r="F21" i="6"/>
  <c r="E21" i="6"/>
  <c r="D21" i="6"/>
  <c r="F18" i="6"/>
  <c r="F20" i="6"/>
  <c r="K14" i="6"/>
  <c r="J14" i="6"/>
  <c r="I14" i="6"/>
  <c r="H14" i="6"/>
  <c r="F33" i="6"/>
  <c r="F34" i="6"/>
  <c r="E18" i="6"/>
  <c r="E20" i="6"/>
  <c r="E33" i="6"/>
  <c r="E34" i="6"/>
  <c r="K33" i="6"/>
  <c r="J33" i="6"/>
  <c r="I33" i="6"/>
  <c r="H33" i="6"/>
  <c r="G33" i="6"/>
  <c r="F19" i="6"/>
  <c r="K32" i="6"/>
  <c r="J32" i="6"/>
  <c r="I32" i="6"/>
  <c r="H32" i="6"/>
  <c r="G32" i="6"/>
  <c r="F32" i="6"/>
  <c r="E19" i="6"/>
  <c r="E32" i="6"/>
  <c r="D19" i="6"/>
  <c r="D32" i="6"/>
  <c r="G18" i="6"/>
  <c r="H18" i="6"/>
  <c r="I18" i="6"/>
  <c r="J18" i="6"/>
  <c r="K31" i="6"/>
  <c r="J31" i="6"/>
  <c r="I31" i="6"/>
  <c r="H31" i="6"/>
  <c r="G31" i="6"/>
  <c r="F31" i="6"/>
  <c r="E31" i="6"/>
  <c r="D31" i="6"/>
  <c r="F17" i="6"/>
  <c r="K30" i="6"/>
  <c r="J30" i="6"/>
  <c r="I30" i="6"/>
  <c r="H30" i="6"/>
  <c r="G30" i="6"/>
  <c r="F30" i="6"/>
  <c r="E17" i="6"/>
  <c r="E30" i="6"/>
  <c r="D17" i="6"/>
  <c r="D30" i="6"/>
  <c r="G14" i="6"/>
  <c r="F7" i="6"/>
  <c r="F8" i="6"/>
  <c r="F10" i="6"/>
  <c r="F13" i="6"/>
  <c r="F14" i="6"/>
  <c r="E7" i="6"/>
  <c r="E8" i="6"/>
  <c r="E10" i="6"/>
  <c r="E13" i="6"/>
  <c r="D7" i="6"/>
  <c r="F38" i="3"/>
  <c r="G38" i="3"/>
  <c r="H38" i="3"/>
  <c r="I38" i="3"/>
  <c r="J38" i="3"/>
  <c r="K38" i="3"/>
  <c r="L38" i="3"/>
  <c r="M38" i="3"/>
  <c r="C41" i="3"/>
  <c r="K41" i="3"/>
  <c r="L41" i="3"/>
  <c r="M41" i="3"/>
  <c r="E29" i="3"/>
  <c r="K32" i="3"/>
  <c r="K43" i="3"/>
  <c r="E30" i="3"/>
  <c r="L32" i="3"/>
  <c r="L43" i="3"/>
  <c r="E31" i="3"/>
  <c r="M32" i="3"/>
  <c r="M43" i="3"/>
  <c r="K44" i="3"/>
  <c r="L44" i="3"/>
  <c r="M44" i="3"/>
  <c r="E28" i="3"/>
  <c r="J32" i="3"/>
  <c r="J43" i="3"/>
  <c r="E27" i="3"/>
  <c r="I32" i="3"/>
  <c r="I43" i="3"/>
  <c r="C6" i="3"/>
  <c r="C8" i="3"/>
  <c r="E38" i="3"/>
  <c r="E41" i="3"/>
  <c r="F41" i="3"/>
  <c r="G41" i="3"/>
  <c r="H41" i="3"/>
  <c r="I41" i="3"/>
  <c r="J41" i="3"/>
  <c r="C42" i="3"/>
  <c r="C44" i="3"/>
  <c r="E44" i="3"/>
  <c r="F44" i="3"/>
  <c r="G44" i="3"/>
  <c r="H44" i="3"/>
  <c r="I44" i="3"/>
  <c r="J44" i="3"/>
  <c r="E21" i="1"/>
  <c r="E20" i="1"/>
  <c r="I21" i="1"/>
  <c r="K22" i="1"/>
  <c r="I20" i="1"/>
  <c r="I19" i="1"/>
  <c r="K20" i="1"/>
  <c r="H16" i="1"/>
  <c r="I16" i="1"/>
  <c r="K16" i="1"/>
  <c r="E19" i="1"/>
  <c r="E16" i="1"/>
  <c r="E15" i="1"/>
  <c r="K21" i="1"/>
  <c r="H15" i="1"/>
  <c r="I15" i="1"/>
  <c r="K28" i="1"/>
  <c r="C33" i="1"/>
  <c r="C35" i="1"/>
  <c r="E22" i="1"/>
  <c r="K24" i="1"/>
  <c r="I23" i="1"/>
  <c r="K15" i="1"/>
  <c r="K17" i="1"/>
  <c r="K27" i="1"/>
  <c r="I24" i="1"/>
  <c r="I25" i="1"/>
  <c r="D19" i="7" l="1"/>
  <c r="AEL20" i="7"/>
  <c r="AEL21" i="7" s="1"/>
  <c r="AEL22" i="7" s="1"/>
  <c r="AEL23" i="7" s="1"/>
  <c r="AEL24" i="7" s="1"/>
  <c r="AEL25" i="7" s="1"/>
  <c r="AEL26" i="7" s="1"/>
  <c r="AEL27" i="7" s="1"/>
  <c r="D10" i="7" s="1"/>
  <c r="D12" i="7"/>
  <c r="D11" i="7"/>
  <c r="D13" i="7"/>
  <c r="D18" i="7"/>
  <c r="C18" i="7" s="1"/>
  <c r="R50" i="3" s="1"/>
  <c r="D26" i="7"/>
  <c r="D22" i="7" l="1"/>
  <c r="D24" i="7"/>
  <c r="D23" i="7"/>
  <c r="D25" i="7"/>
  <c r="C26" i="7" s="1"/>
  <c r="Z50" i="3" s="1"/>
  <c r="D20" i="7"/>
  <c r="C20" i="7" s="1"/>
  <c r="T50" i="3" s="1"/>
  <c r="D21" i="7"/>
  <c r="D27" i="7"/>
  <c r="C27" i="7" s="1"/>
  <c r="C19" i="7"/>
  <c r="S50" i="3" s="1"/>
  <c r="C25" i="7" l="1"/>
  <c r="Y50" i="3" s="1"/>
  <c r="C22" i="7"/>
  <c r="V50" i="3" s="1"/>
  <c r="C23" i="7"/>
  <c r="W50" i="3" s="1"/>
  <c r="C21" i="7"/>
  <c r="U50" i="3" s="1"/>
  <c r="C24" i="7"/>
  <c r="X50" i="3" s="1"/>
</calcChain>
</file>

<file path=xl/sharedStrings.xml><?xml version="1.0" encoding="utf-8"?>
<sst xmlns="http://schemas.openxmlformats.org/spreadsheetml/2006/main" count="1269" uniqueCount="1177">
  <si>
    <t>Revenue</t>
  </si>
  <si>
    <t>Weight</t>
  </si>
  <si>
    <t>Sub-Wgt</t>
  </si>
  <si>
    <t>Target</t>
  </si>
  <si>
    <t>Max</t>
  </si>
  <si>
    <t>Payout (as % of Target Bonus)</t>
  </si>
  <si>
    <t>Attainment (% of Goal)</t>
  </si>
  <si>
    <t>Threshold</t>
  </si>
  <si>
    <t>&lt; Threshold</t>
  </si>
  <si>
    <t>Attainment %</t>
  </si>
  <si>
    <t>Base</t>
  </si>
  <si>
    <t>Target %</t>
  </si>
  <si>
    <t>Target $</t>
  </si>
  <si>
    <t>Target Cash</t>
  </si>
  <si>
    <t>Annual LTI</t>
  </si>
  <si>
    <t>Target Direct</t>
  </si>
  <si>
    <t>Alternate calc</t>
  </si>
  <si>
    <t>Financial</t>
  </si>
  <si>
    <t>Weight on TOTAL</t>
  </si>
  <si>
    <t>HIGH</t>
  </si>
  <si>
    <t>TARGET</t>
  </si>
  <si>
    <t>LOW</t>
  </si>
  <si>
    <t>Payout Range as % of Target</t>
  </si>
  <si>
    <t>LTI</t>
  </si>
  <si>
    <t xml:space="preserve">Annual Incentive </t>
  </si>
  <si>
    <t>Annual LTIP</t>
  </si>
  <si>
    <t>Target / Actual $</t>
  </si>
  <si>
    <t>Actual Payout %</t>
  </si>
  <si>
    <t>Chief Executive Officer</t>
  </si>
  <si>
    <t>ESTIMATED REALIZED COMPENSATION</t>
  </si>
  <si>
    <t>Target Comp</t>
  </si>
  <si>
    <t>Jan 2026</t>
  </si>
  <si>
    <t>Award Target Value</t>
  </si>
  <si>
    <t>Award Date</t>
  </si>
  <si>
    <t>Distribution</t>
  </si>
  <si>
    <t>Annual NI Growth ($M)</t>
  </si>
  <si>
    <t>Leadership</t>
  </si>
  <si>
    <t>Jan 2027</t>
  </si>
  <si>
    <t>Jan 2028</t>
  </si>
  <si>
    <t>Jan 2029</t>
  </si>
  <si>
    <t>Jan 2030</t>
  </si>
  <si>
    <t>GRANT SCHEDULE</t>
  </si>
  <si>
    <t>Payout Value</t>
  </si>
  <si>
    <r>
      <rPr>
        <b/>
        <sz val="11"/>
        <color rgb="FFFF0000"/>
        <rFont val="Aptos Narrow"/>
        <family val="2"/>
        <scheme val="minor"/>
      </rPr>
      <t>Tracked</t>
    </r>
    <r>
      <rPr>
        <b/>
        <sz val="11"/>
        <color theme="1"/>
        <rFont val="Aptos Narrow"/>
        <family val="2"/>
        <scheme val="minor"/>
      </rPr>
      <t xml:space="preserve"> Value</t>
    </r>
  </si>
  <si>
    <t>Summarized Income Statement</t>
  </si>
  <si>
    <t>2022 - 2024</t>
  </si>
  <si>
    <t>Description</t>
  </si>
  <si>
    <t>Total Sales</t>
  </si>
  <si>
    <t>Total COGS</t>
  </si>
  <si>
    <t>Total Product Margin</t>
  </si>
  <si>
    <t>Total SG&amp;A</t>
  </si>
  <si>
    <t>Total Manufacturing Income</t>
  </si>
  <si>
    <t>Total Farm Net Income/(Loss)</t>
  </si>
  <si>
    <t>Total Other Income/(Expense)</t>
  </si>
  <si>
    <t>Aggressive (+10%)</t>
  </si>
  <si>
    <t>Linear Regression</t>
  </si>
  <si>
    <t>Base Forecast</t>
  </si>
  <si>
    <t>Conservative (-25%)</t>
  </si>
  <si>
    <t>Growth Rates</t>
  </si>
  <si>
    <t>Aggressive</t>
  </si>
  <si>
    <t>Fixed</t>
  </si>
  <si>
    <t>Solve for growth % that = $68M</t>
  </si>
  <si>
    <t>Conservative</t>
  </si>
  <si>
    <t>A</t>
  </si>
  <si>
    <t>B</t>
  </si>
  <si>
    <t>C</t>
  </si>
  <si>
    <t>D</t>
  </si>
  <si>
    <t>E</t>
  </si>
  <si>
    <t>Custom - 10% growth per year</t>
  </si>
  <si>
    <t>F</t>
  </si>
  <si>
    <t>Custom - Random Growth</t>
  </si>
  <si>
    <t>Random Growth:</t>
  </si>
  <si>
    <t>Scenario</t>
  </si>
  <si>
    <t>X</t>
  </si>
  <si>
    <t>Y</t>
  </si>
  <si>
    <t>percent</t>
  </si>
  <si>
    <t>From LTI Page (Cell P8):</t>
  </si>
  <si>
    <t>Random Growth</t>
  </si>
  <si>
    <t>TABLE NOT APPLIED</t>
  </si>
  <si>
    <t>Variables to be set by Compensation Committee:</t>
  </si>
  <si>
    <t xml:space="preserve"> 2. Maximum multiple of intended LTI value</t>
  </si>
  <si>
    <t>Sim 1000</t>
  </si>
  <si>
    <t>Sim 999</t>
  </si>
  <si>
    <t>Sim 998</t>
  </si>
  <si>
    <t>Sim 997</t>
  </si>
  <si>
    <t>Sim 996</t>
  </si>
  <si>
    <t>Sim 995</t>
  </si>
  <si>
    <t>Sim 994</t>
  </si>
  <si>
    <t>Sim 993</t>
  </si>
  <si>
    <t>Sim 992</t>
  </si>
  <si>
    <t>Sim 991</t>
  </si>
  <si>
    <t>Sim 990</t>
  </si>
  <si>
    <t>Sim 989</t>
  </si>
  <si>
    <t>Sim 988</t>
  </si>
  <si>
    <t>Sim 987</t>
  </si>
  <si>
    <t>Sim 986</t>
  </si>
  <si>
    <t>Sim 985</t>
  </si>
  <si>
    <t>Sim 984</t>
  </si>
  <si>
    <t>Sim 983</t>
  </si>
  <si>
    <t>Sim 982</t>
  </si>
  <si>
    <t>Sim 981</t>
  </si>
  <si>
    <t>Sim 980</t>
  </si>
  <si>
    <t>Sim 979</t>
  </si>
  <si>
    <t>Sim 978</t>
  </si>
  <si>
    <t>Sim 977</t>
  </si>
  <si>
    <t>Sim 976</t>
  </si>
  <si>
    <t>Sim 975</t>
  </si>
  <si>
    <t>Sim 974</t>
  </si>
  <si>
    <t>Sim 973</t>
  </si>
  <si>
    <t>Sim 972</t>
  </si>
  <si>
    <t>Sim 971</t>
  </si>
  <si>
    <t>Sim 970</t>
  </si>
  <si>
    <t>Sim 969</t>
  </si>
  <si>
    <t>Sim 968</t>
  </si>
  <si>
    <t>Sim 967</t>
  </si>
  <si>
    <t>Sim 966</t>
  </si>
  <si>
    <t>Sim 965</t>
  </si>
  <si>
    <t>Sim 964</t>
  </si>
  <si>
    <t>Sim 963</t>
  </si>
  <si>
    <t>Sim 962</t>
  </si>
  <si>
    <t>Sim 961</t>
  </si>
  <si>
    <t>Sim 960</t>
  </si>
  <si>
    <t>Sim 959</t>
  </si>
  <si>
    <t>Sim 958</t>
  </si>
  <si>
    <t>Sim 957</t>
  </si>
  <si>
    <t>Sim 956</t>
  </si>
  <si>
    <t>Sim 955</t>
  </si>
  <si>
    <t>Sim 954</t>
  </si>
  <si>
    <t>Sim 953</t>
  </si>
  <si>
    <t>Sim 952</t>
  </si>
  <si>
    <t>Sim 951</t>
  </si>
  <si>
    <t>Sim 950</t>
  </si>
  <si>
    <t>Sim 949</t>
  </si>
  <si>
    <t>Sim 948</t>
  </si>
  <si>
    <t>Sim 947</t>
  </si>
  <si>
    <t>Sim 946</t>
  </si>
  <si>
    <t>Sim 945</t>
  </si>
  <si>
    <t>Sim 944</t>
  </si>
  <si>
    <t>Sim 943</t>
  </si>
  <si>
    <t>Sim 942</t>
  </si>
  <si>
    <t>Sim 941</t>
  </si>
  <si>
    <t>Sim 940</t>
  </si>
  <si>
    <t>Sim 939</t>
  </si>
  <si>
    <t>Sim 938</t>
  </si>
  <si>
    <t>Sim 937</t>
  </si>
  <si>
    <t>Sim 936</t>
  </si>
  <si>
    <t>Sim 935</t>
  </si>
  <si>
    <t>Sim 934</t>
  </si>
  <si>
    <t>Sim 933</t>
  </si>
  <si>
    <t>Sim 932</t>
  </si>
  <si>
    <t>Sim 931</t>
  </si>
  <si>
    <t>Sim 930</t>
  </si>
  <si>
    <t>Sim 929</t>
  </si>
  <si>
    <t>Sim 928</t>
  </si>
  <si>
    <t>Sim 927</t>
  </si>
  <si>
    <t>Sim 926</t>
  </si>
  <si>
    <t>Sim 925</t>
  </si>
  <si>
    <t>Sim 924</t>
  </si>
  <si>
    <t>Sim 923</t>
  </si>
  <si>
    <t>Sim 922</t>
  </si>
  <si>
    <t>Sim 921</t>
  </si>
  <si>
    <t>Sim 920</t>
  </si>
  <si>
    <t>Sim 919</t>
  </si>
  <si>
    <t>Sim 918</t>
  </si>
  <si>
    <t>Sim 917</t>
  </si>
  <si>
    <t>Sim 916</t>
  </si>
  <si>
    <t>Sim 915</t>
  </si>
  <si>
    <t>Sim 914</t>
  </si>
  <si>
    <t>Sim 913</t>
  </si>
  <si>
    <t>Sim 912</t>
  </si>
  <si>
    <t>Sim 911</t>
  </si>
  <si>
    <t>Sim 910</t>
  </si>
  <si>
    <t>Sim 909</t>
  </si>
  <si>
    <t>Sim 908</t>
  </si>
  <si>
    <t>Sim 907</t>
  </si>
  <si>
    <t>Sim 906</t>
  </si>
  <si>
    <t>Sim 905</t>
  </si>
  <si>
    <t>Sim 904</t>
  </si>
  <si>
    <t>Sim 903</t>
  </si>
  <si>
    <t>Sim 902</t>
  </si>
  <si>
    <t>Sim 901</t>
  </si>
  <si>
    <t>Sim 900</t>
  </si>
  <si>
    <t>Sim 899</t>
  </si>
  <si>
    <t>Sim 898</t>
  </si>
  <si>
    <t>Sim 897</t>
  </si>
  <si>
    <t>Sim 896</t>
  </si>
  <si>
    <t>Sim 895</t>
  </si>
  <si>
    <t>Sim 894</t>
  </si>
  <si>
    <t>Sim 893</t>
  </si>
  <si>
    <t>Sim 892</t>
  </si>
  <si>
    <t>Sim 891</t>
  </si>
  <si>
    <t>Sim 890</t>
  </si>
  <si>
    <t>Sim 889</t>
  </si>
  <si>
    <t>Sim 888</t>
  </si>
  <si>
    <t>Sim 887</t>
  </si>
  <si>
    <t>Sim 886</t>
  </si>
  <si>
    <t>Sim 885</t>
  </si>
  <si>
    <t>Sim 884</t>
  </si>
  <si>
    <t>Sim 883</t>
  </si>
  <si>
    <t>Sim 882</t>
  </si>
  <si>
    <t>Sim 881</t>
  </si>
  <si>
    <t>Sim 880</t>
  </si>
  <si>
    <t>Sim 879</t>
  </si>
  <si>
    <t>Sim 878</t>
  </si>
  <si>
    <t>Sim 877</t>
  </si>
  <si>
    <t>Sim 876</t>
  </si>
  <si>
    <t>Sim 875</t>
  </si>
  <si>
    <t>Sim 874</t>
  </si>
  <si>
    <t>Sim 873</t>
  </si>
  <si>
    <t>Sim 872</t>
  </si>
  <si>
    <t>Sim 871</t>
  </si>
  <si>
    <t>Sim 870</t>
  </si>
  <si>
    <t>Sim 869</t>
  </si>
  <si>
    <t>Sim 868</t>
  </si>
  <si>
    <t>Sim 867</t>
  </si>
  <si>
    <t>Sim 866</t>
  </si>
  <si>
    <t>Sim 865</t>
  </si>
  <si>
    <t>Sim 864</t>
  </si>
  <si>
    <t>Sim 863</t>
  </si>
  <si>
    <t>Sim 862</t>
  </si>
  <si>
    <t>Sim 861</t>
  </si>
  <si>
    <t>Sim 860</t>
  </si>
  <si>
    <t>Sim 859</t>
  </si>
  <si>
    <t>Sim 858</t>
  </si>
  <si>
    <t>Sim 857</t>
  </si>
  <si>
    <t>Sim 856</t>
  </si>
  <si>
    <t>Sim 855</t>
  </si>
  <si>
    <t>Sim 854</t>
  </si>
  <si>
    <t>Sim 853</t>
  </si>
  <si>
    <t>Sim 852</t>
  </si>
  <si>
    <t>Sim 851</t>
  </si>
  <si>
    <t>Sim 850</t>
  </si>
  <si>
    <t>Sim 849</t>
  </si>
  <si>
    <t>Sim 848</t>
  </si>
  <si>
    <t>Sim 847</t>
  </si>
  <si>
    <t>Sim 846</t>
  </si>
  <si>
    <t>Sim 845</t>
  </si>
  <si>
    <t>Sim 844</t>
  </si>
  <si>
    <t>Sim 843</t>
  </si>
  <si>
    <t>Sim 842</t>
  </si>
  <si>
    <t>Sim 841</t>
  </si>
  <si>
    <t>Sim 840</t>
  </si>
  <si>
    <t>Sim 839</t>
  </si>
  <si>
    <t>Sim 838</t>
  </si>
  <si>
    <t>Sim 837</t>
  </si>
  <si>
    <t>Sim 836</t>
  </si>
  <si>
    <t>Sim 835</t>
  </si>
  <si>
    <t>Sim 834</t>
  </si>
  <si>
    <t>Sim 833</t>
  </si>
  <si>
    <t>Sim 832</t>
  </si>
  <si>
    <t>Sim 831</t>
  </si>
  <si>
    <t>Sim 830</t>
  </si>
  <si>
    <t>Sim 829</t>
  </si>
  <si>
    <t>Sim 828</t>
  </si>
  <si>
    <t>Sim 827</t>
  </si>
  <si>
    <t>Sim 826</t>
  </si>
  <si>
    <t>Sim 825</t>
  </si>
  <si>
    <t>Sim 824</t>
  </si>
  <si>
    <t>Sim 823</t>
  </si>
  <si>
    <t>Sim 822</t>
  </si>
  <si>
    <t>Sim 821</t>
  </si>
  <si>
    <t>Sim 820</t>
  </si>
  <si>
    <t>Sim 819</t>
  </si>
  <si>
    <t>Sim 818</t>
  </si>
  <si>
    <t>Sim 817</t>
  </si>
  <si>
    <t>Sim 816</t>
  </si>
  <si>
    <t>Sim 815</t>
  </si>
  <si>
    <t>Sim 814</t>
  </si>
  <si>
    <t>Sim 813</t>
  </si>
  <si>
    <t>Sim 812</t>
  </si>
  <si>
    <t>Sim 811</t>
  </si>
  <si>
    <t>Sim 810</t>
  </si>
  <si>
    <t>Sim 809</t>
  </si>
  <si>
    <t>Sim 808</t>
  </si>
  <si>
    <t>Sim 807</t>
  </si>
  <si>
    <t>Sim 806</t>
  </si>
  <si>
    <t>Sim 805</t>
  </si>
  <si>
    <t>Sim 804</t>
  </si>
  <si>
    <t>Sim 803</t>
  </si>
  <si>
    <t>Sim 802</t>
  </si>
  <si>
    <t>Sim 801</t>
  </si>
  <si>
    <t>Sim 800</t>
  </si>
  <si>
    <t>Sim 799</t>
  </si>
  <si>
    <t>Sim 798</t>
  </si>
  <si>
    <t>Sim 797</t>
  </si>
  <si>
    <t>Sim 796</t>
  </si>
  <si>
    <t>Sim 795</t>
  </si>
  <si>
    <t>Sim 794</t>
  </si>
  <si>
    <t>Sim 793</t>
  </si>
  <si>
    <t>Sim 792</t>
  </si>
  <si>
    <t>Sim 791</t>
  </si>
  <si>
    <t>Sim 790</t>
  </si>
  <si>
    <t>Sim 789</t>
  </si>
  <si>
    <t>Sim 788</t>
  </si>
  <si>
    <t>Sim 787</t>
  </si>
  <si>
    <t>Sim 786</t>
  </si>
  <si>
    <t>Sim 785</t>
  </si>
  <si>
    <t>Sim 784</t>
  </si>
  <si>
    <t>Sim 783</t>
  </si>
  <si>
    <t>Sim 782</t>
  </si>
  <si>
    <t>Sim 781</t>
  </si>
  <si>
    <t>Sim 780</t>
  </si>
  <si>
    <t>Sim 779</t>
  </si>
  <si>
    <t>Sim 778</t>
  </si>
  <si>
    <t>Sim 777</t>
  </si>
  <si>
    <t>Sim 776</t>
  </si>
  <si>
    <t>Sim 775</t>
  </si>
  <si>
    <t>Sim 774</t>
  </si>
  <si>
    <t>Sim 773</t>
  </si>
  <si>
    <t>Sim 772</t>
  </si>
  <si>
    <t>Sim 771</t>
  </si>
  <si>
    <t>Sim 770</t>
  </si>
  <si>
    <t>Sim 769</t>
  </si>
  <si>
    <t>Sim 768</t>
  </si>
  <si>
    <t>Sim 767</t>
  </si>
  <si>
    <t>Sim 766</t>
  </si>
  <si>
    <t>Sim 765</t>
  </si>
  <si>
    <t>Sim 764</t>
  </si>
  <si>
    <t>Sim 763</t>
  </si>
  <si>
    <t>Sim 762</t>
  </si>
  <si>
    <t>Sim 761</t>
  </si>
  <si>
    <t>Sim 760</t>
  </si>
  <si>
    <t>Sim 759</t>
  </si>
  <si>
    <t>Sim 758</t>
  </si>
  <si>
    <t>Sim 757</t>
  </si>
  <si>
    <t>Sim 756</t>
  </si>
  <si>
    <t>Sim 755</t>
  </si>
  <si>
    <t>Sim 754</t>
  </si>
  <si>
    <t>Sim 753</t>
  </si>
  <si>
    <t>Sim 752</t>
  </si>
  <si>
    <t>Sim 751</t>
  </si>
  <si>
    <t>Sim 750</t>
  </si>
  <si>
    <t>Sim 749</t>
  </si>
  <si>
    <t>Sim 748</t>
  </si>
  <si>
    <t>Sim 747</t>
  </si>
  <si>
    <t>Sim 746</t>
  </si>
  <si>
    <t>Sim 745</t>
  </si>
  <si>
    <t>Sim 744</t>
  </si>
  <si>
    <t>Sim 743</t>
  </si>
  <si>
    <t>Sim 742</t>
  </si>
  <si>
    <t>Sim 741</t>
  </si>
  <si>
    <t>Sim 740</t>
  </si>
  <si>
    <t>Sim 739</t>
  </si>
  <si>
    <t>Sim 738</t>
  </si>
  <si>
    <t>Sim 737</t>
  </si>
  <si>
    <t>Sim 736</t>
  </si>
  <si>
    <t>Sim 735</t>
  </si>
  <si>
    <t>Sim 734</t>
  </si>
  <si>
    <t>Sim 733</t>
  </si>
  <si>
    <t>Sim 732</t>
  </si>
  <si>
    <t>Sim 731</t>
  </si>
  <si>
    <t>Sim 730</t>
  </si>
  <si>
    <t>Sim 729</t>
  </si>
  <si>
    <t>Sim 728</t>
  </si>
  <si>
    <t>Sim 727</t>
  </si>
  <si>
    <t>Sim 726</t>
  </si>
  <si>
    <t>Sim 725</t>
  </si>
  <si>
    <t>Sim 724</t>
  </si>
  <si>
    <t>Sim 723</t>
  </si>
  <si>
    <t>Sim 722</t>
  </si>
  <si>
    <t>Sim 721</t>
  </si>
  <si>
    <t>Sim 720</t>
  </si>
  <si>
    <t>Sim 719</t>
  </si>
  <si>
    <t>Sim 718</t>
  </si>
  <si>
    <t>Sim 717</t>
  </si>
  <si>
    <t>Sim 716</t>
  </si>
  <si>
    <t>Sim 715</t>
  </si>
  <si>
    <t>Sim 714</t>
  </si>
  <si>
    <t>Sim 713</t>
  </si>
  <si>
    <t>Sim 712</t>
  </si>
  <si>
    <t>Sim 711</t>
  </si>
  <si>
    <t>Sim 710</t>
  </si>
  <si>
    <t>Sim 709</t>
  </si>
  <si>
    <t>Sim 708</t>
  </si>
  <si>
    <t>Sim 707</t>
  </si>
  <si>
    <t>Sim 706</t>
  </si>
  <si>
    <t>Sim 705</t>
  </si>
  <si>
    <t>Sim 704</t>
  </si>
  <si>
    <t>Sim 703</t>
  </si>
  <si>
    <t>Sim 702</t>
  </si>
  <si>
    <t>Sim 701</t>
  </si>
  <si>
    <t>Sim 700</t>
  </si>
  <si>
    <t>Sim 699</t>
  </si>
  <si>
    <t>Sim 698</t>
  </si>
  <si>
    <t>Sim 697</t>
  </si>
  <si>
    <t>Sim 696</t>
  </si>
  <si>
    <t>Sim 695</t>
  </si>
  <si>
    <t>Sim 694</t>
  </si>
  <si>
    <t>Sim 693</t>
  </si>
  <si>
    <t>Sim 692</t>
  </si>
  <si>
    <t>Sim 691</t>
  </si>
  <si>
    <t>Sim 690</t>
  </si>
  <si>
    <t>Sim 689</t>
  </si>
  <si>
    <t>Sim 688</t>
  </si>
  <si>
    <t>Sim 687</t>
  </si>
  <si>
    <t>Sim 686</t>
  </si>
  <si>
    <t>Sim 685</t>
  </si>
  <si>
    <t>Sim 684</t>
  </si>
  <si>
    <t>Sim 683</t>
  </si>
  <si>
    <t>Sim 682</t>
  </si>
  <si>
    <t>Sim 681</t>
  </si>
  <si>
    <t>Sim 680</t>
  </si>
  <si>
    <t>Sim 679</t>
  </si>
  <si>
    <t>Sim 678</t>
  </si>
  <si>
    <t>Sim 677</t>
  </si>
  <si>
    <t>Sim 676</t>
  </si>
  <si>
    <t>Sim 675</t>
  </si>
  <si>
    <t>Sim 674</t>
  </si>
  <si>
    <t>Sim 673</t>
  </si>
  <si>
    <t>Sim 672</t>
  </si>
  <si>
    <t>Sim 671</t>
  </si>
  <si>
    <t>Sim 670</t>
  </si>
  <si>
    <t>Sim 669</t>
  </si>
  <si>
    <t>Sim 668</t>
  </si>
  <si>
    <t>Sim 667</t>
  </si>
  <si>
    <t>Sim 666</t>
  </si>
  <si>
    <t>Sim 665</t>
  </si>
  <si>
    <t>Sim 664</t>
  </si>
  <si>
    <t>Sim 663</t>
  </si>
  <si>
    <t>Sim 662</t>
  </si>
  <si>
    <t>Sim 661</t>
  </si>
  <si>
    <t>Sim 660</t>
  </si>
  <si>
    <t>Sim 659</t>
  </si>
  <si>
    <t>Sim 658</t>
  </si>
  <si>
    <t>Sim 657</t>
  </si>
  <si>
    <t>Sim 656</t>
  </si>
  <si>
    <t>Sim 655</t>
  </si>
  <si>
    <t>Sim 654</t>
  </si>
  <si>
    <t>Sim 653</t>
  </si>
  <si>
    <t>Sim 652</t>
  </si>
  <si>
    <t>Sim 651</t>
  </si>
  <si>
    <t>Sim 650</t>
  </si>
  <si>
    <t>Sim 649</t>
  </si>
  <si>
    <t>Sim 648</t>
  </si>
  <si>
    <t>Sim 647</t>
  </si>
  <si>
    <t>Sim 646</t>
  </si>
  <si>
    <t>Sim 645</t>
  </si>
  <si>
    <t>Sim 644</t>
  </si>
  <si>
    <t>Sim 643</t>
  </si>
  <si>
    <t>Sim 642</t>
  </si>
  <si>
    <t>Sim 641</t>
  </si>
  <si>
    <t>Sim 640</t>
  </si>
  <si>
    <t>Sim 639</t>
  </si>
  <si>
    <t>Sim 638</t>
  </si>
  <si>
    <t>Sim 637</t>
  </si>
  <si>
    <t>Sim 636</t>
  </si>
  <si>
    <t>Sim 635</t>
  </si>
  <si>
    <t>Sim 634</t>
  </si>
  <si>
    <t>Sim 633</t>
  </si>
  <si>
    <t>Sim 632</t>
  </si>
  <si>
    <t>Sim 631</t>
  </si>
  <si>
    <t>Sim 630</t>
  </si>
  <si>
    <t>Sim 629</t>
  </si>
  <si>
    <t>Sim 628</t>
  </si>
  <si>
    <t>Sim 627</t>
  </si>
  <si>
    <t>Sim 626</t>
  </si>
  <si>
    <t>Sim 625</t>
  </si>
  <si>
    <t>Sim 624</t>
  </si>
  <si>
    <t>Sim 623</t>
  </si>
  <si>
    <t>Sim 622</t>
  </si>
  <si>
    <t>Sim 621</t>
  </si>
  <si>
    <t>Sim 620</t>
  </si>
  <si>
    <t>Sim 619</t>
  </si>
  <si>
    <t>Sim 618</t>
  </si>
  <si>
    <t>Sim 617</t>
  </si>
  <si>
    <t>Sim 616</t>
  </si>
  <si>
    <t>Sim 615</t>
  </si>
  <si>
    <t>Sim 614</t>
  </si>
  <si>
    <t>Sim 613</t>
  </si>
  <si>
    <t>Sim 612</t>
  </si>
  <si>
    <t>Sim 611</t>
  </si>
  <si>
    <t>Sim 610</t>
  </si>
  <si>
    <t>Sim 609</t>
  </si>
  <si>
    <t>Sim 608</t>
  </si>
  <si>
    <t>Sim 607</t>
  </si>
  <si>
    <t>Sim 606</t>
  </si>
  <si>
    <t>Sim 605</t>
  </si>
  <si>
    <t>Sim 604</t>
  </si>
  <si>
    <t>Sim 603</t>
  </si>
  <si>
    <t>Sim 602</t>
  </si>
  <si>
    <t>Sim 601</t>
  </si>
  <si>
    <t>Sim 600</t>
  </si>
  <si>
    <t>Sim 599</t>
  </si>
  <si>
    <t>Sim 598</t>
  </si>
  <si>
    <t>Sim 597</t>
  </si>
  <si>
    <t>Sim 596</t>
  </si>
  <si>
    <t>Sim 595</t>
  </si>
  <si>
    <t>Sim 594</t>
  </si>
  <si>
    <t>Sim 593</t>
  </si>
  <si>
    <t>Sim 592</t>
  </si>
  <si>
    <t>Sim 591</t>
  </si>
  <si>
    <t>Sim 590</t>
  </si>
  <si>
    <t>Sim 589</t>
  </si>
  <si>
    <t>Sim 588</t>
  </si>
  <si>
    <t>Sim 587</t>
  </si>
  <si>
    <t>Sim 586</t>
  </si>
  <si>
    <t>Sim 585</t>
  </si>
  <si>
    <t>Sim 584</t>
  </si>
  <si>
    <t>Sim 583</t>
  </si>
  <si>
    <t>Sim 582</t>
  </si>
  <si>
    <t>Sim 581</t>
  </si>
  <si>
    <t>Sim 580</t>
  </si>
  <si>
    <t>Sim 579</t>
  </si>
  <si>
    <t>Sim 578</t>
  </si>
  <si>
    <t>Sim 577</t>
  </si>
  <si>
    <t>Sim 576</t>
  </si>
  <si>
    <t>Sim 575</t>
  </si>
  <si>
    <t>Sim 574</t>
  </si>
  <si>
    <t>Sim 573</t>
  </si>
  <si>
    <t>Sim 572</t>
  </si>
  <si>
    <t>Sim 571</t>
  </si>
  <si>
    <t>Sim 570</t>
  </si>
  <si>
    <t>Sim 569</t>
  </si>
  <si>
    <t>Sim 568</t>
  </si>
  <si>
    <t>Sim 567</t>
  </si>
  <si>
    <t>Sim 566</t>
  </si>
  <si>
    <t>Sim 565</t>
  </si>
  <si>
    <t>Sim 564</t>
  </si>
  <si>
    <t>Sim 563</t>
  </si>
  <si>
    <t>Sim 562</t>
  </si>
  <si>
    <t>Sim 561</t>
  </si>
  <si>
    <t>Sim 560</t>
  </si>
  <si>
    <t>Sim 559</t>
  </si>
  <si>
    <t>Sim 558</t>
  </si>
  <si>
    <t>Sim 557</t>
  </si>
  <si>
    <t>Sim 556</t>
  </si>
  <si>
    <t>Sim 555</t>
  </si>
  <si>
    <t>Sim 554</t>
  </si>
  <si>
    <t>Sim 553</t>
  </si>
  <si>
    <t>Sim 552</t>
  </si>
  <si>
    <t>Sim 551</t>
  </si>
  <si>
    <t>Sim 550</t>
  </si>
  <si>
    <t>Sim 549</t>
  </si>
  <si>
    <t>Sim 548</t>
  </si>
  <si>
    <t>Sim 547</t>
  </si>
  <si>
    <t>Sim 546</t>
  </si>
  <si>
    <t>Sim 545</t>
  </si>
  <si>
    <t>Sim 544</t>
  </si>
  <si>
    <t>Sim 543</t>
  </si>
  <si>
    <t>Sim 542</t>
  </si>
  <si>
    <t>Sim 541</t>
  </si>
  <si>
    <t>Sim 540</t>
  </si>
  <si>
    <t>Sim 539</t>
  </si>
  <si>
    <t>Sim 538</t>
  </si>
  <si>
    <t>Sim 537</t>
  </si>
  <si>
    <t>Sim 536</t>
  </si>
  <si>
    <t>Sim 535</t>
  </si>
  <si>
    <t>Sim 534</t>
  </si>
  <si>
    <t>Sim 533</t>
  </si>
  <si>
    <t>Sim 532</t>
  </si>
  <si>
    <t>Sim 531</t>
  </si>
  <si>
    <t>Sim 530</t>
  </si>
  <si>
    <t>Sim 529</t>
  </si>
  <si>
    <t>Sim 528</t>
  </si>
  <si>
    <t>Sim 527</t>
  </si>
  <si>
    <t>Sim 526</t>
  </si>
  <si>
    <t>Sim 525</t>
  </si>
  <si>
    <t>Sim 524</t>
  </si>
  <si>
    <t>Sim 523</t>
  </si>
  <si>
    <t>Sim 522</t>
  </si>
  <si>
    <t>Sim 521</t>
  </si>
  <si>
    <t>Sim 520</t>
  </si>
  <si>
    <t>Sim 519</t>
  </si>
  <si>
    <t>Sim 518</t>
  </si>
  <si>
    <t>Sim 517</t>
  </si>
  <si>
    <t>Sim 516</t>
  </si>
  <si>
    <t>Sim 515</t>
  </si>
  <si>
    <t>Sim 514</t>
  </si>
  <si>
    <t>Sim 513</t>
  </si>
  <si>
    <t>Sim 512</t>
  </si>
  <si>
    <t>Sim 511</t>
  </si>
  <si>
    <t>Sim 510</t>
  </si>
  <si>
    <t>Sim 509</t>
  </si>
  <si>
    <t>Sim 508</t>
  </si>
  <si>
    <t>Sim 507</t>
  </si>
  <si>
    <t>Sim 506</t>
  </si>
  <si>
    <t>Sim 505</t>
  </si>
  <si>
    <t>Sim 504</t>
  </si>
  <si>
    <t>Sim 503</t>
  </si>
  <si>
    <t>Sim 502</t>
  </si>
  <si>
    <t>Sim 501</t>
  </si>
  <si>
    <t>Sim 500</t>
  </si>
  <si>
    <t>Sim 499</t>
  </si>
  <si>
    <t>Sim 498</t>
  </si>
  <si>
    <t>Sim 497</t>
  </si>
  <si>
    <t>Sim 496</t>
  </si>
  <si>
    <t>Sim 495</t>
  </si>
  <si>
    <t>Sim 494</t>
  </si>
  <si>
    <t>Sim 493</t>
  </si>
  <si>
    <t>Sim 492</t>
  </si>
  <si>
    <t>Sim 491</t>
  </si>
  <si>
    <t>Sim 490</t>
  </si>
  <si>
    <t>Sim 489</t>
  </si>
  <si>
    <t>Sim 488</t>
  </si>
  <si>
    <t>Sim 487</t>
  </si>
  <si>
    <t>Sim 486</t>
  </si>
  <si>
    <t>Sim 485</t>
  </si>
  <si>
    <t>Sim 484</t>
  </si>
  <si>
    <t>Sim 483</t>
  </si>
  <si>
    <t>Sim 482</t>
  </si>
  <si>
    <t>Sim 481</t>
  </si>
  <si>
    <t>Sim 480</t>
  </si>
  <si>
    <t>Sim 479</t>
  </si>
  <si>
    <t>Sim 478</t>
  </si>
  <si>
    <t>Sim 477</t>
  </si>
  <si>
    <t>Sim 476</t>
  </si>
  <si>
    <t>Sim 475</t>
  </si>
  <si>
    <t>Sim 474</t>
  </si>
  <si>
    <t>Sim 473</t>
  </si>
  <si>
    <t>Sim 472</t>
  </si>
  <si>
    <t>Sim 471</t>
  </si>
  <si>
    <t>Sim 470</t>
  </si>
  <si>
    <t>Sim 469</t>
  </si>
  <si>
    <t>Sim 468</t>
  </si>
  <si>
    <t>Sim 467</t>
  </si>
  <si>
    <t>Sim 466</t>
  </si>
  <si>
    <t>Sim 465</t>
  </si>
  <si>
    <t>Sim 464</t>
  </si>
  <si>
    <t>Sim 463</t>
  </si>
  <si>
    <t>Sim 462</t>
  </si>
  <si>
    <t>Sim 461</t>
  </si>
  <si>
    <t>Sim 460</t>
  </si>
  <si>
    <t>Sim 459</t>
  </si>
  <si>
    <t>Sim 458</t>
  </si>
  <si>
    <t>Sim 457</t>
  </si>
  <si>
    <t>Sim 456</t>
  </si>
  <si>
    <t>Sim 455</t>
  </si>
  <si>
    <t>Sim 454</t>
  </si>
  <si>
    <t>Sim 453</t>
  </si>
  <si>
    <t>Sim 452</t>
  </si>
  <si>
    <t>Sim 451</t>
  </si>
  <si>
    <t>Sim 450</t>
  </si>
  <si>
    <t>Sim 449</t>
  </si>
  <si>
    <t>Sim 448</t>
  </si>
  <si>
    <t>Sim 447</t>
  </si>
  <si>
    <t>Sim 446</t>
  </si>
  <si>
    <t>Sim 445</t>
  </si>
  <si>
    <t>Sim 444</t>
  </si>
  <si>
    <t>Sim 443</t>
  </si>
  <si>
    <t>Sim 442</t>
  </si>
  <si>
    <t>Sim 441</t>
  </si>
  <si>
    <t>Sim 440</t>
  </si>
  <si>
    <t>Sim 439</t>
  </si>
  <si>
    <t>Sim 438</t>
  </si>
  <si>
    <t>Sim 437</t>
  </si>
  <si>
    <t>Sim 436</t>
  </si>
  <si>
    <t>Sim 435</t>
  </si>
  <si>
    <t>Sim 434</t>
  </si>
  <si>
    <t>Sim 433</t>
  </si>
  <si>
    <t>Sim 432</t>
  </si>
  <si>
    <t>Sim 431</t>
  </si>
  <si>
    <t>Sim 430</t>
  </si>
  <si>
    <t>Sim 429</t>
  </si>
  <si>
    <t>Sim 428</t>
  </si>
  <si>
    <t>Sim 427</t>
  </si>
  <si>
    <t>Sim 426</t>
  </si>
  <si>
    <t>Sim 425</t>
  </si>
  <si>
    <t>Sim 424</t>
  </si>
  <si>
    <t>Sim 423</t>
  </si>
  <si>
    <t>Sim 422</t>
  </si>
  <si>
    <t>Sim 421</t>
  </si>
  <si>
    <t>Sim 420</t>
  </si>
  <si>
    <t>Sim 419</t>
  </si>
  <si>
    <t>Sim 418</t>
  </si>
  <si>
    <t>Sim 417</t>
  </si>
  <si>
    <t>Sim 416</t>
  </si>
  <si>
    <t>Sim 415</t>
  </si>
  <si>
    <t>Sim 414</t>
  </si>
  <si>
    <t>Sim 413</t>
  </si>
  <si>
    <t>Sim 412</t>
  </si>
  <si>
    <t>Sim 411</t>
  </si>
  <si>
    <t>Sim 410</t>
  </si>
  <si>
    <t>Sim 409</t>
  </si>
  <si>
    <t>Sim 408</t>
  </si>
  <si>
    <t>Sim 407</t>
  </si>
  <si>
    <t>Sim 406</t>
  </si>
  <si>
    <t>Sim 405</t>
  </si>
  <si>
    <t>Sim 404</t>
  </si>
  <si>
    <t>Sim 403</t>
  </si>
  <si>
    <t>Sim 402</t>
  </si>
  <si>
    <t>Sim 401</t>
  </si>
  <si>
    <t>Sim 400</t>
  </si>
  <si>
    <t>Sim 399</t>
  </si>
  <si>
    <t>Sim 398</t>
  </si>
  <si>
    <t>Sim 397</t>
  </si>
  <si>
    <t>Sim 396</t>
  </si>
  <si>
    <t>Sim 395</t>
  </si>
  <si>
    <t>Sim 394</t>
  </si>
  <si>
    <t>Sim 393</t>
  </si>
  <si>
    <t>Sim 392</t>
  </si>
  <si>
    <t>Sim 391</t>
  </si>
  <si>
    <t>Sim 390</t>
  </si>
  <si>
    <t>Sim 389</t>
  </si>
  <si>
    <t>Sim 388</t>
  </si>
  <si>
    <t>Sim 387</t>
  </si>
  <si>
    <t>Sim 386</t>
  </si>
  <si>
    <t>Sim 385</t>
  </si>
  <si>
    <t>Sim 384</t>
  </si>
  <si>
    <t>Sim 383</t>
  </si>
  <si>
    <t>Sim 382</t>
  </si>
  <si>
    <t>Sim 381</t>
  </si>
  <si>
    <t>Sim 380</t>
  </si>
  <si>
    <t>Sim 379</t>
  </si>
  <si>
    <t>Sim 378</t>
  </si>
  <si>
    <t>Sim 377</t>
  </si>
  <si>
    <t>Sim 376</t>
  </si>
  <si>
    <t>Sim 375</t>
  </si>
  <si>
    <t>Sim 374</t>
  </si>
  <si>
    <t>Sim 373</t>
  </si>
  <si>
    <t>Sim 372</t>
  </si>
  <si>
    <t>Sim 371</t>
  </si>
  <si>
    <t>Sim 370</t>
  </si>
  <si>
    <t>Sim 369</t>
  </si>
  <si>
    <t>Sim 368</t>
  </si>
  <si>
    <t>Sim 367</t>
  </si>
  <si>
    <t>Sim 366</t>
  </si>
  <si>
    <t>Sim 365</t>
  </si>
  <si>
    <t>Sim 364</t>
  </si>
  <si>
    <t>Sim 363</t>
  </si>
  <si>
    <t>Sim 362</t>
  </si>
  <si>
    <t>Sim 361</t>
  </si>
  <si>
    <t>Sim 360</t>
  </si>
  <si>
    <t>Sim 359</t>
  </si>
  <si>
    <t>Sim 358</t>
  </si>
  <si>
    <t>Sim 357</t>
  </si>
  <si>
    <t>Sim 356</t>
  </si>
  <si>
    <t>Sim 355</t>
  </si>
  <si>
    <t>Sim 354</t>
  </si>
  <si>
    <t>Sim 353</t>
  </si>
  <si>
    <t>Sim 352</t>
  </si>
  <si>
    <t>Sim 351</t>
  </si>
  <si>
    <t>Sim 350</t>
  </si>
  <si>
    <t>Sim 349</t>
  </si>
  <si>
    <t>Sim 348</t>
  </si>
  <si>
    <t>Sim 347</t>
  </si>
  <si>
    <t>Sim 346</t>
  </si>
  <si>
    <t>Sim 345</t>
  </si>
  <si>
    <t>Sim 344</t>
  </si>
  <si>
    <t>Sim 343</t>
  </si>
  <si>
    <t>Sim 342</t>
  </si>
  <si>
    <t>Sim 341</t>
  </si>
  <si>
    <t>Sim 340</t>
  </si>
  <si>
    <t>Sim 339</t>
  </si>
  <si>
    <t>Sim 338</t>
  </si>
  <si>
    <t>Sim 337</t>
  </si>
  <si>
    <t>Sim 336</t>
  </si>
  <si>
    <t>Sim 335</t>
  </si>
  <si>
    <t>Sim 334</t>
  </si>
  <si>
    <t>Sim 333</t>
  </si>
  <si>
    <t>Sim 332</t>
  </si>
  <si>
    <t>Sim 331</t>
  </si>
  <si>
    <t>Sim 330</t>
  </si>
  <si>
    <t>Sim 329</t>
  </si>
  <si>
    <t>Sim 328</t>
  </si>
  <si>
    <t>Sim 327</t>
  </si>
  <si>
    <t>Sim 326</t>
  </si>
  <si>
    <t>Sim 325</t>
  </si>
  <si>
    <t>Sim 324</t>
  </si>
  <si>
    <t>Sim 323</t>
  </si>
  <si>
    <t>Sim 322</t>
  </si>
  <si>
    <t>Sim 321</t>
  </si>
  <si>
    <t>Sim 320</t>
  </si>
  <si>
    <t>Sim 319</t>
  </si>
  <si>
    <t>Sim 318</t>
  </si>
  <si>
    <t>Sim 317</t>
  </si>
  <si>
    <t>Sim 316</t>
  </si>
  <si>
    <t>Sim 315</t>
  </si>
  <si>
    <t>Sim 314</t>
  </si>
  <si>
    <t>Sim 313</t>
  </si>
  <si>
    <t>Sim 312</t>
  </si>
  <si>
    <t>Sim 311</t>
  </si>
  <si>
    <t>Sim 310</t>
  </si>
  <si>
    <t>Sim 309</t>
  </si>
  <si>
    <t>Sim 308</t>
  </si>
  <si>
    <t>Sim 307</t>
  </si>
  <si>
    <t>Sim 306</t>
  </si>
  <si>
    <t>Sim 305</t>
  </si>
  <si>
    <t>Sim 304</t>
  </si>
  <si>
    <t>Sim 303</t>
  </si>
  <si>
    <t>Sim 302</t>
  </si>
  <si>
    <t>Sim 301</t>
  </si>
  <si>
    <t>Sim 300</t>
  </si>
  <si>
    <t>Sim 299</t>
  </si>
  <si>
    <t>Sim 298</t>
  </si>
  <si>
    <t>Sim 297</t>
  </si>
  <si>
    <t>Sim 296</t>
  </si>
  <si>
    <t>Sim 295</t>
  </si>
  <si>
    <t>Sim 294</t>
  </si>
  <si>
    <t>Sim 293</t>
  </si>
  <si>
    <t>Sim 292</t>
  </si>
  <si>
    <t>Sim 291</t>
  </si>
  <si>
    <t>Sim 290</t>
  </si>
  <si>
    <t>Sim 289</t>
  </si>
  <si>
    <t>Sim 288</t>
  </si>
  <si>
    <t>Sim 287</t>
  </si>
  <si>
    <t>Sim 286</t>
  </si>
  <si>
    <t>Sim 285</t>
  </si>
  <si>
    <t>Sim 284</t>
  </si>
  <si>
    <t>Sim 283</t>
  </si>
  <si>
    <t>Sim 282</t>
  </si>
  <si>
    <t>Sim 281</t>
  </si>
  <si>
    <t>Sim 280</t>
  </si>
  <si>
    <t>Sim 279</t>
  </si>
  <si>
    <t>Sim 278</t>
  </si>
  <si>
    <t>Sim 277</t>
  </si>
  <si>
    <t>Sim 276</t>
  </si>
  <si>
    <t>Sim 275</t>
  </si>
  <si>
    <t>Sim 274</t>
  </si>
  <si>
    <t>Sim 273</t>
  </si>
  <si>
    <t>Sim 272</t>
  </si>
  <si>
    <t>Sim 271</t>
  </si>
  <si>
    <t>Sim 270</t>
  </si>
  <si>
    <t>Sim 269</t>
  </si>
  <si>
    <t>Sim 268</t>
  </si>
  <si>
    <t>Sim 267</t>
  </si>
  <si>
    <t>Sim 266</t>
  </si>
  <si>
    <t>Sim 265</t>
  </si>
  <si>
    <t>Sim 264</t>
  </si>
  <si>
    <t>Sim 263</t>
  </si>
  <si>
    <t>Sim 262</t>
  </si>
  <si>
    <t>Sim 261</t>
  </si>
  <si>
    <t>Sim 260</t>
  </si>
  <si>
    <t>Sim 259</t>
  </si>
  <si>
    <t>Sim 258</t>
  </si>
  <si>
    <t>Sim 257</t>
  </si>
  <si>
    <t>Sim 256</t>
  </si>
  <si>
    <t>Sim 255</t>
  </si>
  <si>
    <t>Sim 254</t>
  </si>
  <si>
    <t>Sim 253</t>
  </si>
  <si>
    <t>Sim 252</t>
  </si>
  <si>
    <t>Sim 251</t>
  </si>
  <si>
    <t>Sim 250</t>
  </si>
  <si>
    <t>Sim 249</t>
  </si>
  <si>
    <t>Sim 248</t>
  </si>
  <si>
    <t>Sim 247</t>
  </si>
  <si>
    <t>Sim 246</t>
  </si>
  <si>
    <t>Sim 245</t>
  </si>
  <si>
    <t>Sim 244</t>
  </si>
  <si>
    <t>Sim 243</t>
  </si>
  <si>
    <t>Sim 242</t>
  </si>
  <si>
    <t>Sim 241</t>
  </si>
  <si>
    <t>Sim 240</t>
  </si>
  <si>
    <t>Sim 239</t>
  </si>
  <si>
    <t>Sim 238</t>
  </si>
  <si>
    <t>Sim 237</t>
  </si>
  <si>
    <t>Sim 236</t>
  </si>
  <si>
    <t>Sim 235</t>
  </si>
  <si>
    <t>Sim 234</t>
  </si>
  <si>
    <t>Sim 233</t>
  </si>
  <si>
    <t>Sim 232</t>
  </si>
  <si>
    <t>Sim 231</t>
  </si>
  <si>
    <t>Sim 230</t>
  </si>
  <si>
    <t>Sim 229</t>
  </si>
  <si>
    <t>Sim 228</t>
  </si>
  <si>
    <t>Sim 227</t>
  </si>
  <si>
    <t>Sim 226</t>
  </si>
  <si>
    <t>Sim 225</t>
  </si>
  <si>
    <t>Sim 224</t>
  </si>
  <si>
    <t>Sim 223</t>
  </si>
  <si>
    <t>Sim 222</t>
  </si>
  <si>
    <t>Sim 221</t>
  </si>
  <si>
    <t>Sim 220</t>
  </si>
  <si>
    <t>Sim 219</t>
  </si>
  <si>
    <t>Sim 218</t>
  </si>
  <si>
    <t>Sim 217</t>
  </si>
  <si>
    <t>Sim 216</t>
  </si>
  <si>
    <t>Sim 215</t>
  </si>
  <si>
    <t>Sim 214</t>
  </si>
  <si>
    <t>Sim 213</t>
  </si>
  <si>
    <t>Sim 212</t>
  </si>
  <si>
    <t>Sim 211</t>
  </si>
  <si>
    <t>Sim 210</t>
  </si>
  <si>
    <t>Sim 209</t>
  </si>
  <si>
    <t>Sim 208</t>
  </si>
  <si>
    <t>Sim 207</t>
  </si>
  <si>
    <t>Sim 206</t>
  </si>
  <si>
    <t>Sim 205</t>
  </si>
  <si>
    <t>Sim 204</t>
  </si>
  <si>
    <t>Sim 203</t>
  </si>
  <si>
    <t>Sim 202</t>
  </si>
  <si>
    <t>Sim 201</t>
  </si>
  <si>
    <t>Sim 200</t>
  </si>
  <si>
    <t>Sim 199</t>
  </si>
  <si>
    <t>Sim 198</t>
  </si>
  <si>
    <t>Sim 197</t>
  </si>
  <si>
    <t>Sim 196</t>
  </si>
  <si>
    <t>Sim 195</t>
  </si>
  <si>
    <t>Sim 194</t>
  </si>
  <si>
    <t>Sim 193</t>
  </si>
  <si>
    <t>Sim 192</t>
  </si>
  <si>
    <t>Sim 191</t>
  </si>
  <si>
    <t>Sim 190</t>
  </si>
  <si>
    <t>Sim 189</t>
  </si>
  <si>
    <t>Sim 188</t>
  </si>
  <si>
    <t>Sim 187</t>
  </si>
  <si>
    <t>Sim 186</t>
  </si>
  <si>
    <t>Sim 185</t>
  </si>
  <si>
    <t>Sim 184</t>
  </si>
  <si>
    <t>Sim 183</t>
  </si>
  <si>
    <t>Sim 182</t>
  </si>
  <si>
    <t>Sim 181</t>
  </si>
  <si>
    <t>Sim 180</t>
  </si>
  <si>
    <t>Sim 179</t>
  </si>
  <si>
    <t>Sim 178</t>
  </si>
  <si>
    <t>Sim 177</t>
  </si>
  <si>
    <t>Sim 176</t>
  </si>
  <si>
    <t>Sim 175</t>
  </si>
  <si>
    <t>Sim 174</t>
  </si>
  <si>
    <t>Sim 173</t>
  </si>
  <si>
    <t>Sim 172</t>
  </si>
  <si>
    <t>Sim 171</t>
  </si>
  <si>
    <t>Sim 170</t>
  </si>
  <si>
    <t>Sim 169</t>
  </si>
  <si>
    <t>Sim 168</t>
  </si>
  <si>
    <t>Sim 167</t>
  </si>
  <si>
    <t>Sim 166</t>
  </si>
  <si>
    <t>Sim 165</t>
  </si>
  <si>
    <t>Sim 164</t>
  </si>
  <si>
    <t>Sim 163</t>
  </si>
  <si>
    <t>Sim 162</t>
  </si>
  <si>
    <t>Sim 161</t>
  </si>
  <si>
    <t>Sim 160</t>
  </si>
  <si>
    <t>Sim 159</t>
  </si>
  <si>
    <t>Sim 158</t>
  </si>
  <si>
    <t>Sim 157</t>
  </si>
  <si>
    <t>Sim 156</t>
  </si>
  <si>
    <t>Sim 155</t>
  </si>
  <si>
    <t>Sim 154</t>
  </si>
  <si>
    <t>Sim 153</t>
  </si>
  <si>
    <t>Sim 152</t>
  </si>
  <si>
    <t>Sim 151</t>
  </si>
  <si>
    <t>Sim 150</t>
  </si>
  <si>
    <t>Sim 149</t>
  </si>
  <si>
    <t>Sim 148</t>
  </si>
  <si>
    <t>Sim 147</t>
  </si>
  <si>
    <t>Sim 146</t>
  </si>
  <si>
    <t>Sim 145</t>
  </si>
  <si>
    <t>Sim 144</t>
  </si>
  <si>
    <t>Sim 143</t>
  </si>
  <si>
    <t>Sim 142</t>
  </si>
  <si>
    <t>Sim 141</t>
  </si>
  <si>
    <t>Sim 140</t>
  </si>
  <si>
    <t>Sim 139</t>
  </si>
  <si>
    <t>Sim 138</t>
  </si>
  <si>
    <t>Sim 137</t>
  </si>
  <si>
    <t>Sim 136</t>
  </si>
  <si>
    <t>Sim 135</t>
  </si>
  <si>
    <t>Sim 134</t>
  </si>
  <si>
    <t>Sim 133</t>
  </si>
  <si>
    <t>Sim 132</t>
  </si>
  <si>
    <t>Sim 131</t>
  </si>
  <si>
    <t>Sim 130</t>
  </si>
  <si>
    <t>Sim 129</t>
  </si>
  <si>
    <t>Sim 128</t>
  </si>
  <si>
    <t>Sim 127</t>
  </si>
  <si>
    <t>Sim 126</t>
  </si>
  <si>
    <t>Sim 125</t>
  </si>
  <si>
    <t>Sim 124</t>
  </si>
  <si>
    <t>Sim 123</t>
  </si>
  <si>
    <t>Sim 122</t>
  </si>
  <si>
    <t>Sim 121</t>
  </si>
  <si>
    <t>Sim 120</t>
  </si>
  <si>
    <t>Sim 119</t>
  </si>
  <si>
    <t>Sim 118</t>
  </si>
  <si>
    <t>Sim 117</t>
  </si>
  <si>
    <t>Sim 116</t>
  </si>
  <si>
    <t>Sim 115</t>
  </si>
  <si>
    <t>Sim 114</t>
  </si>
  <si>
    <t>Sim 113</t>
  </si>
  <si>
    <t>Sim 112</t>
  </si>
  <si>
    <t>Sim 111</t>
  </si>
  <si>
    <t>Sim 110</t>
  </si>
  <si>
    <t>Sim 109</t>
  </si>
  <si>
    <t>Sim 108</t>
  </si>
  <si>
    <t>Sim 107</t>
  </si>
  <si>
    <t>Sim 106</t>
  </si>
  <si>
    <t>Sim 105</t>
  </si>
  <si>
    <t>Sim 104</t>
  </si>
  <si>
    <t>Sim 103</t>
  </si>
  <si>
    <t>Sim 102</t>
  </si>
  <si>
    <t>Sim 101</t>
  </si>
  <si>
    <t>Sim 100</t>
  </si>
  <si>
    <t>Sim 99</t>
  </si>
  <si>
    <t>Sim 98</t>
  </si>
  <si>
    <t>Sim 97</t>
  </si>
  <si>
    <t>Sim 96</t>
  </si>
  <si>
    <t>Sim 95</t>
  </si>
  <si>
    <t>Sim 94</t>
  </si>
  <si>
    <t>Sim 93</t>
  </si>
  <si>
    <t>Sim 92</t>
  </si>
  <si>
    <t>Sim 91</t>
  </si>
  <si>
    <t>Sim 90</t>
  </si>
  <si>
    <t>Sim 89</t>
  </si>
  <si>
    <t>Sim 88</t>
  </si>
  <si>
    <t>Sim 87</t>
  </si>
  <si>
    <t>Sim 86</t>
  </si>
  <si>
    <t>Sim 85</t>
  </si>
  <si>
    <t>Sim 84</t>
  </si>
  <si>
    <t>Sim 83</t>
  </si>
  <si>
    <t>Sim 82</t>
  </si>
  <si>
    <t>Sim 81</t>
  </si>
  <si>
    <t>Sim 80</t>
  </si>
  <si>
    <t>Sim 79</t>
  </si>
  <si>
    <t>Sim 78</t>
  </si>
  <si>
    <t>Sim 77</t>
  </si>
  <si>
    <t>Sim 76</t>
  </si>
  <si>
    <t>Sim 75</t>
  </si>
  <si>
    <t>Sim 74</t>
  </si>
  <si>
    <t>Sim 73</t>
  </si>
  <si>
    <t>Sim 72</t>
  </si>
  <si>
    <t>Sim 71</t>
  </si>
  <si>
    <t>Sim 70</t>
  </si>
  <si>
    <t>Sim 69</t>
  </si>
  <si>
    <t>Sim 68</t>
  </si>
  <si>
    <t>Sim 67</t>
  </si>
  <si>
    <t>Sim 66</t>
  </si>
  <si>
    <t>Sim 65</t>
  </si>
  <si>
    <t>Sim 64</t>
  </si>
  <si>
    <t>Sim 63</t>
  </si>
  <si>
    <t>Sim 62</t>
  </si>
  <si>
    <t>Sim 61</t>
  </si>
  <si>
    <t>Sim 60</t>
  </si>
  <si>
    <t>Sim 59</t>
  </si>
  <si>
    <t>Sim 58</t>
  </si>
  <si>
    <t>Sim 57</t>
  </si>
  <si>
    <t>Sim 56</t>
  </si>
  <si>
    <t>Sim 55</t>
  </si>
  <si>
    <t>Sim 54</t>
  </si>
  <si>
    <t>Sim 53</t>
  </si>
  <si>
    <t>Sim 52</t>
  </si>
  <si>
    <t>Sim 51</t>
  </si>
  <si>
    <t>Sim 50</t>
  </si>
  <si>
    <t>Sim 49</t>
  </si>
  <si>
    <t>Sim 48</t>
  </si>
  <si>
    <t>Sim 47</t>
  </si>
  <si>
    <t>Sim 46</t>
  </si>
  <si>
    <t>Sim 45</t>
  </si>
  <si>
    <t>Sim 44</t>
  </si>
  <si>
    <t>Sim 43</t>
  </si>
  <si>
    <t>Sim 42</t>
  </si>
  <si>
    <t>Sim 41</t>
  </si>
  <si>
    <t>Sim 40</t>
  </si>
  <si>
    <t>Sim 39</t>
  </si>
  <si>
    <t>Sim 38</t>
  </si>
  <si>
    <t>Sim 37</t>
  </si>
  <si>
    <t>Sim 36</t>
  </si>
  <si>
    <t>Sim 35</t>
  </si>
  <si>
    <t>Sim 34</t>
  </si>
  <si>
    <t>Sim 33</t>
  </si>
  <si>
    <t>Sim 32</t>
  </si>
  <si>
    <t>Sim 31</t>
  </si>
  <si>
    <t>Sim 30</t>
  </si>
  <si>
    <t>Sim 29</t>
  </si>
  <si>
    <t>Sim 28</t>
  </si>
  <si>
    <t>Sim 27</t>
  </si>
  <si>
    <t>Sim 26</t>
  </si>
  <si>
    <t>Sim 25</t>
  </si>
  <si>
    <t>Sim 24</t>
  </si>
  <si>
    <t>Sim 23</t>
  </si>
  <si>
    <t>Sim 22</t>
  </si>
  <si>
    <t>Sim 21</t>
  </si>
  <si>
    <t>Sim 20</t>
  </si>
  <si>
    <t>Sim 19</t>
  </si>
  <si>
    <t>Sim 18</t>
  </si>
  <si>
    <t>Sim 17</t>
  </si>
  <si>
    <t>Sim 16</t>
  </si>
  <si>
    <t>Sim 15</t>
  </si>
  <si>
    <t>Sim 14</t>
  </si>
  <si>
    <t>Sim 13</t>
  </si>
  <si>
    <t>Sim 12</t>
  </si>
  <si>
    <t>Sim 11</t>
  </si>
  <si>
    <t>Sim 10</t>
  </si>
  <si>
    <t>Sim 9</t>
  </si>
  <si>
    <t>Sim 8</t>
  </si>
  <si>
    <t>Sim 7</t>
  </si>
  <si>
    <t>Sim 6</t>
  </si>
  <si>
    <t>Sim 5</t>
  </si>
  <si>
    <t>Sim 4</t>
  </si>
  <si>
    <t>Sim 3</t>
  </si>
  <si>
    <t>Sim 2</t>
  </si>
  <si>
    <t>Sim 1</t>
  </si>
  <si>
    <t>Year</t>
  </si>
  <si>
    <t>90th Percentile</t>
  </si>
  <si>
    <t>10th Percentile</t>
  </si>
  <si>
    <t>Median Final Value</t>
  </si>
  <si>
    <t>Mean Final Value</t>
  </si>
  <si>
    <t>Value</t>
  </si>
  <si>
    <t>Metric</t>
  </si>
  <si>
    <t>Parameter</t>
  </si>
  <si>
    <t>Initial Value</t>
  </si>
  <si>
    <t>Std Dev (σ)</t>
  </si>
  <si>
    <t>Time Horizon</t>
  </si>
  <si>
    <t>10 years</t>
  </si>
  <si>
    <t># of Simulations</t>
  </si>
  <si>
    <t>Mean Growth (µ)</t>
  </si>
  <si>
    <t>Mean Growth</t>
  </si>
  <si>
    <t>SIM</t>
  </si>
  <si>
    <t>Sim Avg</t>
  </si>
  <si>
    <t>Average</t>
  </si>
  <si>
    <t>RandBetw</t>
  </si>
  <si>
    <r>
      <t>Aggressive (+</t>
    </r>
    <r>
      <rPr>
        <b/>
        <sz val="11"/>
        <color rgb="FFFF0000"/>
        <rFont val="Aptos Narrow"/>
        <family val="2"/>
        <scheme val="minor"/>
      </rPr>
      <t>X%</t>
    </r>
    <r>
      <rPr>
        <b/>
        <sz val="11"/>
        <color theme="3" tint="0.249977111117893"/>
        <rFont val="Aptos Narrow"/>
        <family val="2"/>
        <scheme val="minor"/>
      </rPr>
      <t xml:space="preserve"> over Linear Regression)</t>
    </r>
  </si>
  <si>
    <r>
      <t xml:space="preserve">Custom - </t>
    </r>
    <r>
      <rPr>
        <b/>
        <sz val="11"/>
        <color rgb="FFFF0000"/>
        <rFont val="Aptos Narrow"/>
        <family val="2"/>
        <scheme val="minor"/>
      </rPr>
      <t>X%</t>
    </r>
    <r>
      <rPr>
        <b/>
        <sz val="11"/>
        <color theme="8" tint="-0.249977111117893"/>
        <rFont val="Aptos Narrow"/>
        <family val="2"/>
        <scheme val="minor"/>
      </rPr>
      <t xml:space="preserve"> growth per year</t>
    </r>
  </si>
  <si>
    <t>Random</t>
  </si>
  <si>
    <r>
      <rPr>
        <b/>
        <sz val="14"/>
        <color rgb="FFFF0000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 xml:space="preserve"> = Monte Carlo Simulation</t>
    </r>
  </si>
  <si>
    <r>
      <rPr>
        <b/>
        <sz val="14"/>
        <color rgb="FFFF0000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= @Randbetween (X,Y)</t>
    </r>
  </si>
  <si>
    <r>
      <rPr>
        <b/>
        <sz val="14"/>
        <color rgb="FFFF0000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 xml:space="preserve"> = set random growth % by year</t>
    </r>
  </si>
  <si>
    <t>Aggressive (+X% over Regression)</t>
  </si>
  <si>
    <t>Leadership 
3Yr Value</t>
  </si>
  <si>
    <t>Leadership 
Tracking 
LTI Value</t>
  </si>
  <si>
    <t>EBITDA</t>
  </si>
  <si>
    <t>Ex: Culture Goal</t>
  </si>
  <si>
    <t>Ex: Ops Goal</t>
  </si>
  <si>
    <t>Ex: Leadership Goal</t>
  </si>
  <si>
    <t xml:space="preserve">For Illustration Purposes </t>
  </si>
  <si>
    <t>TOTAL PAYOUT (% of Target)</t>
  </si>
  <si>
    <t xml:space="preserve">Sample Company </t>
  </si>
  <si>
    <t>EBITDA ($M)</t>
  </si>
  <si>
    <t>Post LTI EBITDA ($M)</t>
  </si>
  <si>
    <t>Post LTI EBITDA Growth (%)</t>
  </si>
  <si>
    <t>Note: Performance between threshold and target, or target and max payout, will be interpolated.</t>
  </si>
  <si>
    <t>Hire Date</t>
  </si>
  <si>
    <t>Prorated Target</t>
  </si>
  <si>
    <t>FY Bonus ($)</t>
  </si>
  <si>
    <t>Prorated Bonus</t>
  </si>
  <si>
    <t>EBITDA Growth</t>
  </si>
  <si>
    <t>Net Income</t>
  </si>
  <si>
    <t xml:space="preserve">Objective 1 </t>
  </si>
  <si>
    <t>Objective 2</t>
  </si>
  <si>
    <t>Objective 3</t>
  </si>
  <si>
    <t xml:space="preserve">Jan </t>
  </si>
  <si>
    <t xml:space="preserve">Feb </t>
  </si>
  <si>
    <t xml:space="preserve">March </t>
  </si>
  <si>
    <t xml:space="preserve">April </t>
  </si>
  <si>
    <t xml:space="preserve">May </t>
  </si>
  <si>
    <t>June</t>
  </si>
  <si>
    <t xml:space="preserve">July </t>
  </si>
  <si>
    <t xml:space="preserve">Aug </t>
  </si>
  <si>
    <t xml:space="preserve">Sep </t>
  </si>
  <si>
    <t xml:space="preserve">Oct </t>
  </si>
  <si>
    <t xml:space="preserve">Nov </t>
  </si>
  <si>
    <t>Dec</t>
  </si>
  <si>
    <t xml:space="preserve">Target $ </t>
  </si>
  <si>
    <t>Target Total Cash</t>
  </si>
  <si>
    <t>Hires on or after October 1 are not eligible for a payout unless an exception is approved by the Compensation Committee.</t>
  </si>
  <si>
    <t>Target Total Direct Comp</t>
  </si>
  <si>
    <t>AIP Target Payout</t>
  </si>
  <si>
    <t xml:space="preserve">STRATEGIC PERFORMANCE </t>
  </si>
  <si>
    <t>PAY</t>
  </si>
  <si>
    <t>Bonus Award (as % of Target Bonus)</t>
  </si>
  <si>
    <r>
      <t xml:space="preserve">FINANCIAL PERFORMANCE
</t>
    </r>
    <r>
      <rPr>
        <i/>
        <sz val="11"/>
        <color theme="0"/>
        <rFont val="Times New Roman"/>
        <family val="1"/>
      </rPr>
      <t>Attainment (% of Goal)</t>
    </r>
  </si>
  <si>
    <r>
      <t xml:space="preserve">PAY
</t>
    </r>
    <r>
      <rPr>
        <i/>
        <sz val="11"/>
        <color theme="0"/>
        <rFont val="Times New Roman"/>
        <family val="1"/>
      </rPr>
      <t>Bonus Award (as % of Target Bonus)</t>
    </r>
  </si>
  <si>
    <t>Fiscal Year:</t>
  </si>
  <si>
    <t>Attainment Levels and Payout Scale by Performance Measure</t>
  </si>
  <si>
    <t>Prorated Target:</t>
  </si>
  <si>
    <t>AIP Target %</t>
  </si>
  <si>
    <t>AIP Target $</t>
  </si>
  <si>
    <t>Base Salary</t>
  </si>
  <si>
    <t>Target Total Comp</t>
  </si>
  <si>
    <t>Financial Measures</t>
  </si>
  <si>
    <t>Strategic Measures</t>
  </si>
  <si>
    <t xml:space="preserve">Goal
</t>
  </si>
  <si>
    <t>Goal ($000)</t>
  </si>
  <si>
    <t>Actual ($000)</t>
  </si>
  <si>
    <t>Figure X: Summary of attainment and payout levels for each AIP measure. Interpolation applies between thresholds.</t>
  </si>
  <si>
    <r>
      <t xml:space="preserve">Max </t>
    </r>
    <r>
      <rPr>
        <sz val="10"/>
        <color theme="1"/>
        <rFont val="Times New Roman"/>
        <family val="1"/>
      </rPr>
      <t>(150%)</t>
    </r>
  </si>
  <si>
    <t>Actual %</t>
  </si>
  <si>
    <t xml:space="preserve">Payout  (% of Target)
</t>
  </si>
  <si>
    <t>AIP Total Pro-rata %</t>
  </si>
  <si>
    <t>AIP Calculation Example 2: Above Target Outcome</t>
  </si>
  <si>
    <t>Job Level X</t>
  </si>
  <si>
    <t>Jobe Level Y</t>
  </si>
  <si>
    <t>Job Level X Compensation</t>
  </si>
  <si>
    <t xml:space="preserve"> 1. Percent of EBITDA Growth delivered to Job Level X (and Leadership)</t>
  </si>
  <si>
    <t>LTIP MODEL ($M) - Job Level X receives X% of EBITDA Growth over 3 year period</t>
  </si>
  <si>
    <t>Job Level X 
Tracking 
LTI Value</t>
  </si>
  <si>
    <t>Job Level X 
3Yr Value</t>
  </si>
  <si>
    <t>Example CEO Fake Market Data and Internal Modeling Example (For Illustration Purposes)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</si>
</sst>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.0_);[Red]\(&quot;$&quot;#,##0.0\)"/>
    <numFmt numFmtId="167" formatCode="_(&quot;$&quot;* #,##0_);_(&quot;$&quot;* \(#,##0\);_(&quot;$&quot;* &quot;-&quot;??_);_(@_)"/>
    <numFmt numFmtId="168" formatCode="_(* #,##0.0_);_(* \(#,##0.0\);_(* &quot;-&quot;??_);_(@_)"/>
    <numFmt numFmtId="169" formatCode="_(* #,##0.0000_);_(* \(#,##0.0000\);_(* &quot;-&quot;??_);_(@_)"/>
    <numFmt numFmtId="170" formatCode="0.0000%"/>
    <numFmt numFmtId="171" formatCode="0.000000000%"/>
    <numFmt numFmtId="172" formatCode="&quot;$&quot;#,##0"/>
  </numFmts>
  <fonts count="4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2"/>
      <color rgb="FFFF0000"/>
      <name val="Times New Roman"/>
      <family val="1"/>
    </font>
    <font>
      <b/>
      <sz val="11"/>
      <color theme="0"/>
      <name val="Times New Roman"/>
      <family val="1"/>
    </font>
    <font>
      <b/>
      <u/>
      <sz val="11"/>
      <color theme="0"/>
      <name val="Times New Roman"/>
      <family val="1"/>
    </font>
    <font>
      <i/>
      <sz val="11"/>
      <color theme="0"/>
      <name val="Times New Roman"/>
      <family val="1"/>
    </font>
    <font>
      <sz val="9"/>
      <color rgb="FFFF0000"/>
      <name val="Times New Roman"/>
      <family val="1"/>
    </font>
    <font>
      <b/>
      <i/>
      <sz val="10"/>
      <name val="Times New Roman"/>
      <family val="1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i/>
      <sz val="10"/>
      <color rgb="FFFF0000"/>
      <name val="Times New Roman"/>
      <family val="1"/>
    </font>
    <font>
      <i/>
      <sz val="10"/>
      <color theme="1"/>
      <name val="Times New Roman"/>
      <family val="1"/>
    </font>
    <font>
      <b/>
      <sz val="10"/>
      <color theme="0"/>
      <name val="Times New Roman"/>
      <family val="1"/>
    </font>
    <font>
      <b/>
      <i/>
      <sz val="11"/>
      <color theme="0"/>
      <name val="Times New Roman"/>
      <family val="1"/>
    </font>
    <font>
      <b/>
      <sz val="16"/>
      <color theme="0"/>
      <name val="Times New Roman"/>
      <family val="1"/>
    </font>
    <font>
      <sz val="11"/>
      <color theme="0"/>
      <name val="Times New Roman"/>
      <family val="1"/>
    </font>
    <font>
      <b/>
      <i/>
      <sz val="10"/>
      <color theme="0"/>
      <name val="Times New Roman"/>
      <family val="1"/>
    </font>
    <font>
      <b/>
      <i/>
      <sz val="10"/>
      <color rgb="FFFF0000"/>
      <name val="Times New Roman"/>
      <family val="1"/>
    </font>
    <font>
      <b/>
      <sz val="11"/>
      <color theme="2"/>
      <name val="Times New Roman"/>
      <family val="1"/>
    </font>
    <font>
      <b/>
      <sz val="11"/>
      <name val="Times New Roman"/>
      <family val="1"/>
    </font>
    <font>
      <sz val="9"/>
      <color theme="1"/>
      <name val="Times New Roman"/>
      <family val="1"/>
    </font>
    <font>
      <b/>
      <sz val="12"/>
      <name val="Times New Roman"/>
      <family val="1"/>
    </font>
    <font>
      <sz val="10"/>
      <color theme="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7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6" fontId="0" fillId="0" borderId="0" xfId="0" applyNumberFormat="1"/>
    <xf numFmtId="0" fontId="0" fillId="0" borderId="0" xfId="0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/>
    </xf>
    <xf numFmtId="9" fontId="3" fillId="2" borderId="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6" fontId="0" fillId="0" borderId="14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6" fontId="0" fillId="0" borderId="16" xfId="0" applyNumberFormat="1" applyBorder="1" applyAlignment="1">
      <alignment horizontal="center" vertical="center"/>
    </xf>
    <xf numFmtId="6" fontId="3" fillId="0" borderId="15" xfId="0" applyNumberFormat="1" applyFont="1" applyBorder="1" applyAlignment="1">
      <alignment horizontal="center" vertical="center"/>
    </xf>
    <xf numFmtId="6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/>
    </xf>
    <xf numFmtId="0" fontId="3" fillId="0" borderId="0" xfId="0" applyFont="1"/>
    <xf numFmtId="9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8" xfId="0" applyBorder="1"/>
    <xf numFmtId="6" fontId="0" fillId="0" borderId="8" xfId="0" applyNumberFormat="1" applyBorder="1"/>
    <xf numFmtId="6" fontId="0" fillId="0" borderId="2" xfId="0" applyNumberFormat="1" applyBorder="1"/>
    <xf numFmtId="6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8" xfId="0" applyFont="1" applyBorder="1"/>
    <xf numFmtId="0" fontId="5" fillId="0" borderId="8" xfId="0" applyFont="1" applyBorder="1" applyAlignment="1">
      <alignment horizontal="center"/>
    </xf>
    <xf numFmtId="0" fontId="3" fillId="0" borderId="8" xfId="0" applyFont="1" applyBorder="1"/>
    <xf numFmtId="17" fontId="0" fillId="0" borderId="0" xfId="0" quotePrefix="1" applyNumberFormat="1"/>
    <xf numFmtId="166" fontId="0" fillId="0" borderId="0" xfId="0" applyNumberFormat="1"/>
    <xf numFmtId="167" fontId="0" fillId="0" borderId="0" xfId="2" applyNumberFormat="1" applyFont="1"/>
    <xf numFmtId="167" fontId="0" fillId="0" borderId="0" xfId="0" applyNumberFormat="1"/>
    <xf numFmtId="0" fontId="3" fillId="0" borderId="0" xfId="0" applyFont="1" applyAlignment="1">
      <alignment horizontal="center"/>
    </xf>
    <xf numFmtId="9" fontId="0" fillId="0" borderId="0" xfId="3" applyFont="1"/>
    <xf numFmtId="44" fontId="0" fillId="0" borderId="0" xfId="2" applyFont="1"/>
    <xf numFmtId="8" fontId="0" fillId="0" borderId="0" xfId="0" applyNumberFormat="1"/>
    <xf numFmtId="0" fontId="3" fillId="0" borderId="1" xfId="0" applyFont="1" applyBorder="1" applyAlignment="1">
      <alignment horizontal="center" wrapText="1"/>
    </xf>
    <xf numFmtId="9" fontId="4" fillId="4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6" fontId="0" fillId="0" borderId="1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/>
    </xf>
    <xf numFmtId="165" fontId="0" fillId="6" borderId="0" xfId="1" applyNumberFormat="1" applyFont="1" applyFill="1" applyAlignment="1">
      <alignment horizontal="center"/>
    </xf>
    <xf numFmtId="165" fontId="0" fillId="0" borderId="0" xfId="1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6" borderId="2" xfId="1" applyNumberFormat="1" applyFont="1" applyFill="1" applyBorder="1" applyAlignment="1">
      <alignment horizontal="center"/>
    </xf>
    <xf numFmtId="6" fontId="3" fillId="5" borderId="2" xfId="0" applyNumberFormat="1" applyFont="1" applyFill="1" applyBorder="1" applyAlignment="1">
      <alignment horizontal="center"/>
    </xf>
    <xf numFmtId="165" fontId="0" fillId="5" borderId="8" xfId="0" applyNumberFormat="1" applyFill="1" applyBorder="1"/>
    <xf numFmtId="8" fontId="0" fillId="0" borderId="8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9" fontId="0" fillId="0" borderId="0" xfId="3" applyFont="1" applyAlignment="1">
      <alignment horizontal="center"/>
    </xf>
    <xf numFmtId="164" fontId="0" fillId="0" borderId="0" xfId="3" applyNumberFormat="1" applyFont="1" applyAlignment="1">
      <alignment horizontal="center"/>
    </xf>
    <xf numFmtId="43" fontId="0" fillId="0" borderId="0" xfId="1" applyFont="1"/>
    <xf numFmtId="0" fontId="6" fillId="0" borderId="0" xfId="0" applyFont="1"/>
    <xf numFmtId="0" fontId="7" fillId="0" borderId="0" xfId="0" applyFont="1" applyAlignment="1">
      <alignment horizontal="right"/>
    </xf>
    <xf numFmtId="167" fontId="0" fillId="0" borderId="17" xfId="2" applyNumberFormat="1" applyFont="1" applyBorder="1"/>
    <xf numFmtId="9" fontId="0" fillId="0" borderId="0" xfId="1" applyNumberFormat="1" applyFont="1"/>
    <xf numFmtId="165" fontId="0" fillId="0" borderId="0" xfId="1" applyNumberFormat="1" applyFont="1"/>
    <xf numFmtId="165" fontId="2" fillId="0" borderId="0" xfId="1" applyNumberFormat="1" applyFont="1"/>
    <xf numFmtId="10" fontId="0" fillId="0" borderId="0" xfId="3" applyNumberFormat="1" applyFont="1"/>
    <xf numFmtId="10" fontId="2" fillId="0" borderId="0" xfId="3" applyNumberFormat="1" applyFont="1"/>
    <xf numFmtId="10" fontId="0" fillId="0" borderId="0" xfId="0" applyNumberFormat="1"/>
    <xf numFmtId="168" fontId="0" fillId="0" borderId="0" xfId="1" applyNumberFormat="1" applyFont="1"/>
    <xf numFmtId="169" fontId="0" fillId="0" borderId="0" xfId="1" applyNumberFormat="1" applyFont="1"/>
    <xf numFmtId="43" fontId="0" fillId="0" borderId="0" xfId="0" applyNumberFormat="1"/>
    <xf numFmtId="10" fontId="2" fillId="4" borderId="0" xfId="0" applyNumberFormat="1" applyFont="1" applyFill="1" applyAlignment="1">
      <alignment horizontal="center"/>
    </xf>
    <xf numFmtId="164" fontId="0" fillId="3" borderId="1" xfId="0" applyNumberFormat="1" applyFill="1" applyBorder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65" fontId="11" fillId="6" borderId="0" xfId="1" applyNumberFormat="1" applyFont="1" applyFill="1" applyAlignment="1">
      <alignment horizontal="center"/>
    </xf>
    <xf numFmtId="167" fontId="12" fillId="7" borderId="10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1" fillId="0" borderId="0" xfId="0" applyFont="1"/>
    <xf numFmtId="0" fontId="17" fillId="0" borderId="0" xfId="0" applyFont="1"/>
    <xf numFmtId="9" fontId="4" fillId="2" borderId="0" xfId="1" applyNumberFormat="1" applyFont="1" applyFill="1" applyAlignment="1">
      <alignment horizontal="center"/>
    </xf>
    <xf numFmtId="171" fontId="4" fillId="2" borderId="0" xfId="1" applyNumberFormat="1" applyFont="1" applyFill="1" applyAlignment="1">
      <alignment horizontal="center"/>
    </xf>
    <xf numFmtId="0" fontId="0" fillId="0" borderId="1" xfId="0" applyBorder="1" applyAlignment="1">
      <alignment horizontal="right"/>
    </xf>
    <xf numFmtId="0" fontId="4" fillId="0" borderId="0" xfId="0" applyFont="1" applyAlignment="1">
      <alignment horizontal="center"/>
    </xf>
    <xf numFmtId="10" fontId="17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8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68" fontId="0" fillId="0" borderId="0" xfId="0" applyNumberFormat="1"/>
    <xf numFmtId="170" fontId="0" fillId="0" borderId="0" xfId="3" applyNumberFormat="1" applyFont="1" applyAlignment="1">
      <alignment horizontal="center"/>
    </xf>
    <xf numFmtId="0" fontId="3" fillId="8" borderId="1" xfId="0" applyFont="1" applyFill="1" applyBorder="1" applyAlignment="1">
      <alignment horizontal="center"/>
    </xf>
    <xf numFmtId="167" fontId="0" fillId="8" borderId="0" xfId="2" applyNumberFormat="1" applyFont="1" applyFill="1"/>
    <xf numFmtId="167" fontId="0" fillId="8" borderId="2" xfId="1" applyNumberFormat="1" applyFont="1" applyFill="1" applyBorder="1"/>
    <xf numFmtId="167" fontId="0" fillId="8" borderId="0" xfId="1" applyNumberFormat="1" applyFont="1" applyFill="1"/>
    <xf numFmtId="167" fontId="0" fillId="8" borderId="17" xfId="2" applyNumberFormat="1" applyFont="1" applyFill="1" applyBorder="1"/>
    <xf numFmtId="0" fontId="9" fillId="2" borderId="0" xfId="0" applyFont="1" applyFill="1" applyAlignment="1">
      <alignment horizontal="center"/>
    </xf>
    <xf numFmtId="0" fontId="10" fillId="2" borderId="19" xfId="0" applyFont="1" applyFill="1" applyBorder="1" applyAlignment="1">
      <alignment horizontal="center" vertical="center"/>
    </xf>
    <xf numFmtId="167" fontId="19" fillId="3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0" fillId="0" borderId="0" xfId="0" quotePrefix="1" applyFont="1" applyAlignment="1">
      <alignment vertical="top"/>
    </xf>
    <xf numFmtId="10" fontId="20" fillId="0" borderId="0" xfId="0" applyNumberFormat="1" applyFont="1" applyAlignment="1">
      <alignment vertical="top"/>
    </xf>
    <xf numFmtId="9" fontId="20" fillId="0" borderId="0" xfId="3" applyFont="1" applyAlignment="1">
      <alignment vertical="top"/>
    </xf>
    <xf numFmtId="0" fontId="24" fillId="9" borderId="1" xfId="0" applyFont="1" applyFill="1" applyBorder="1" applyAlignment="1">
      <alignment horizontal="center" vertical="top" wrapText="1"/>
    </xf>
    <xf numFmtId="0" fontId="24" fillId="9" borderId="1" xfId="0" applyFont="1" applyFill="1" applyBorder="1" applyAlignment="1">
      <alignment horizontal="center" vertical="top"/>
    </xf>
    <xf numFmtId="9" fontId="20" fillId="0" borderId="0" xfId="0" applyNumberFormat="1" applyFont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27" fillId="0" borderId="0" xfId="0" applyFont="1" applyAlignment="1">
      <alignment horizontal="center" vertical="top"/>
    </xf>
    <xf numFmtId="9" fontId="20" fillId="0" borderId="0" xfId="3" applyFont="1" applyAlignment="1">
      <alignment horizontal="center" vertical="top"/>
    </xf>
    <xf numFmtId="0" fontId="20" fillId="0" borderId="0" xfId="0" applyFont="1" applyAlignment="1">
      <alignment horizontal="right" vertical="top"/>
    </xf>
    <xf numFmtId="0" fontId="23" fillId="0" borderId="2" xfId="0" applyFont="1" applyBorder="1"/>
    <xf numFmtId="0" fontId="28" fillId="0" borderId="0" xfId="0" applyFont="1" applyAlignment="1">
      <alignment vertical="top" wrapText="1"/>
    </xf>
    <xf numFmtId="14" fontId="20" fillId="0" borderId="0" xfId="0" applyNumberFormat="1" applyFont="1" applyAlignment="1">
      <alignment horizontal="left" vertical="top"/>
    </xf>
    <xf numFmtId="172" fontId="20" fillId="0" borderId="0" xfId="3" applyNumberFormat="1" applyFont="1" applyAlignment="1">
      <alignment horizontal="left" vertical="top"/>
    </xf>
    <xf numFmtId="0" fontId="21" fillId="0" borderId="0" xfId="0" applyFont="1" applyAlignment="1">
      <alignment horizontal="center" vertical="top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top"/>
    </xf>
    <xf numFmtId="0" fontId="32" fillId="0" borderId="0" xfId="0" applyFont="1" applyAlignment="1">
      <alignment horizontal="center" vertical="top"/>
    </xf>
    <xf numFmtId="9" fontId="32" fillId="11" borderId="1" xfId="0" applyNumberFormat="1" applyFont="1" applyFill="1" applyBorder="1" applyAlignment="1">
      <alignment horizontal="center" vertical="top"/>
    </xf>
    <xf numFmtId="9" fontId="32" fillId="11" borderId="5" xfId="0" applyNumberFormat="1" applyFont="1" applyFill="1" applyBorder="1" applyAlignment="1">
      <alignment horizontal="center" vertical="top"/>
    </xf>
    <xf numFmtId="0" fontId="32" fillId="3" borderId="1" xfId="0" applyFont="1" applyFill="1" applyBorder="1" applyAlignment="1">
      <alignment horizontal="center" vertical="top"/>
    </xf>
    <xf numFmtId="9" fontId="33" fillId="3" borderId="6" xfId="0" applyNumberFormat="1" applyFont="1" applyFill="1" applyBorder="1" applyAlignment="1">
      <alignment horizontal="center" vertical="top"/>
    </xf>
    <xf numFmtId="9" fontId="33" fillId="3" borderId="1" xfId="0" applyNumberFormat="1" applyFont="1" applyFill="1" applyBorder="1" applyAlignment="1">
      <alignment horizontal="center" vertical="top"/>
    </xf>
    <xf numFmtId="9" fontId="32" fillId="3" borderId="1" xfId="0" applyNumberFormat="1" applyFont="1" applyFill="1" applyBorder="1" applyAlignment="1">
      <alignment horizontal="center" vertical="top"/>
    </xf>
    <xf numFmtId="164" fontId="32" fillId="3" borderId="1" xfId="3" quotePrefix="1" applyNumberFormat="1" applyFont="1" applyFill="1" applyBorder="1" applyAlignment="1">
      <alignment horizontal="center" vertical="top"/>
    </xf>
    <xf numFmtId="9" fontId="32" fillId="3" borderId="1" xfId="3" quotePrefix="1" applyFont="1" applyFill="1" applyBorder="1" applyAlignment="1">
      <alignment horizontal="center" vertical="top"/>
    </xf>
    <xf numFmtId="0" fontId="34" fillId="0" borderId="0" xfId="0" applyFont="1" applyAlignment="1">
      <alignment horizontal="center" vertical="top"/>
    </xf>
    <xf numFmtId="9" fontId="35" fillId="0" borderId="0" xfId="3" applyFont="1" applyAlignment="1">
      <alignment horizontal="center" vertical="top"/>
    </xf>
    <xf numFmtId="0" fontId="36" fillId="0" borderId="0" xfId="0" applyFont="1" applyAlignment="1">
      <alignment horizontal="right" vertical="top"/>
    </xf>
    <xf numFmtId="9" fontId="33" fillId="3" borderId="5" xfId="0" applyNumberFormat="1" applyFont="1" applyFill="1" applyBorder="1" applyAlignment="1">
      <alignment horizontal="center" vertical="top"/>
    </xf>
    <xf numFmtId="6" fontId="33" fillId="3" borderId="1" xfId="0" applyNumberFormat="1" applyFont="1" applyFill="1" applyBorder="1" applyAlignment="1">
      <alignment horizontal="center" vertical="top"/>
    </xf>
    <xf numFmtId="9" fontId="32" fillId="11" borderId="6" xfId="0" applyNumberFormat="1" applyFont="1" applyFill="1" applyBorder="1" applyAlignment="1">
      <alignment horizontal="center" vertical="top"/>
    </xf>
    <xf numFmtId="0" fontId="0" fillId="3" borderId="0" xfId="0" applyFill="1"/>
    <xf numFmtId="0" fontId="20" fillId="3" borderId="0" xfId="0" applyFont="1" applyFill="1" applyAlignment="1">
      <alignment vertical="top"/>
    </xf>
    <xf numFmtId="0" fontId="39" fillId="3" borderId="0" xfId="0" applyFont="1" applyFill="1" applyAlignment="1">
      <alignment horizontal="center" vertical="top"/>
    </xf>
    <xf numFmtId="0" fontId="40" fillId="3" borderId="0" xfId="0" applyFont="1" applyFill="1" applyAlignment="1">
      <alignment vertical="top"/>
    </xf>
    <xf numFmtId="0" fontId="24" fillId="3" borderId="0" xfId="0" applyFont="1" applyFill="1" applyAlignment="1">
      <alignment vertical="top"/>
    </xf>
    <xf numFmtId="0" fontId="37" fillId="3" borderId="0" xfId="0" applyFont="1" applyFill="1" applyAlignment="1">
      <alignment vertical="top"/>
    </xf>
    <xf numFmtId="0" fontId="37" fillId="3" borderId="0" xfId="0" applyFont="1" applyFill="1" applyAlignment="1">
      <alignment horizontal="center" vertical="top"/>
    </xf>
    <xf numFmtId="0" fontId="37" fillId="3" borderId="0" xfId="0" applyFont="1" applyFill="1" applyAlignment="1">
      <alignment horizontal="right" vertical="top"/>
    </xf>
    <xf numFmtId="9" fontId="37" fillId="3" borderId="0" xfId="0" applyNumberFormat="1" applyFont="1" applyFill="1" applyAlignment="1">
      <alignment horizontal="center" vertical="top"/>
    </xf>
    <xf numFmtId="0" fontId="24" fillId="3" borderId="0" xfId="0" applyFont="1" applyFill="1" applyAlignment="1">
      <alignment horizontal="right" vertical="top"/>
    </xf>
    <xf numFmtId="9" fontId="37" fillId="3" borderId="0" xfId="0" applyNumberFormat="1" applyFont="1" applyFill="1" applyAlignment="1">
      <alignment horizontal="right" vertical="top"/>
    </xf>
    <xf numFmtId="0" fontId="41" fillId="3" borderId="0" xfId="0" applyFont="1" applyFill="1" applyAlignment="1">
      <alignment vertical="top" wrapText="1"/>
    </xf>
    <xf numFmtId="0" fontId="21" fillId="0" borderId="0" xfId="0" applyFont="1" applyAlignment="1">
      <alignment vertical="top"/>
    </xf>
    <xf numFmtId="9" fontId="20" fillId="0" borderId="0" xfId="0" applyNumberFormat="1" applyFont="1" applyAlignment="1">
      <alignment horizontal="left" vertical="top"/>
    </xf>
    <xf numFmtId="172" fontId="20" fillId="0" borderId="0" xfId="0" applyNumberFormat="1" applyFont="1" applyAlignment="1">
      <alignment horizontal="left" vertical="top"/>
    </xf>
    <xf numFmtId="172" fontId="20" fillId="0" borderId="17" xfId="3" applyNumberFormat="1" applyFont="1" applyBorder="1" applyAlignment="1">
      <alignment horizontal="left" vertical="top"/>
    </xf>
    <xf numFmtId="172" fontId="22" fillId="11" borderId="0" xfId="2" applyNumberFormat="1" applyFont="1" applyFill="1" applyAlignment="1">
      <alignment horizontal="left" vertical="top"/>
    </xf>
    <xf numFmtId="0" fontId="42" fillId="0" borderId="2" xfId="0" applyFont="1" applyBorder="1" applyAlignment="1">
      <alignment horizontal="center"/>
    </xf>
    <xf numFmtId="0" fontId="35" fillId="0" borderId="0" xfId="0" applyFont="1" applyAlignment="1">
      <alignment horizontal="left" vertical="top"/>
    </xf>
    <xf numFmtId="0" fontId="43" fillId="13" borderId="1" xfId="0" applyFont="1" applyFill="1" applyBorder="1" applyAlignment="1">
      <alignment horizontal="center" vertical="top"/>
    </xf>
    <xf numFmtId="0" fontId="44" fillId="12" borderId="1" xfId="0" applyFont="1" applyFill="1" applyBorder="1" applyAlignment="1">
      <alignment horizontal="center" vertical="top"/>
    </xf>
    <xf numFmtId="0" fontId="32" fillId="0" borderId="0" xfId="0" applyFont="1" applyAlignment="1">
      <alignment horizontal="left" vertical="top"/>
    </xf>
    <xf numFmtId="6" fontId="33" fillId="0" borderId="0" xfId="0" applyNumberFormat="1" applyFont="1" applyAlignment="1">
      <alignment horizontal="left" vertical="top"/>
    </xf>
    <xf numFmtId="0" fontId="20" fillId="0" borderId="0" xfId="0" applyFont="1"/>
    <xf numFmtId="9" fontId="33" fillId="0" borderId="0" xfId="0" applyNumberFormat="1" applyFont="1" applyAlignment="1">
      <alignment horizontal="left" vertical="top"/>
    </xf>
    <xf numFmtId="6" fontId="33" fillId="11" borderId="0" xfId="0" applyNumberFormat="1" applyFont="1" applyFill="1" applyAlignment="1">
      <alignment horizontal="left" vertical="top"/>
    </xf>
    <xf numFmtId="14" fontId="20" fillId="0" borderId="0" xfId="0" applyNumberFormat="1" applyFont="1"/>
    <xf numFmtId="0" fontId="32" fillId="0" borderId="17" xfId="0" applyFont="1" applyBorder="1" applyAlignment="1">
      <alignment horizontal="left" vertical="top"/>
    </xf>
    <xf numFmtId="6" fontId="33" fillId="0" borderId="17" xfId="0" applyNumberFormat="1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45" fillId="0" borderId="0" xfId="0" applyFont="1" applyAlignment="1">
      <alignment horizontal="left" vertical="top"/>
    </xf>
    <xf numFmtId="0" fontId="22" fillId="0" borderId="0" xfId="0" applyFont="1"/>
    <xf numFmtId="0" fontId="20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top"/>
    </xf>
    <xf numFmtId="164" fontId="33" fillId="0" borderId="1" xfId="3" applyNumberFormat="1" applyFont="1" applyBorder="1" applyAlignment="1">
      <alignment horizontal="center" vertical="center"/>
    </xf>
    <xf numFmtId="164" fontId="33" fillId="10" borderId="1" xfId="3" applyNumberFormat="1" applyFont="1" applyFill="1" applyBorder="1" applyAlignment="1">
      <alignment horizontal="center" vertical="center"/>
    </xf>
    <xf numFmtId="9" fontId="20" fillId="0" borderId="0" xfId="3" applyFont="1" applyAlignment="1">
      <alignment horizontal="center" vertical="center"/>
    </xf>
    <xf numFmtId="0" fontId="20" fillId="0" borderId="0" xfId="0" applyFont="1" applyAlignment="1">
      <alignment horizontal="center"/>
    </xf>
    <xf numFmtId="14" fontId="33" fillId="0" borderId="0" xfId="0" applyNumberFormat="1" applyFont="1" applyAlignment="1">
      <alignment horizontal="center" vertical="top"/>
    </xf>
    <xf numFmtId="14" fontId="33" fillId="0" borderId="0" xfId="0" applyNumberFormat="1" applyFont="1" applyAlignment="1">
      <alignment horizontal="left" vertical="top"/>
    </xf>
    <xf numFmtId="14" fontId="33" fillId="0" borderId="1" xfId="0" applyNumberFormat="1" applyFont="1" applyBorder="1" applyAlignment="1">
      <alignment horizontal="center"/>
    </xf>
    <xf numFmtId="14" fontId="33" fillId="10" borderId="1" xfId="0" applyNumberFormat="1" applyFont="1" applyFill="1" applyBorder="1" applyAlignment="1">
      <alignment horizontal="center"/>
    </xf>
    <xf numFmtId="14" fontId="20" fillId="0" borderId="0" xfId="0" applyNumberFormat="1" applyFont="1" applyAlignment="1">
      <alignment horizontal="center"/>
    </xf>
    <xf numFmtId="6" fontId="20" fillId="0" borderId="0" xfId="0" applyNumberFormat="1" applyFont="1" applyAlignment="1">
      <alignment horizontal="center"/>
    </xf>
    <xf numFmtId="0" fontId="36" fillId="0" borderId="0" xfId="0" applyFont="1"/>
    <xf numFmtId="172" fontId="32" fillId="0" borderId="1" xfId="0" applyNumberFormat="1" applyFont="1" applyBorder="1" applyAlignment="1">
      <alignment horizontal="center" vertical="center"/>
    </xf>
    <xf numFmtId="172" fontId="32" fillId="10" borderId="1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left" vertical="top"/>
    </xf>
    <xf numFmtId="0" fontId="32" fillId="0" borderId="0" xfId="0" applyFont="1" applyAlignment="1">
      <alignment horizontal="right" vertical="center"/>
    </xf>
    <xf numFmtId="167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164" fontId="32" fillId="11" borderId="1" xfId="0" applyNumberFormat="1" applyFont="1" applyFill="1" applyBorder="1" applyAlignment="1">
      <alignment horizontal="center" vertical="top"/>
    </xf>
    <xf numFmtId="0" fontId="22" fillId="10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top"/>
    </xf>
    <xf numFmtId="10" fontId="33" fillId="3" borderId="7" xfId="0" applyNumberFormat="1" applyFont="1" applyFill="1" applyBorder="1" applyAlignment="1">
      <alignment horizontal="center" vertical="top"/>
    </xf>
    <xf numFmtId="0" fontId="33" fillId="0" borderId="0" xfId="0" applyFont="1" applyAlignment="1">
      <alignment horizontal="right" vertical="top"/>
    </xf>
    <xf numFmtId="172" fontId="33" fillId="3" borderId="3" xfId="0" applyNumberFormat="1" applyFont="1" applyFill="1" applyBorder="1" applyAlignment="1">
      <alignment horizontal="center" vertical="top"/>
    </xf>
    <xf numFmtId="6" fontId="32" fillId="4" borderId="10" xfId="0" applyNumberFormat="1" applyFont="1" applyFill="1" applyBorder="1" applyAlignment="1">
      <alignment horizontal="center" vertical="top"/>
    </xf>
    <xf numFmtId="6" fontId="47" fillId="3" borderId="0" xfId="0" applyNumberFormat="1" applyFont="1" applyFill="1" applyAlignment="1">
      <alignment horizontal="center" vertical="top"/>
    </xf>
    <xf numFmtId="9" fontId="47" fillId="3" borderId="0" xfId="0" applyNumberFormat="1" applyFont="1" applyFill="1" applyAlignment="1">
      <alignment horizontal="center" vertical="top"/>
    </xf>
    <xf numFmtId="6" fontId="37" fillId="3" borderId="0" xfId="0" applyNumberFormat="1" applyFont="1" applyFill="1" applyAlignment="1">
      <alignment horizontal="center" vertical="top"/>
    </xf>
    <xf numFmtId="0" fontId="46" fillId="0" borderId="0" xfId="0" applyFont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0" fontId="3" fillId="4" borderId="0" xfId="0" applyFont="1" applyFill="1"/>
    <xf numFmtId="0" fontId="0" fillId="4" borderId="0" xfId="0" applyFill="1"/>
    <xf numFmtId="0" fontId="35" fillId="3" borderId="23" xfId="0" applyFont="1" applyFill="1" applyBorder="1" applyAlignment="1">
      <alignment horizontal="center" vertical="top"/>
    </xf>
    <xf numFmtId="0" fontId="46" fillId="0" borderId="4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9" fontId="22" fillId="3" borderId="1" xfId="0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top"/>
    </xf>
    <xf numFmtId="0" fontId="28" fillId="0" borderId="2" xfId="0" applyFont="1" applyBorder="1" applyAlignment="1">
      <alignment horizontal="center" vertical="top" wrapText="1"/>
    </xf>
    <xf numFmtId="0" fontId="22" fillId="0" borderId="0" xfId="0" applyFont="1" applyAlignment="1">
      <alignment horizontal="center" vertical="top"/>
    </xf>
    <xf numFmtId="0" fontId="38" fillId="3" borderId="0" xfId="0" applyFont="1" applyFill="1" applyAlignment="1">
      <alignment horizontal="center" vertical="top" wrapText="1"/>
    </xf>
    <xf numFmtId="0" fontId="36" fillId="0" borderId="0" xfId="0" applyFont="1" applyAlignment="1">
      <alignment horizontal="right" vertical="top" wrapText="1"/>
    </xf>
    <xf numFmtId="0" fontId="24" fillId="3" borderId="0" xfId="0" applyFont="1" applyFill="1" applyAlignment="1">
      <alignment horizontal="center" vertical="top"/>
    </xf>
    <xf numFmtId="0" fontId="24" fillId="3" borderId="0" xfId="0" applyFont="1" applyFill="1" applyAlignment="1">
      <alignment horizontal="center" vertical="top" wrapText="1"/>
    </xf>
    <xf numFmtId="0" fontId="25" fillId="3" borderId="0" xfId="0" applyFont="1" applyFill="1" applyAlignment="1">
      <alignment horizontal="center" vertical="top" wrapText="1"/>
    </xf>
    <xf numFmtId="0" fontId="36" fillId="0" borderId="0" xfId="0" applyFont="1" applyAlignment="1">
      <alignment horizontal="right" vertical="top"/>
    </xf>
    <xf numFmtId="0" fontId="36" fillId="0" borderId="22" xfId="0" applyFont="1" applyBorder="1" applyAlignment="1">
      <alignment horizontal="right" vertical="top"/>
    </xf>
    <xf numFmtId="0" fontId="36" fillId="0" borderId="20" xfId="0" applyFont="1" applyBorder="1" applyAlignment="1">
      <alignment horizontal="right" vertical="top" wrapText="1"/>
    </xf>
    <xf numFmtId="0" fontId="31" fillId="9" borderId="2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FFE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Revenue Forecast $M (2025 - 2033)</a:t>
            </a:r>
          </a:p>
        </c:rich>
      </c:tx>
      <c:layout>
        <c:manualLayout>
          <c:xMode val="edge"/>
          <c:yMode val="edge"/>
          <c:x val="0.16085607276618513"/>
          <c:y val="2.5316455696202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'Income Statement'!$C$30</c:f>
              <c:strCache>
                <c:ptCount val="1"/>
                <c:pt idx="0">
                  <c:v>Aggressive (+X% over Regression)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B8-43E0-A33B-4CABBFC148F1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B8-43E0-A33B-4CABBFC148F1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B8-43E0-A33B-4CABBFC148F1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EB8-43E0-A33B-4CABBFC148F1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EB8-43E0-A33B-4CABBFC148F1}"/>
              </c:ext>
            </c:extLst>
          </c:dPt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EB8-43E0-A33B-4CABBFC148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Statement'!$D$29:$O$29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Statement'!$D$30:$O$30</c:f>
              <c:numCache>
                <c:formatCode>_(* #,##0.0_);_(* \(#,##0.0\);_(* "-"??_);_(@_)</c:formatCode>
                <c:ptCount val="12"/>
                <c:pt idx="0">
                  <c:v>50.265316669999997</c:v>
                </c:pt>
                <c:pt idx="1">
                  <c:v>62.402645829999997</c:v>
                </c:pt>
                <c:pt idx="2">
                  <c:v>61.988811160000004</c:v>
                </c:pt>
                <c:pt idx="3">
                  <c:v>71.936172209999995</c:v>
                </c:pt>
                <c:pt idx="4">
                  <c:v>79.471700345054188</c:v>
                </c:pt>
                <c:pt idx="5">
                  <c:v>87.152895072693283</c:v>
                </c:pt>
                <c:pt idx="6">
                  <c:v>94.97191520747343</c:v>
                </c:pt>
                <c:pt idx="7" formatCode="&quot;$&quot;#,##0.0_);[Red]\(&quot;$&quot;#,##0.0\)">
                  <c:v>103.28195778812734</c:v>
                </c:pt>
                <c:pt idx="8" formatCode="&quot;$&quot;#,##0.0_);[Red]\(&quot;$&quot;#,##0.0\)">
                  <c:v>112.44823154182366</c:v>
                </c:pt>
                <c:pt idx="9" formatCode="&quot;$&quot;#,##0.0_);[Red]\(&quot;$&quot;#,##0.0\)">
                  <c:v>122.70913267001507</c:v>
                </c:pt>
                <c:pt idx="10" formatCode="&quot;$&quot;#,##0.0_);[Red]\(&quot;$&quot;#,##0.0\)">
                  <c:v>134.21311385782897</c:v>
                </c:pt>
                <c:pt idx="11" formatCode="&quot;$&quot;#,##0.0_);[Red]\(&quot;$&quot;#,##0.0\)">
                  <c:v>147.29889245896729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B8-43E0-A33B-4CABBFC148F1}"/>
            </c:ext>
          </c:extLst>
        </c:ser>
        <c:ser>
          <c:idx val="1"/>
          <c:order val="1"/>
          <c:tx>
            <c:strRef>
              <c:f>'Income Statement'!$C$31</c:f>
              <c:strCache>
                <c:ptCount val="1"/>
                <c:pt idx="0">
                  <c:v>Linear Regression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EB8-43E0-A33B-4CABBFC148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Statement'!$D$29:$O$29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Statement'!$D$31:$O$31</c:f>
              <c:numCache>
                <c:formatCode>_(* #,##0.0_);_(* \(#,##0.0\);_(* "-"??_);_(@_)</c:formatCode>
                <c:ptCount val="12"/>
                <c:pt idx="0">
                  <c:v>50.265316669999997</c:v>
                </c:pt>
                <c:pt idx="1">
                  <c:v>62.402645829999997</c:v>
                </c:pt>
                <c:pt idx="2">
                  <c:v>61.988811160000004</c:v>
                </c:pt>
                <c:pt idx="3">
                  <c:v>69.946700000000007</c:v>
                </c:pt>
                <c:pt idx="4">
                  <c:v>75.808400000000006</c:v>
                </c:pt>
                <c:pt idx="5">
                  <c:v>81.670100000000005</c:v>
                </c:pt>
                <c:pt idx="6">
                  <c:v>87.531800000000004</c:v>
                </c:pt>
                <c:pt idx="7" formatCode="&quot;$&quot;#,##0.0_);[Red]\(&quot;$&quot;#,##0.0\)">
                  <c:v>93.659025999999997</c:v>
                </c:pt>
                <c:pt idx="8" formatCode="&quot;$&quot;#,##0.0_);[Red]\(&quot;$&quot;#,##0.0\)">
                  <c:v>100.308816846</c:v>
                </c:pt>
                <c:pt idx="9" formatCode="&quot;$&quot;#,##0.0_);[Red]\(&quot;$&quot;#,##0.0\)">
                  <c:v>107.631360475758</c:v>
                </c:pt>
                <c:pt idx="10" formatCode="&quot;$&quot;#,##0.0_);[Red]\(&quot;$&quot;#,##0.0\)">
                  <c:v>115.70371251143985</c:v>
                </c:pt>
                <c:pt idx="11" formatCode="&quot;$&quot;#,##0.0_);[Red]\(&quot;$&quot;#,##0.0\)">
                  <c:v>124.72860208733216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B8-43E0-A33B-4CABBFC148F1}"/>
            </c:ext>
          </c:extLst>
        </c:ser>
        <c:ser>
          <c:idx val="2"/>
          <c:order val="2"/>
          <c:tx>
            <c:strRef>
              <c:f>'Income Statement'!$C$32</c:f>
              <c:strCache>
                <c:ptCount val="1"/>
                <c:pt idx="0">
                  <c:v>Base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EB8-43E0-A33B-4CABBFC148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Statement'!$D$29:$O$29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Statement'!$D$32:$O$32</c:f>
              <c:numCache>
                <c:formatCode>_(* #,##0.0_);_(* \(#,##0.0\);_(* "-"??_);_(@_)</c:formatCode>
                <c:ptCount val="12"/>
                <c:pt idx="0">
                  <c:v>50.265316669999997</c:v>
                </c:pt>
                <c:pt idx="1">
                  <c:v>62.402645829999997</c:v>
                </c:pt>
                <c:pt idx="2">
                  <c:v>61.988811160000004</c:v>
                </c:pt>
                <c:pt idx="3">
                  <c:v>68</c:v>
                </c:pt>
                <c:pt idx="4">
                  <c:v>72.273921428745027</c:v>
                </c:pt>
                <c:pt idx="5">
                  <c:v>76.465225214725962</c:v>
                </c:pt>
                <c:pt idx="6">
                  <c:v>80.581323492808991</c:v>
                </c:pt>
                <c:pt idx="7" formatCode="&quot;$&quot;#,##0.0_);[Red]\(&quot;$&quot;#,##0.0\)">
                  <c:v>84.811842976181467</c:v>
                </c:pt>
                <c:pt idx="8" formatCode="&quot;$&quot;#,##0.0_);[Red]\(&quot;$&quot;#,##0.0\)">
                  <c:v>89.328073614663126</c:v>
                </c:pt>
                <c:pt idx="9" formatCode="&quot;$&quot;#,##0.0_);[Red]\(&quot;$&quot;#,##0.0\)">
                  <c:v>94.218785645065935</c:v>
                </c:pt>
                <c:pt idx="10" formatCode="&quot;$&quot;#,##0.0_);[Red]\(&quot;$&quot;#,##0.0\)">
                  <c:v>99.518592337600893</c:v>
                </c:pt>
                <c:pt idx="11" formatCode="&quot;$&quot;#,##0.0_);[Red]\(&quot;$&quot;#,##0.0\)">
                  <c:v>105.34042998935054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EB8-43E0-A33B-4CABBFC148F1}"/>
            </c:ext>
          </c:extLst>
        </c:ser>
        <c:ser>
          <c:idx val="3"/>
          <c:order val="3"/>
          <c:tx>
            <c:strRef>
              <c:f>'Income Statement'!$C$33</c:f>
              <c:strCache>
                <c:ptCount val="1"/>
                <c:pt idx="0">
                  <c:v>Conservative (-25%)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9EB8-43E0-A33B-4CABBFC148F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9EB8-43E0-A33B-4CABBFC148F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9EB8-43E0-A33B-4CABBFC148F1}"/>
              </c:ext>
            </c:extLst>
          </c:dPt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EB8-43E0-A33B-4CABBFC148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Statement'!$D$29:$O$29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Statement'!$D$33:$O$33</c:f>
              <c:numCache>
                <c:formatCode>_(* #,##0.0_);_(* \(#,##0.0\);_(* "-"??_);_(@_)</c:formatCode>
                <c:ptCount val="12"/>
                <c:pt idx="0">
                  <c:v>50.265316669999997</c:v>
                </c:pt>
                <c:pt idx="1">
                  <c:v>62.402645829999997</c:v>
                </c:pt>
                <c:pt idx="2">
                  <c:v>61.988811160000004</c:v>
                </c:pt>
                <c:pt idx="3">
                  <c:v>66.497202790000003</c:v>
                </c:pt>
                <c:pt idx="4">
                  <c:v>69.631803745394691</c:v>
                </c:pt>
                <c:pt idx="5">
                  <c:v>72.660365468212859</c:v>
                </c:pt>
                <c:pt idx="6">
                  <c:v>75.593828402004732</c:v>
                </c:pt>
                <c:pt idx="7" formatCode="&quot;$&quot;#,##0.0_);[Red]\(&quot;$&quot;#,##0.0\)">
                  <c:v>78.570335395333657</c:v>
                </c:pt>
                <c:pt idx="8" formatCode="&quot;$&quot;#,##0.0_);[Red]\(&quot;$&quot;#,##0.0\)">
                  <c:v>81.708238165184795</c:v>
                </c:pt>
                <c:pt idx="9" formatCode="&quot;$&quot;#,##0.0_);[Red]\(&quot;$&quot;#,##0.0\)">
                  <c:v>85.063382694842701</c:v>
                </c:pt>
                <c:pt idx="10" formatCode="&quot;$&quot;#,##0.0_);[Red]\(&quot;$&quot;#,##0.0\)">
                  <c:v>88.651994152281375</c:v>
                </c:pt>
                <c:pt idx="11" formatCode="&quot;$&quot;#,##0.0_);[Red]\(&quot;$&quot;#,##0.0\)">
                  <c:v>92.541600395712706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EB8-43E0-A33B-4CABBFC148F1}"/>
            </c:ext>
          </c:extLst>
        </c:ser>
        <c:ser>
          <c:idx val="4"/>
          <c:order val="4"/>
          <c:tx>
            <c:strRef>
              <c:f>'Income Statement'!$C$34</c:f>
              <c:strCache>
                <c:ptCount val="1"/>
                <c:pt idx="0">
                  <c:v>Custom - 10% growth per year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EB8-43E0-A33B-4CABBFC148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Statement'!$D$29:$O$29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Statement'!$D$34:$O$34</c:f>
              <c:numCache>
                <c:formatCode>_(* #,##0.0_);_(* \(#,##0.0\);_(* "-"??_);_(@_)</c:formatCode>
                <c:ptCount val="12"/>
                <c:pt idx="0">
                  <c:v>50.265316669999997</c:v>
                </c:pt>
                <c:pt idx="1">
                  <c:v>62.402645829999997</c:v>
                </c:pt>
                <c:pt idx="2">
                  <c:v>61.988811160000004</c:v>
                </c:pt>
                <c:pt idx="3" formatCode="_(* #,##0.0000_);_(* \(#,##0.0000\);_(* &quot;-&quot;??_);_(@_)">
                  <c:v>65.708139829600015</c:v>
                </c:pt>
                <c:pt idx="4">
                  <c:v>69.650628219376017</c:v>
                </c:pt>
                <c:pt idx="5">
                  <c:v>73.829665912538587</c:v>
                </c:pt>
                <c:pt idx="6">
                  <c:v>78.259445867290907</c:v>
                </c:pt>
                <c:pt idx="7">
                  <c:v>82.955012619328372</c:v>
                </c:pt>
                <c:pt idx="8">
                  <c:v>87.932313376488082</c:v>
                </c:pt>
                <c:pt idx="9">
                  <c:v>93.208252179077377</c:v>
                </c:pt>
                <c:pt idx="10">
                  <c:v>98.800747309822029</c:v>
                </c:pt>
                <c:pt idx="11">
                  <c:v>104.72879214841136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EB8-43E0-A33B-4CABBFC148F1}"/>
            </c:ext>
          </c:extLst>
        </c:ser>
        <c:ser>
          <c:idx val="5"/>
          <c:order val="5"/>
          <c:tx>
            <c:strRef>
              <c:f>'Income Statement'!$C$35</c:f>
              <c:strCache>
                <c:ptCount val="1"/>
                <c:pt idx="0">
                  <c:v>Custom - Random Growth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'Income Statement'!$D$29:$O$29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Statement'!$D$35:$O$35</c:f>
              <c:numCache>
                <c:formatCode>_(* #,##0.0_);_(* \(#,##0.0\);_(* "-"??_);_(@_)</c:formatCode>
                <c:ptCount val="12"/>
                <c:pt idx="0">
                  <c:v>50.265316669999997</c:v>
                </c:pt>
                <c:pt idx="1">
                  <c:v>62.402645829999997</c:v>
                </c:pt>
                <c:pt idx="2">
                  <c:v>61.988811160000004</c:v>
                </c:pt>
                <c:pt idx="3" formatCode="_(* #,##0.00_);_(* \(#,##0.00\);_(* &quot;-&quot;??_);_(@_)">
                  <c:v>65.088251718000009</c:v>
                </c:pt>
                <c:pt idx="4" formatCode="_(* #,##0.00_);_(* \(#,##0.00\);_(* &quot;-&quot;??_);_(@_)">
                  <c:v>62.484721649280004</c:v>
                </c:pt>
                <c:pt idx="5" formatCode="_(* #,##0.00_);_(* \(#,##0.00\);_(* &quot;-&quot;??_);_(@_)">
                  <c:v>69.982888247193614</c:v>
                </c:pt>
                <c:pt idx="6" formatCode="_(* #,##0.00_);_(* \(#,##0.00\);_(* &quot;-&quot;??_);_(@_)">
                  <c:v>70.682717129665548</c:v>
                </c:pt>
                <c:pt idx="7" formatCode="_(* #,##0.00_);_(* \(#,##0.00\);_(* &quot;-&quot;??_);_(@_)">
                  <c:v>81.285124699115372</c:v>
                </c:pt>
                <c:pt idx="8" formatCode="_(* #,##0.00_);_(* \(#,##0.00\);_(* &quot;-&quot;??_);_(@_)">
                  <c:v>80.472273452124213</c:v>
                </c:pt>
                <c:pt idx="9" formatCode="_(* #,##0.00_);_(* \(#,##0.00\);_(* &quot;-&quot;??_);_(@_)">
                  <c:v>89.324223531857882</c:v>
                </c:pt>
                <c:pt idx="10" formatCode="_(* #,##0.00_);_(* \(#,##0.00\);_(* &quot;-&quot;??_);_(@_)">
                  <c:v>84.858012355264989</c:v>
                </c:pt>
                <c:pt idx="11" formatCode="_(* #,##0.00_);_(* \(#,##0.00\);_(* &quot;-&quot;??_);_(@_)">
                  <c:v>86.555172602370291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EB8-43E0-A33B-4CABBFC14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574991"/>
        <c:axId val="435575471"/>
      </c:lineChart>
      <c:catAx>
        <c:axId val="43557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75471"/>
        <c:crosses val="autoZero"/>
        <c:auto val="1"/>
        <c:lblAlgn val="ctr"/>
        <c:lblOffset val="100"/>
        <c:noMultiLvlLbl val="0"/>
      </c:catAx>
      <c:valAx>
        <c:axId val="435575471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7499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833415781536115E-2"/>
          <c:y val="0.12816405860659821"/>
          <c:w val="0.83524748663669512"/>
          <c:h val="6.8038473038971384E-2"/>
        </c:manualLayout>
      </c:layout>
      <c:overlay val="0"/>
      <c:spPr>
        <a:solidFill>
          <a:schemeClr val="bg1"/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EBITDA Forecast $M (2025 - 2033)</a:t>
            </a:r>
          </a:p>
        </c:rich>
      </c:tx>
      <c:layout>
        <c:manualLayout>
          <c:xMode val="edge"/>
          <c:yMode val="edge"/>
          <c:x val="0.16085607276618513"/>
          <c:y val="2.5316455696202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'Income Statement'!$C$76</c:f>
              <c:strCache>
                <c:ptCount val="1"/>
                <c:pt idx="0">
                  <c:v>Aggressive (+10%)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C8D-4C21-AE13-1A8C1AB8A399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C8D-4C21-AE13-1A8C1AB8A399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C8D-4C21-AE13-1A8C1AB8A399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C8D-4C21-AE13-1A8C1AB8A399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C8D-4C21-AE13-1A8C1AB8A399}"/>
              </c:ext>
            </c:extLst>
          </c:dPt>
          <c:cat>
            <c:numRef>
              <c:f>'Income Statement'!$D$75:$O$75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Statement'!$D$76:$O$76</c:f>
              <c:numCache>
                <c:formatCode>_(* #,##0.0_);_(* \(#,##0.0\);_(* "-"??_);_(@_)</c:formatCode>
                <c:ptCount val="12"/>
                <c:pt idx="0">
                  <c:v>3.31805516699999</c:v>
                </c:pt>
                <c:pt idx="1">
                  <c:v>12.162553177199996</c:v>
                </c:pt>
                <c:pt idx="2">
                  <c:v>12.265799578099999</c:v>
                </c:pt>
                <c:pt idx="3">
                  <c:v>14.243362097579999</c:v>
                </c:pt>
                <c:pt idx="4">
                  <c:v>15.73539666832073</c:v>
                </c:pt>
                <c:pt idx="5">
                  <c:v>17.256273224393272</c:v>
                </c:pt>
                <c:pt idx="6">
                  <c:v>18.804439211079739</c:v>
                </c:pt>
                <c:pt idx="7">
                  <c:v>20.449827642049215</c:v>
                </c:pt>
                <c:pt idx="8">
                  <c:v>22.264749845281084</c:v>
                </c:pt>
                <c:pt idx="9">
                  <c:v>24.296408268662987</c:v>
                </c:pt>
                <c:pt idx="10">
                  <c:v>26.574196543850139</c:v>
                </c:pt>
                <c:pt idx="11">
                  <c:v>29.165180706875525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8D-4C21-AE13-1A8C1AB8A399}"/>
            </c:ext>
          </c:extLst>
        </c:ser>
        <c:ser>
          <c:idx val="1"/>
          <c:order val="1"/>
          <c:tx>
            <c:strRef>
              <c:f>'Income Statement'!$C$77</c:f>
              <c:strCache>
                <c:ptCount val="1"/>
                <c:pt idx="0">
                  <c:v>Linear Regression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'Income Statement'!$D$75:$O$75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Statement'!$D$77:$O$77</c:f>
              <c:numCache>
                <c:formatCode>_(* #,##0.0_);_(* \(#,##0.0\);_(* "-"??_);_(@_)</c:formatCode>
                <c:ptCount val="12"/>
                <c:pt idx="0">
                  <c:v>3.31805516699999</c:v>
                </c:pt>
                <c:pt idx="1">
                  <c:v>12.162553177199996</c:v>
                </c:pt>
                <c:pt idx="2">
                  <c:v>12.265799578099999</c:v>
                </c:pt>
                <c:pt idx="3">
                  <c:v>13.849446600000002</c:v>
                </c:pt>
                <c:pt idx="4">
                  <c:v>15.010063200000001</c:v>
                </c:pt>
                <c:pt idx="5">
                  <c:v>16.170679800000002</c:v>
                </c:pt>
                <c:pt idx="6">
                  <c:v>17.331296400000003</c:v>
                </c:pt>
                <c:pt idx="7">
                  <c:v>18.544487148000002</c:v>
                </c:pt>
                <c:pt idx="8">
                  <c:v>19.861145735508003</c:v>
                </c:pt>
                <c:pt idx="9">
                  <c:v>21.311009374200086</c:v>
                </c:pt>
                <c:pt idx="10">
                  <c:v>22.909335077265091</c:v>
                </c:pt>
                <c:pt idx="11">
                  <c:v>24.696263213291768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8D-4C21-AE13-1A8C1AB8A399}"/>
            </c:ext>
          </c:extLst>
        </c:ser>
        <c:ser>
          <c:idx val="2"/>
          <c:order val="2"/>
          <c:tx>
            <c:strRef>
              <c:f>'Income Statement'!$C$78</c:f>
              <c:strCache>
                <c:ptCount val="1"/>
                <c:pt idx="0">
                  <c:v>Base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'Income Statement'!$D$75:$O$75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Statement'!$D$78:$O$78</c:f>
              <c:numCache>
                <c:formatCode>_(* #,##0.0_);_(* \(#,##0.0\);_(* "-"??_);_(@_)</c:formatCode>
                <c:ptCount val="12"/>
                <c:pt idx="0">
                  <c:v>3.31805516699999</c:v>
                </c:pt>
                <c:pt idx="1">
                  <c:v>12.162553177199996</c:v>
                </c:pt>
                <c:pt idx="2">
                  <c:v>12.265799578099999</c:v>
                </c:pt>
                <c:pt idx="3">
                  <c:v>13.464</c:v>
                </c:pt>
                <c:pt idx="4">
                  <c:v>14.310236442891517</c:v>
                </c:pt>
                <c:pt idx="5">
                  <c:v>15.14011459251574</c:v>
                </c:pt>
                <c:pt idx="6">
                  <c:v>15.955102051576182</c:v>
                </c:pt>
                <c:pt idx="7">
                  <c:v>16.792744909283929</c:v>
                </c:pt>
                <c:pt idx="8">
                  <c:v>17.686958575703301</c:v>
                </c:pt>
                <c:pt idx="9">
                  <c:v>18.655319557723057</c:v>
                </c:pt>
                <c:pt idx="10">
                  <c:v>19.704681282844977</c:v>
                </c:pt>
                <c:pt idx="11">
                  <c:v>20.857405137891408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C8D-4C21-AE13-1A8C1AB8A399}"/>
            </c:ext>
          </c:extLst>
        </c:ser>
        <c:ser>
          <c:idx val="3"/>
          <c:order val="3"/>
          <c:tx>
            <c:strRef>
              <c:f>'Income Statement'!$C$79</c:f>
              <c:strCache>
                <c:ptCount val="1"/>
                <c:pt idx="0">
                  <c:v>Conservative (-25%)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7C8D-4C21-AE13-1A8C1AB8A399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7C8D-4C21-AE13-1A8C1AB8A399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7C8D-4C21-AE13-1A8C1AB8A399}"/>
              </c:ext>
            </c:extLst>
          </c:dPt>
          <c:cat>
            <c:numRef>
              <c:f>'Income Statement'!$D$75:$O$75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Statement'!$D$79:$O$79</c:f>
              <c:numCache>
                <c:formatCode>_(* #,##0.0_);_(* \(#,##0.0\);_(* "-"??_);_(@_)</c:formatCode>
                <c:ptCount val="12"/>
                <c:pt idx="0">
                  <c:v>3.31805516699999</c:v>
                </c:pt>
                <c:pt idx="1">
                  <c:v>12.162553177199996</c:v>
                </c:pt>
                <c:pt idx="2">
                  <c:v>12.265799578099999</c:v>
                </c:pt>
                <c:pt idx="3">
                  <c:v>13.166446152420001</c:v>
                </c:pt>
                <c:pt idx="4">
                  <c:v>13.78709714158815</c:v>
                </c:pt>
                <c:pt idx="5">
                  <c:v>14.386752362706147</c:v>
                </c:pt>
                <c:pt idx="6">
                  <c:v>14.967578023596939</c:v>
                </c:pt>
                <c:pt idx="7">
                  <c:v>15.556926408276066</c:v>
                </c:pt>
                <c:pt idx="8">
                  <c:v>16.178231156706591</c:v>
                </c:pt>
                <c:pt idx="9">
                  <c:v>16.842549773578856</c:v>
                </c:pt>
                <c:pt idx="10">
                  <c:v>17.553094842151712</c:v>
                </c:pt>
                <c:pt idx="11">
                  <c:v>18.323236878351114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C8D-4C21-AE13-1A8C1AB8A399}"/>
            </c:ext>
          </c:extLst>
        </c:ser>
        <c:ser>
          <c:idx val="4"/>
          <c:order val="4"/>
          <c:tx>
            <c:strRef>
              <c:f>'Income Statement'!$C$80</c:f>
              <c:strCache>
                <c:ptCount val="1"/>
                <c:pt idx="0">
                  <c:v>Custom - 10% growth per year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'Income Statement'!$D$75:$O$75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Statement'!$D$80:$O$80</c:f>
              <c:numCache>
                <c:formatCode>_(* #,##0.0_);_(* \(#,##0.0\);_(* "-"??_);_(@_)</c:formatCode>
                <c:ptCount val="12"/>
                <c:pt idx="0">
                  <c:v>3.31805516699999</c:v>
                </c:pt>
                <c:pt idx="1">
                  <c:v>12.162553177199996</c:v>
                </c:pt>
                <c:pt idx="2">
                  <c:v>12.265799578099999</c:v>
                </c:pt>
                <c:pt idx="3">
                  <c:v>13.010211686260803</c:v>
                </c:pt>
                <c:pt idx="4">
                  <c:v>13.790824387436452</c:v>
                </c:pt>
                <c:pt idx="5">
                  <c:v>14.618273850682641</c:v>
                </c:pt>
                <c:pt idx="6">
                  <c:v>15.495370281723602</c:v>
                </c:pt>
                <c:pt idx="7">
                  <c:v>16.425092498627016</c:v>
                </c:pt>
                <c:pt idx="8">
                  <c:v>17.410598048544642</c:v>
                </c:pt>
                <c:pt idx="9">
                  <c:v>18.455233931457322</c:v>
                </c:pt>
                <c:pt idx="10">
                  <c:v>19.562547967344759</c:v>
                </c:pt>
                <c:pt idx="11">
                  <c:v>20.73630084538545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C8D-4C21-AE13-1A8C1AB8A399}"/>
            </c:ext>
          </c:extLst>
        </c:ser>
        <c:ser>
          <c:idx val="5"/>
          <c:order val="5"/>
          <c:tx>
            <c:strRef>
              <c:f>'Income Statement'!$C$81</c:f>
              <c:strCache>
                <c:ptCount val="1"/>
                <c:pt idx="0">
                  <c:v>Custom - Random Growth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'Income Statement'!$D$75:$O$75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Statement'!$D$81:$O$81</c:f>
              <c:numCache>
                <c:formatCode>_(* #,##0.0_);_(* \(#,##0.0\);_(* "-"??_);_(@_)</c:formatCode>
                <c:ptCount val="12"/>
                <c:pt idx="0">
                  <c:v>3.31805516699999</c:v>
                </c:pt>
                <c:pt idx="1">
                  <c:v>12.162553177199996</c:v>
                </c:pt>
                <c:pt idx="2">
                  <c:v>12.265799578099999</c:v>
                </c:pt>
                <c:pt idx="3">
                  <c:v>12.887473840164002</c:v>
                </c:pt>
                <c:pt idx="4">
                  <c:v>12.371974886557441</c:v>
                </c:pt>
                <c:pt idx="5">
                  <c:v>13.856611872944338</c:v>
                </c:pt>
                <c:pt idx="6">
                  <c:v>13.995177991673781</c:v>
                </c:pt>
                <c:pt idx="7">
                  <c:v>16.094454690424843</c:v>
                </c:pt>
                <c:pt idx="8">
                  <c:v>15.933510143520593</c:v>
                </c:pt>
                <c:pt idx="9">
                  <c:v>17.686196259307863</c:v>
                </c:pt>
                <c:pt idx="10">
                  <c:v>16.801886446342468</c:v>
                </c:pt>
                <c:pt idx="11">
                  <c:v>17.137924175269315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C8D-4C21-AE13-1A8C1AB8A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574991"/>
        <c:axId val="435575471"/>
      </c:lineChart>
      <c:catAx>
        <c:axId val="43557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75471"/>
        <c:crosses val="autoZero"/>
        <c:auto val="1"/>
        <c:lblAlgn val="ctr"/>
        <c:lblOffset val="100"/>
        <c:noMultiLvlLbl val="0"/>
      </c:catAx>
      <c:valAx>
        <c:axId val="43557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7499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833415781536115E-2"/>
          <c:y val="0.12816405860659821"/>
          <c:w val="0.83524748663669512"/>
          <c:h val="6.8038473038971384E-2"/>
        </c:manualLayout>
      </c:layout>
      <c:overlay val="0"/>
      <c:spPr>
        <a:solidFill>
          <a:schemeClr val="bg1"/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Hogan Manufacturing Revenue Forecast $M (2025 - 2029)</a:t>
            </a:r>
          </a:p>
        </c:rich>
      </c:tx>
      <c:layout>
        <c:manualLayout>
          <c:xMode val="edge"/>
          <c:yMode val="edge"/>
          <c:x val="0.16085607276618513"/>
          <c:y val="2.5316455696202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'Income Statement'!$C$30</c:f>
              <c:strCache>
                <c:ptCount val="1"/>
                <c:pt idx="0">
                  <c:v>Aggressive (+X% over Regression)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23-4A60-B450-29690C31FEA1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723-4A60-B450-29690C31FEA1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723-4A60-B450-29690C31FEA1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723-4A60-B450-29690C31FEA1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723-4A60-B450-29690C31FEA1}"/>
              </c:ext>
            </c:extLst>
          </c:dPt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723-4A60-B450-29690C31FE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Statement'!$D$29:$O$29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Statement'!$D$30:$O$30</c:f>
              <c:numCache>
                <c:formatCode>_(* #,##0.0_);_(* \(#,##0.0\);_(* "-"??_);_(@_)</c:formatCode>
                <c:ptCount val="12"/>
                <c:pt idx="0">
                  <c:v>50.265316669999997</c:v>
                </c:pt>
                <c:pt idx="1">
                  <c:v>62.402645829999997</c:v>
                </c:pt>
                <c:pt idx="2">
                  <c:v>61.988811160000004</c:v>
                </c:pt>
                <c:pt idx="3">
                  <c:v>71.936172209999995</c:v>
                </c:pt>
                <c:pt idx="4">
                  <c:v>79.471700345054188</c:v>
                </c:pt>
                <c:pt idx="5">
                  <c:v>87.152895072693283</c:v>
                </c:pt>
                <c:pt idx="6">
                  <c:v>94.97191520747343</c:v>
                </c:pt>
                <c:pt idx="7" formatCode="&quot;$&quot;#,##0.0_);[Red]\(&quot;$&quot;#,##0.0\)">
                  <c:v>103.28195778812734</c:v>
                </c:pt>
                <c:pt idx="8" formatCode="&quot;$&quot;#,##0.0_);[Red]\(&quot;$&quot;#,##0.0\)">
                  <c:v>112.44823154182366</c:v>
                </c:pt>
                <c:pt idx="9" formatCode="&quot;$&quot;#,##0.0_);[Red]\(&quot;$&quot;#,##0.0\)">
                  <c:v>122.70913267001507</c:v>
                </c:pt>
                <c:pt idx="10" formatCode="&quot;$&quot;#,##0.0_);[Red]\(&quot;$&quot;#,##0.0\)">
                  <c:v>134.21311385782897</c:v>
                </c:pt>
                <c:pt idx="11" formatCode="&quot;$&quot;#,##0.0_);[Red]\(&quot;$&quot;#,##0.0\)">
                  <c:v>147.29889245896729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23-4A60-B450-29690C31FEA1}"/>
            </c:ext>
          </c:extLst>
        </c:ser>
        <c:ser>
          <c:idx val="1"/>
          <c:order val="1"/>
          <c:tx>
            <c:strRef>
              <c:f>'Income Statement'!$C$31</c:f>
              <c:strCache>
                <c:ptCount val="1"/>
                <c:pt idx="0">
                  <c:v>Linear Regression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723-4A60-B450-29690C31FE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Statement'!$D$29:$O$29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Statement'!$D$31:$O$31</c:f>
              <c:numCache>
                <c:formatCode>_(* #,##0.0_);_(* \(#,##0.0\);_(* "-"??_);_(@_)</c:formatCode>
                <c:ptCount val="12"/>
                <c:pt idx="0">
                  <c:v>50.265316669999997</c:v>
                </c:pt>
                <c:pt idx="1">
                  <c:v>62.402645829999997</c:v>
                </c:pt>
                <c:pt idx="2">
                  <c:v>61.988811160000004</c:v>
                </c:pt>
                <c:pt idx="3">
                  <c:v>69.946700000000007</c:v>
                </c:pt>
                <c:pt idx="4">
                  <c:v>75.808400000000006</c:v>
                </c:pt>
                <c:pt idx="5">
                  <c:v>81.670100000000005</c:v>
                </c:pt>
                <c:pt idx="6">
                  <c:v>87.531800000000004</c:v>
                </c:pt>
                <c:pt idx="7" formatCode="&quot;$&quot;#,##0.0_);[Red]\(&quot;$&quot;#,##0.0\)">
                  <c:v>93.659025999999997</c:v>
                </c:pt>
                <c:pt idx="8" formatCode="&quot;$&quot;#,##0.0_);[Red]\(&quot;$&quot;#,##0.0\)">
                  <c:v>100.308816846</c:v>
                </c:pt>
                <c:pt idx="9" formatCode="&quot;$&quot;#,##0.0_);[Red]\(&quot;$&quot;#,##0.0\)">
                  <c:v>107.631360475758</c:v>
                </c:pt>
                <c:pt idx="10" formatCode="&quot;$&quot;#,##0.0_);[Red]\(&quot;$&quot;#,##0.0\)">
                  <c:v>115.70371251143985</c:v>
                </c:pt>
                <c:pt idx="11" formatCode="&quot;$&quot;#,##0.0_);[Red]\(&quot;$&quot;#,##0.0\)">
                  <c:v>124.72860208733216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723-4A60-B450-29690C31FEA1}"/>
            </c:ext>
          </c:extLst>
        </c:ser>
        <c:ser>
          <c:idx val="2"/>
          <c:order val="2"/>
          <c:tx>
            <c:strRef>
              <c:f>'Income Statement'!$C$32</c:f>
              <c:strCache>
                <c:ptCount val="1"/>
                <c:pt idx="0">
                  <c:v>Base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723-4A60-B450-29690C31FE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Statement'!$D$29:$O$29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Statement'!$D$32:$O$32</c:f>
              <c:numCache>
                <c:formatCode>_(* #,##0.0_);_(* \(#,##0.0\);_(* "-"??_);_(@_)</c:formatCode>
                <c:ptCount val="12"/>
                <c:pt idx="0">
                  <c:v>50.265316669999997</c:v>
                </c:pt>
                <c:pt idx="1">
                  <c:v>62.402645829999997</c:v>
                </c:pt>
                <c:pt idx="2">
                  <c:v>61.988811160000004</c:v>
                </c:pt>
                <c:pt idx="3">
                  <c:v>68</c:v>
                </c:pt>
                <c:pt idx="4">
                  <c:v>72.273921428745027</c:v>
                </c:pt>
                <c:pt idx="5">
                  <c:v>76.465225214725962</c:v>
                </c:pt>
                <c:pt idx="6">
                  <c:v>80.581323492808991</c:v>
                </c:pt>
                <c:pt idx="7" formatCode="&quot;$&quot;#,##0.0_);[Red]\(&quot;$&quot;#,##0.0\)">
                  <c:v>84.811842976181467</c:v>
                </c:pt>
                <c:pt idx="8" formatCode="&quot;$&quot;#,##0.0_);[Red]\(&quot;$&quot;#,##0.0\)">
                  <c:v>89.328073614663126</c:v>
                </c:pt>
                <c:pt idx="9" formatCode="&quot;$&quot;#,##0.0_);[Red]\(&quot;$&quot;#,##0.0\)">
                  <c:v>94.218785645065935</c:v>
                </c:pt>
                <c:pt idx="10" formatCode="&quot;$&quot;#,##0.0_);[Red]\(&quot;$&quot;#,##0.0\)">
                  <c:v>99.518592337600893</c:v>
                </c:pt>
                <c:pt idx="11" formatCode="&quot;$&quot;#,##0.0_);[Red]\(&quot;$&quot;#,##0.0\)">
                  <c:v>105.34042998935054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723-4A60-B450-29690C31FEA1}"/>
            </c:ext>
          </c:extLst>
        </c:ser>
        <c:ser>
          <c:idx val="3"/>
          <c:order val="3"/>
          <c:tx>
            <c:strRef>
              <c:f>'Income Statement'!$C$33</c:f>
              <c:strCache>
                <c:ptCount val="1"/>
                <c:pt idx="0">
                  <c:v>Conservative (-25%)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8723-4A60-B450-29690C31FEA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8723-4A60-B450-29690C31FEA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8723-4A60-B450-29690C31FEA1}"/>
              </c:ext>
            </c:extLst>
          </c:dPt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723-4A60-B450-29690C31FE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Statement'!$D$29:$O$29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Statement'!$D$33:$O$33</c:f>
              <c:numCache>
                <c:formatCode>_(* #,##0.0_);_(* \(#,##0.0\);_(* "-"??_);_(@_)</c:formatCode>
                <c:ptCount val="12"/>
                <c:pt idx="0">
                  <c:v>50.265316669999997</c:v>
                </c:pt>
                <c:pt idx="1">
                  <c:v>62.402645829999997</c:v>
                </c:pt>
                <c:pt idx="2">
                  <c:v>61.988811160000004</c:v>
                </c:pt>
                <c:pt idx="3">
                  <c:v>66.497202790000003</c:v>
                </c:pt>
                <c:pt idx="4">
                  <c:v>69.631803745394691</c:v>
                </c:pt>
                <c:pt idx="5">
                  <c:v>72.660365468212859</c:v>
                </c:pt>
                <c:pt idx="6">
                  <c:v>75.593828402004732</c:v>
                </c:pt>
                <c:pt idx="7" formatCode="&quot;$&quot;#,##0.0_);[Red]\(&quot;$&quot;#,##0.0\)">
                  <c:v>78.570335395333657</c:v>
                </c:pt>
                <c:pt idx="8" formatCode="&quot;$&quot;#,##0.0_);[Red]\(&quot;$&quot;#,##0.0\)">
                  <c:v>81.708238165184795</c:v>
                </c:pt>
                <c:pt idx="9" formatCode="&quot;$&quot;#,##0.0_);[Red]\(&quot;$&quot;#,##0.0\)">
                  <c:v>85.063382694842701</c:v>
                </c:pt>
                <c:pt idx="10" formatCode="&quot;$&quot;#,##0.0_);[Red]\(&quot;$&quot;#,##0.0\)">
                  <c:v>88.651994152281375</c:v>
                </c:pt>
                <c:pt idx="11" formatCode="&quot;$&quot;#,##0.0_);[Red]\(&quot;$&quot;#,##0.0\)">
                  <c:v>92.541600395712706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723-4A60-B450-29690C31FEA1}"/>
            </c:ext>
          </c:extLst>
        </c:ser>
        <c:ser>
          <c:idx val="4"/>
          <c:order val="4"/>
          <c:tx>
            <c:strRef>
              <c:f>'Income Statement'!$C$34</c:f>
              <c:strCache>
                <c:ptCount val="1"/>
                <c:pt idx="0">
                  <c:v>Custom - 10% growth per year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723-4A60-B450-29690C31FE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Statement'!$D$29:$O$29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Statement'!$D$34:$O$34</c:f>
              <c:numCache>
                <c:formatCode>_(* #,##0.0_);_(* \(#,##0.0\);_(* "-"??_);_(@_)</c:formatCode>
                <c:ptCount val="12"/>
                <c:pt idx="0">
                  <c:v>50.265316669999997</c:v>
                </c:pt>
                <c:pt idx="1">
                  <c:v>62.402645829999997</c:v>
                </c:pt>
                <c:pt idx="2">
                  <c:v>61.988811160000004</c:v>
                </c:pt>
                <c:pt idx="3" formatCode="_(* #,##0.0000_);_(* \(#,##0.0000\);_(* &quot;-&quot;??_);_(@_)">
                  <c:v>65.708139829600015</c:v>
                </c:pt>
                <c:pt idx="4">
                  <c:v>69.650628219376017</c:v>
                </c:pt>
                <c:pt idx="5">
                  <c:v>73.829665912538587</c:v>
                </c:pt>
                <c:pt idx="6">
                  <c:v>78.259445867290907</c:v>
                </c:pt>
                <c:pt idx="7">
                  <c:v>82.955012619328372</c:v>
                </c:pt>
                <c:pt idx="8">
                  <c:v>87.932313376488082</c:v>
                </c:pt>
                <c:pt idx="9">
                  <c:v>93.208252179077377</c:v>
                </c:pt>
                <c:pt idx="10">
                  <c:v>98.800747309822029</c:v>
                </c:pt>
                <c:pt idx="11">
                  <c:v>104.72879214841136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723-4A60-B450-29690C31FEA1}"/>
            </c:ext>
          </c:extLst>
        </c:ser>
        <c:ser>
          <c:idx val="5"/>
          <c:order val="5"/>
          <c:tx>
            <c:strRef>
              <c:f>'Income Statement'!$C$35</c:f>
              <c:strCache>
                <c:ptCount val="1"/>
                <c:pt idx="0">
                  <c:v>Custom - Random Growth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'Income Statement'!$D$29:$O$29</c:f>
              <c:numCache>
                <c:formatCode>General</c:formatCode>
                <c:ptCount val="12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</c:numCache>
            </c:numRef>
          </c:cat>
          <c:val>
            <c:numRef>
              <c:f>'Income Statement'!$D$35:$O$35</c:f>
              <c:numCache>
                <c:formatCode>_(* #,##0.0_);_(* \(#,##0.0\);_(* "-"??_);_(@_)</c:formatCode>
                <c:ptCount val="12"/>
                <c:pt idx="0">
                  <c:v>50.265316669999997</c:v>
                </c:pt>
                <c:pt idx="1">
                  <c:v>62.402645829999997</c:v>
                </c:pt>
                <c:pt idx="2">
                  <c:v>61.988811160000004</c:v>
                </c:pt>
                <c:pt idx="3" formatCode="_(* #,##0.00_);_(* \(#,##0.00\);_(* &quot;-&quot;??_);_(@_)">
                  <c:v>65.088251718000009</c:v>
                </c:pt>
                <c:pt idx="4" formatCode="_(* #,##0.00_);_(* \(#,##0.00\);_(* &quot;-&quot;??_);_(@_)">
                  <c:v>62.484721649280004</c:v>
                </c:pt>
                <c:pt idx="5" formatCode="_(* #,##0.00_);_(* \(#,##0.00\);_(* &quot;-&quot;??_);_(@_)">
                  <c:v>69.982888247193614</c:v>
                </c:pt>
                <c:pt idx="6" formatCode="_(* #,##0.00_);_(* \(#,##0.00\);_(* &quot;-&quot;??_);_(@_)">
                  <c:v>70.682717129665548</c:v>
                </c:pt>
                <c:pt idx="7" formatCode="_(* #,##0.00_);_(* \(#,##0.00\);_(* &quot;-&quot;??_);_(@_)">
                  <c:v>81.285124699115372</c:v>
                </c:pt>
                <c:pt idx="8" formatCode="_(* #,##0.00_);_(* \(#,##0.00\);_(* &quot;-&quot;??_);_(@_)">
                  <c:v>80.472273452124213</c:v>
                </c:pt>
                <c:pt idx="9" formatCode="_(* #,##0.00_);_(* \(#,##0.00\);_(* &quot;-&quot;??_);_(@_)">
                  <c:v>89.324223531857882</c:v>
                </c:pt>
                <c:pt idx="10" formatCode="_(* #,##0.00_);_(* \(#,##0.00\);_(* &quot;-&quot;??_);_(@_)">
                  <c:v>84.858012355264989</c:v>
                </c:pt>
                <c:pt idx="11" formatCode="_(* #,##0.00_);_(* \(#,##0.00\);_(* &quot;-&quot;??_);_(@_)">
                  <c:v>86.555172602370291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723-4A60-B450-29690C31F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574991"/>
        <c:axId val="435575471"/>
      </c:lineChart>
      <c:catAx>
        <c:axId val="43557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75471"/>
        <c:crosses val="autoZero"/>
        <c:auto val="1"/>
        <c:lblAlgn val="ctr"/>
        <c:lblOffset val="100"/>
        <c:noMultiLvlLbl val="0"/>
      </c:catAx>
      <c:valAx>
        <c:axId val="435575471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7499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833415781536115E-2"/>
          <c:y val="0.12816405860659821"/>
          <c:w val="0.83692721987827223"/>
          <c:h val="6.8038473038971384E-2"/>
        </c:manualLayout>
      </c:layout>
      <c:overlay val="0"/>
      <c:spPr>
        <a:solidFill>
          <a:schemeClr val="bg1"/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20638</xdr:colOff>
      <xdr:row>9</xdr:row>
      <xdr:rowOff>3175</xdr:rowOff>
    </xdr:from>
    <xdr:to>
      <xdr:col>21</xdr:col>
      <xdr:colOff>423864</xdr:colOff>
      <xdr:row>38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37DF3B-4FA5-4A49-BAEB-ED0F409F1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504825</xdr:colOff>
      <xdr:row>9</xdr:row>
      <xdr:rowOff>9525</xdr:rowOff>
    </xdr:from>
    <xdr:to>
      <xdr:col>26</xdr:col>
      <xdr:colOff>1098551</xdr:colOff>
      <xdr:row>38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CE71FB-A1C5-455B-8C84-A5AC3A431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14</xdr:row>
      <xdr:rowOff>18612</xdr:rowOff>
    </xdr:from>
    <xdr:to>
      <xdr:col>24</xdr:col>
      <xdr:colOff>69850</xdr:colOff>
      <xdr:row>54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5F619-FBB2-B9D6-1390-3A062D196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" y="2596712"/>
          <a:ext cx="14630400" cy="7385487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247650</xdr:colOff>
      <xdr:row>2</xdr:row>
      <xdr:rowOff>158750</xdr:rowOff>
    </xdr:from>
    <xdr:to>
      <xdr:col>23</xdr:col>
      <xdr:colOff>83557</xdr:colOff>
      <xdr:row>15</xdr:row>
      <xdr:rowOff>77193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10A9B9-21DA-C93D-1143-DC1D3E7AE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0" y="527050"/>
          <a:ext cx="10199107" cy="23123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260349</xdr:colOff>
      <xdr:row>3</xdr:row>
      <xdr:rowOff>50800</xdr:rowOff>
    </xdr:from>
    <xdr:to>
      <xdr:col>26</xdr:col>
      <xdr:colOff>479425</xdr:colOff>
      <xdr:row>34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EDB2E1-2E69-4657-8124-CC9AD9031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66ED-FA8F-45BA-A4E3-FE8BF8005746}">
  <sheetPr codeName="Sheet1">
    <tabColor theme="0"/>
  </sheetPr>
  <dimension ref="A1:X44"/>
  <sheetViews>
    <sheetView showGridLines="0" zoomScaleNormal="100" workbookViewId="0">
      <selection activeCell="I44" sqref="I44"/>
    </sheetView>
  </sheetViews>
  <sheetFormatPr defaultColWidth="9.1796875" defaultRowHeight="14" outlineLevelRow="1" outlineLevelCol="1" x14ac:dyDescent="0.35"/>
  <cols>
    <col min="1" max="1" width="9.1796875" style="101"/>
    <col min="2" max="2" width="18.81640625" style="101" customWidth="1"/>
    <col min="3" max="3" width="20" style="101" customWidth="1"/>
    <col min="4" max="4" width="9.1796875" style="101" customWidth="1"/>
    <col min="5" max="5" width="10.54296875" style="101" hidden="1" customWidth="1" outlineLevel="1"/>
    <col min="6" max="6" width="17.90625" style="101" customWidth="1" collapsed="1"/>
    <col min="7" max="7" width="14.453125" style="101" customWidth="1"/>
    <col min="8" max="8" width="13.6328125" style="101" bestFit="1" customWidth="1"/>
    <col min="9" max="9" width="23" style="101" customWidth="1"/>
    <col min="10" max="11" width="15.453125" style="101" hidden="1" customWidth="1" outlineLevel="1"/>
    <col min="12" max="12" width="9.1796875" style="101" collapsed="1"/>
    <col min="13" max="13" width="13.54296875" style="102" customWidth="1"/>
    <col min="14" max="14" width="12.81640625" style="101" customWidth="1"/>
    <col min="15" max="15" width="18.54296875" style="101" customWidth="1"/>
    <col min="16" max="20" width="12.81640625" style="101" customWidth="1"/>
    <col min="21" max="16384" width="9.1796875" style="101"/>
  </cols>
  <sheetData>
    <row r="1" spans="1:24" ht="15.5" x14ac:dyDescent="0.35">
      <c r="A1" s="113" t="s">
        <v>1113</v>
      </c>
    </row>
    <row r="3" spans="1:24" ht="20" x14ac:dyDescent="0.35"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</row>
    <row r="4" spans="1:24" ht="20" x14ac:dyDescent="0.35">
      <c r="B4" s="204" t="s">
        <v>1168</v>
      </c>
      <c r="C4" s="205"/>
      <c r="D4" s="205"/>
      <c r="E4" s="205"/>
      <c r="F4" s="205"/>
      <c r="G4" s="205"/>
      <c r="H4" s="205"/>
      <c r="I4" s="206"/>
      <c r="J4" s="117"/>
      <c r="K4" s="117"/>
      <c r="L4" s="137"/>
      <c r="M4" s="137"/>
      <c r="N4" s="137"/>
      <c r="O4" s="137"/>
      <c r="P4" s="137"/>
      <c r="Q4" s="137"/>
      <c r="R4" s="137"/>
      <c r="S4" s="137"/>
      <c r="T4" s="137"/>
      <c r="U4" s="138"/>
    </row>
    <row r="5" spans="1:24" ht="9.5" customHeight="1" x14ac:dyDescent="0.35">
      <c r="B5" s="199"/>
      <c r="C5" s="200"/>
      <c r="D5" s="200"/>
      <c r="E5" s="200"/>
      <c r="F5" s="200"/>
      <c r="G5" s="200"/>
      <c r="H5" s="200"/>
      <c r="I5" s="200"/>
      <c r="J5" s="117"/>
      <c r="K5" s="117"/>
      <c r="L5" s="137"/>
      <c r="M5" s="137"/>
      <c r="N5" s="137"/>
      <c r="O5" s="137"/>
      <c r="P5" s="137"/>
      <c r="Q5" s="137"/>
      <c r="R5" s="137"/>
      <c r="S5" s="137"/>
      <c r="T5" s="137"/>
      <c r="U5" s="138"/>
    </row>
    <row r="6" spans="1:24" x14ac:dyDescent="0.35">
      <c r="B6" s="102" t="s">
        <v>1120</v>
      </c>
      <c r="C6" s="115">
        <v>46023</v>
      </c>
      <c r="K6" s="104"/>
      <c r="L6" s="138"/>
      <c r="M6" s="139"/>
      <c r="N6" s="138"/>
      <c r="O6" s="138"/>
      <c r="P6" s="138"/>
      <c r="Q6" s="138"/>
      <c r="R6" s="138"/>
      <c r="S6" s="138"/>
      <c r="T6" s="138"/>
      <c r="U6" s="138"/>
    </row>
    <row r="7" spans="1:24" hidden="1" outlineLevel="1" x14ac:dyDescent="0.35">
      <c r="B7" s="102" t="s">
        <v>1151</v>
      </c>
      <c r="C7" s="115">
        <v>46022</v>
      </c>
      <c r="K7" s="104"/>
      <c r="L7" s="138"/>
      <c r="M7" s="139"/>
      <c r="N7" s="138"/>
      <c r="O7" s="138"/>
      <c r="P7" s="138"/>
      <c r="Q7" s="138"/>
      <c r="R7" s="138"/>
      <c r="S7" s="138"/>
      <c r="T7" s="138"/>
      <c r="U7" s="138"/>
    </row>
    <row r="8" spans="1:24" collapsed="1" x14ac:dyDescent="0.35">
      <c r="B8" s="102" t="s">
        <v>1156</v>
      </c>
      <c r="C8" s="149">
        <v>350000</v>
      </c>
      <c r="K8" s="104"/>
      <c r="L8" s="138"/>
      <c r="M8" s="139"/>
      <c r="N8" s="138"/>
      <c r="O8" s="138"/>
      <c r="P8" s="138"/>
      <c r="Q8" s="138"/>
      <c r="R8" s="138"/>
      <c r="S8" s="138"/>
      <c r="T8" s="138"/>
      <c r="U8" s="138"/>
    </row>
    <row r="9" spans="1:24" x14ac:dyDescent="0.35">
      <c r="B9" s="102" t="s">
        <v>1154</v>
      </c>
      <c r="C9" s="148">
        <v>0.5</v>
      </c>
      <c r="K9" s="104"/>
      <c r="L9" s="138"/>
      <c r="M9" s="139"/>
      <c r="N9" s="138"/>
      <c r="O9" s="138"/>
      <c r="P9" s="138"/>
      <c r="Q9" s="138"/>
      <c r="R9" s="138"/>
      <c r="S9" s="138"/>
      <c r="T9" s="138"/>
      <c r="U9" s="138"/>
    </row>
    <row r="10" spans="1:24" x14ac:dyDescent="0.35">
      <c r="B10" s="102" t="s">
        <v>1155</v>
      </c>
      <c r="C10" s="151">
        <f>C9*C8</f>
        <v>175000</v>
      </c>
      <c r="K10" s="105"/>
      <c r="L10" s="138"/>
      <c r="M10" s="139"/>
      <c r="N10" s="138"/>
      <c r="O10" s="138"/>
      <c r="P10" s="138"/>
      <c r="Q10" s="138"/>
      <c r="R10" s="138"/>
      <c r="S10" s="138"/>
      <c r="T10" s="138"/>
      <c r="U10" s="138"/>
      <c r="V10" s="103"/>
    </row>
    <row r="11" spans="1:24" hidden="1" outlineLevel="1" x14ac:dyDescent="0.35">
      <c r="B11" s="102" t="s">
        <v>1153</v>
      </c>
      <c r="C11" s="116">
        <f>IFERROR((((C7-C6)+1)/365)*C10,"")</f>
        <v>0</v>
      </c>
      <c r="K11" s="105"/>
      <c r="L11" s="138"/>
      <c r="M11" s="139"/>
      <c r="N11" s="138"/>
      <c r="O11" s="138"/>
      <c r="P11" s="138"/>
      <c r="Q11" s="138"/>
      <c r="R11" s="138"/>
      <c r="S11" s="138"/>
      <c r="T11" s="138"/>
      <c r="U11" s="138"/>
      <c r="V11" s="103"/>
    </row>
    <row r="12" spans="1:24" ht="14.5" collapsed="1" thickBot="1" x14ac:dyDescent="0.4">
      <c r="B12" s="102" t="s">
        <v>1157</v>
      </c>
      <c r="C12" s="150">
        <f>C10+C8</f>
        <v>525000</v>
      </c>
      <c r="K12" s="105"/>
      <c r="L12" s="138"/>
      <c r="M12" s="139"/>
      <c r="N12" s="138"/>
      <c r="O12" s="138"/>
      <c r="P12" s="138"/>
      <c r="Q12" s="138"/>
      <c r="R12" s="138"/>
      <c r="S12" s="138"/>
      <c r="T12" s="138"/>
      <c r="U12" s="138"/>
      <c r="V12" s="103"/>
    </row>
    <row r="13" spans="1:24" ht="9.5" customHeight="1" thickTop="1" x14ac:dyDescent="0.35">
      <c r="B13" s="199"/>
      <c r="C13" s="200"/>
      <c r="D13" s="200"/>
      <c r="E13" s="200"/>
      <c r="F13" s="200"/>
      <c r="G13" s="200"/>
      <c r="H13" s="200"/>
      <c r="I13" s="200"/>
      <c r="J13" s="117"/>
      <c r="K13" s="117"/>
      <c r="L13" s="137"/>
      <c r="M13" s="137"/>
      <c r="N13" s="137" t="s">
        <v>1149</v>
      </c>
      <c r="O13" s="137"/>
      <c r="P13" s="137"/>
      <c r="Q13" s="137" t="s">
        <v>1150</v>
      </c>
      <c r="R13" s="137"/>
      <c r="S13" s="137"/>
      <c r="T13" s="137"/>
      <c r="U13" s="138"/>
    </row>
    <row r="14" spans="1:24" ht="13.5" customHeight="1" x14ac:dyDescent="0.35">
      <c r="B14" s="106" t="s">
        <v>1</v>
      </c>
      <c r="C14" s="106" t="s">
        <v>1158</v>
      </c>
      <c r="D14" s="107" t="s">
        <v>2</v>
      </c>
      <c r="E14" s="106" t="s">
        <v>18</v>
      </c>
      <c r="F14" s="106" t="s">
        <v>1161</v>
      </c>
      <c r="G14" s="106" t="s">
        <v>1162</v>
      </c>
      <c r="H14" s="106" t="s">
        <v>9</v>
      </c>
      <c r="I14" s="106" t="s">
        <v>1166</v>
      </c>
      <c r="K14" s="101" t="s">
        <v>16</v>
      </c>
      <c r="L14" s="153"/>
      <c r="M14" s="140"/>
      <c r="N14" s="141" t="s">
        <v>7</v>
      </c>
      <c r="O14" s="141" t="s">
        <v>3</v>
      </c>
      <c r="P14" s="141" t="s">
        <v>4</v>
      </c>
      <c r="Q14" s="141" t="s">
        <v>8</v>
      </c>
      <c r="R14" s="141" t="s">
        <v>7</v>
      </c>
      <c r="S14" s="141" t="s">
        <v>3</v>
      </c>
      <c r="T14" s="141" t="s">
        <v>4</v>
      </c>
      <c r="U14" s="138"/>
    </row>
    <row r="15" spans="1:24" ht="13.5" customHeight="1" x14ac:dyDescent="0.35">
      <c r="A15" s="104"/>
      <c r="B15" s="207">
        <v>0.8</v>
      </c>
      <c r="C15" s="123" t="s">
        <v>0</v>
      </c>
      <c r="D15" s="132">
        <v>0.6</v>
      </c>
      <c r="E15" s="122">
        <f>B15*D15</f>
        <v>0.48</v>
      </c>
      <c r="F15" s="133">
        <v>74338</v>
      </c>
      <c r="G15" s="133">
        <v>79000</v>
      </c>
      <c r="H15" s="188">
        <f>IF(F15=0,"",G15/F15)</f>
        <v>1.0627135516155937</v>
      </c>
      <c r="I15" s="127">
        <f>IF(AND(H15&gt;=O15,H15&lt;=P15),1+((H15-1)/(P15-O15))*(T15-S15),IF(AND(H15&gt;=N15,H15&lt;O15),1-((1-H15)/(O15-N15))*(S15-R15),IF(H15&gt;P15,T15,0)))</f>
        <v>1.209045172051979</v>
      </c>
      <c r="J15" s="105"/>
      <c r="K15" s="108">
        <f>I15*D15</f>
        <v>0.72542710323118742</v>
      </c>
      <c r="L15" s="138"/>
      <c r="M15" s="142" t="s">
        <v>0</v>
      </c>
      <c r="N15" s="143">
        <v>0.85</v>
      </c>
      <c r="O15" s="143">
        <v>1</v>
      </c>
      <c r="P15" s="143">
        <v>1.1499999999999999</v>
      </c>
      <c r="Q15" s="143">
        <v>0</v>
      </c>
      <c r="R15" s="143">
        <v>0.5</v>
      </c>
      <c r="S15" s="143">
        <v>1</v>
      </c>
      <c r="T15" s="143">
        <v>1.5</v>
      </c>
      <c r="U15" s="138"/>
      <c r="X15" s="102"/>
    </row>
    <row r="16" spans="1:24" ht="13.5" customHeight="1" x14ac:dyDescent="0.35">
      <c r="B16" s="207"/>
      <c r="C16" s="123" t="s">
        <v>1109</v>
      </c>
      <c r="D16" s="124">
        <f>1-D15</f>
        <v>0.4</v>
      </c>
      <c r="E16" s="134">
        <f>B15*D16</f>
        <v>0.32000000000000006</v>
      </c>
      <c r="F16" s="133">
        <v>14718</v>
      </c>
      <c r="G16" s="133">
        <v>16000</v>
      </c>
      <c r="H16" s="188">
        <f>IF(F16=0,"",G16/F16)</f>
        <v>1.0871042261176791</v>
      </c>
      <c r="I16" s="128">
        <f>IF(AND(H16&gt;=O16,H16&lt;=P16),1+((H16-1)/(P16-O16))*(T16-S16),IF(AND(H16&gt;=N16,H16&lt;O16),1-((1-H16)/(O16-N16))*(S16-R16),IF(H16&gt;P16,T16,0)))</f>
        <v>1.435521130588395</v>
      </c>
      <c r="K16" s="108">
        <f>I16*D16</f>
        <v>0.57420845223535799</v>
      </c>
      <c r="L16" s="138"/>
      <c r="M16" s="142" t="s">
        <v>1125</v>
      </c>
      <c r="N16" s="143">
        <v>0.9</v>
      </c>
      <c r="O16" s="143">
        <v>1</v>
      </c>
      <c r="P16" s="143">
        <v>1.1000000000000001</v>
      </c>
      <c r="Q16" s="143">
        <v>0</v>
      </c>
      <c r="R16" s="143">
        <v>0.5</v>
      </c>
      <c r="S16" s="143">
        <v>1</v>
      </c>
      <c r="T16" s="143">
        <v>1.5</v>
      </c>
      <c r="U16" s="138"/>
    </row>
    <row r="17" spans="2:21" ht="13.5" customHeight="1" x14ac:dyDescent="0.35">
      <c r="C17" s="109"/>
      <c r="D17" s="109"/>
      <c r="E17" s="109"/>
      <c r="F17" s="109"/>
      <c r="G17" s="109"/>
      <c r="H17" s="109"/>
      <c r="I17" s="152"/>
      <c r="K17" s="108">
        <f>K15+K16</f>
        <v>1.2996355554665455</v>
      </c>
      <c r="L17" s="138"/>
      <c r="M17" s="144"/>
      <c r="N17" s="138"/>
      <c r="O17" s="138"/>
      <c r="P17" s="138"/>
      <c r="Q17" s="138"/>
      <c r="R17" s="138"/>
      <c r="S17" s="138"/>
      <c r="T17" s="138"/>
      <c r="U17" s="138"/>
    </row>
    <row r="18" spans="2:21" ht="13.5" customHeight="1" x14ac:dyDescent="0.35">
      <c r="B18" s="106" t="s">
        <v>1</v>
      </c>
      <c r="C18" s="106" t="s">
        <v>1159</v>
      </c>
      <c r="D18" s="107" t="s">
        <v>2</v>
      </c>
      <c r="E18" s="106" t="s">
        <v>18</v>
      </c>
      <c r="F18" s="106" t="s">
        <v>1160</v>
      </c>
      <c r="G18" s="106" t="s">
        <v>1165</v>
      </c>
      <c r="H18" s="106" t="s">
        <v>9</v>
      </c>
      <c r="I18" s="106" t="s">
        <v>1166</v>
      </c>
      <c r="L18" s="138"/>
      <c r="M18" s="144"/>
      <c r="N18" s="214" t="s">
        <v>1146</v>
      </c>
      <c r="O18" s="214"/>
      <c r="P18" s="214"/>
      <c r="Q18" s="215" t="s">
        <v>1147</v>
      </c>
      <c r="R18" s="214"/>
      <c r="S18" s="214"/>
      <c r="T18" s="214"/>
      <c r="U18" s="138"/>
    </row>
    <row r="19" spans="2:21" ht="13.5" customHeight="1" x14ac:dyDescent="0.35">
      <c r="B19" s="207">
        <f>1-B15</f>
        <v>0.19999999999999996</v>
      </c>
      <c r="C19" s="123" t="s">
        <v>1126</v>
      </c>
      <c r="D19" s="124">
        <v>0.4</v>
      </c>
      <c r="E19" s="122">
        <f>$B$19*D19</f>
        <v>7.9999999999999988E-2</v>
      </c>
      <c r="F19" s="191" t="s">
        <v>1110</v>
      </c>
      <c r="G19" s="125"/>
      <c r="H19" s="121">
        <v>1.05</v>
      </c>
      <c r="I19" s="127">
        <f>IF(AND(H19&gt;=O20,H19&lt;=P20),1+((H19-1)/(P20-O20))*(T20-S20),IF(AND(H19&gt;=N20,H19&lt;O20),1-((1-H19)/(O20-N20))*(S20-R20),IF(H19&gt;P20,T20,0)))</f>
        <v>1.05</v>
      </c>
      <c r="L19" s="138"/>
      <c r="M19" s="145"/>
      <c r="N19" s="141" t="s">
        <v>7</v>
      </c>
      <c r="O19" s="141" t="s">
        <v>3</v>
      </c>
      <c r="P19" s="141" t="s">
        <v>4</v>
      </c>
      <c r="Q19" s="141" t="s">
        <v>8</v>
      </c>
      <c r="R19" s="141" t="s">
        <v>7</v>
      </c>
      <c r="S19" s="141" t="s">
        <v>3</v>
      </c>
      <c r="T19" s="141" t="s">
        <v>4</v>
      </c>
      <c r="U19" s="138"/>
    </row>
    <row r="20" spans="2:21" ht="13.5" customHeight="1" x14ac:dyDescent="0.35">
      <c r="B20" s="207"/>
      <c r="C20" s="123" t="s">
        <v>1127</v>
      </c>
      <c r="D20" s="124">
        <v>0.3</v>
      </c>
      <c r="E20" s="122">
        <f>$B$19*D20</f>
        <v>5.9999999999999984E-2</v>
      </c>
      <c r="F20" s="191" t="s">
        <v>1111</v>
      </c>
      <c r="G20" s="125"/>
      <c r="H20" s="121">
        <v>1</v>
      </c>
      <c r="I20" s="128">
        <f>IF(AND(H20&gt;=O21,H20&lt;=P21),1+((H20-1)/(P21-O21))*(T21-S21),IF(AND(H20&gt;=N21,H20&lt;O21),1-((1-H20)/(O21-N21))*(S21-R21),IF(H20&gt;P21,T21,0)))</f>
        <v>1</v>
      </c>
      <c r="K20" s="108">
        <f t="shared" ref="K20:K22" si="0">I19*D19</f>
        <v>0.42000000000000004</v>
      </c>
      <c r="L20" s="138"/>
      <c r="M20" s="142" t="s">
        <v>1126</v>
      </c>
      <c r="N20" s="143">
        <v>0.9</v>
      </c>
      <c r="O20" s="143">
        <v>1</v>
      </c>
      <c r="P20" s="143">
        <v>1.1000000000000001</v>
      </c>
      <c r="Q20" s="143">
        <v>0</v>
      </c>
      <c r="R20" s="143">
        <v>0.5</v>
      </c>
      <c r="S20" s="143">
        <v>1</v>
      </c>
      <c r="T20" s="143">
        <v>1.1000000000000001</v>
      </c>
      <c r="U20" s="138"/>
    </row>
    <row r="21" spans="2:21" ht="13.5" customHeight="1" x14ac:dyDescent="0.35">
      <c r="B21" s="207"/>
      <c r="C21" s="123" t="s">
        <v>1128</v>
      </c>
      <c r="D21" s="124">
        <v>0.3</v>
      </c>
      <c r="E21" s="122">
        <f>$B$19*D21</f>
        <v>5.9999999999999984E-2</v>
      </c>
      <c r="F21" s="191" t="s">
        <v>1112</v>
      </c>
      <c r="G21" s="125"/>
      <c r="H21" s="121">
        <v>1.1499999999999999</v>
      </c>
      <c r="I21" s="128">
        <f>IF(AND(H21&gt;=O22,H21&lt;=P22),1+((H21-1)/(P22-O22))*(T22-S22),IF(AND(H21&gt;=N22,H21&lt;O22),1-((1-H21)/(O22-N22))*(S22-R22),IF(H21&gt;P22,T22,0)))</f>
        <v>1.1000000000000001</v>
      </c>
      <c r="K21" s="108">
        <f t="shared" si="0"/>
        <v>0.3</v>
      </c>
      <c r="L21" s="138"/>
      <c r="M21" s="142" t="s">
        <v>1127</v>
      </c>
      <c r="N21" s="143">
        <v>0.9</v>
      </c>
      <c r="O21" s="143">
        <v>1</v>
      </c>
      <c r="P21" s="143">
        <v>1.1000000000000001</v>
      </c>
      <c r="Q21" s="143">
        <v>0</v>
      </c>
      <c r="R21" s="143">
        <v>0.5</v>
      </c>
      <c r="S21" s="143">
        <v>1</v>
      </c>
      <c r="T21" s="143">
        <v>1.1000000000000001</v>
      </c>
      <c r="U21" s="138"/>
    </row>
    <row r="22" spans="2:21" ht="13.5" customHeight="1" x14ac:dyDescent="0.35">
      <c r="B22" s="110"/>
      <c r="C22" s="129"/>
      <c r="D22" s="129"/>
      <c r="E22" s="130">
        <f>SUM(E15:E21)</f>
        <v>0.99999999999999989</v>
      </c>
      <c r="F22" s="129"/>
      <c r="G22" s="129"/>
      <c r="H22" s="129"/>
      <c r="I22" s="129"/>
      <c r="K22" s="108">
        <f t="shared" si="0"/>
        <v>0.33</v>
      </c>
      <c r="L22" s="138"/>
      <c r="M22" s="142" t="s">
        <v>1128</v>
      </c>
      <c r="N22" s="143">
        <v>0.9</v>
      </c>
      <c r="O22" s="143">
        <v>1</v>
      </c>
      <c r="P22" s="143">
        <v>1.1000000000000001</v>
      </c>
      <c r="Q22" s="143">
        <v>0</v>
      </c>
      <c r="R22" s="143">
        <v>0.5</v>
      </c>
      <c r="S22" s="143">
        <v>1</v>
      </c>
      <c r="T22" s="143">
        <v>1.1000000000000001</v>
      </c>
      <c r="U22" s="138"/>
    </row>
    <row r="23" spans="2:21" ht="16" customHeight="1" thickBot="1" x14ac:dyDescent="0.4">
      <c r="C23" s="169"/>
      <c r="D23" s="169"/>
      <c r="E23" s="169"/>
      <c r="F23" s="212" t="s">
        <v>1114</v>
      </c>
      <c r="G23" s="212"/>
      <c r="H23" s="218"/>
      <c r="I23" s="192">
        <f>(I15*D15+I16*D16)*B15+(I19*D19+I20*D20+I21*D21)*B19</f>
        <v>1.2497084443732365</v>
      </c>
      <c r="L23" s="138"/>
      <c r="M23" s="139"/>
      <c r="N23" s="211" t="s">
        <v>1119</v>
      </c>
      <c r="O23" s="211"/>
      <c r="P23" s="211"/>
      <c r="Q23" s="211"/>
      <c r="R23" s="211"/>
      <c r="S23" s="211"/>
      <c r="T23" s="211"/>
      <c r="U23" s="138"/>
    </row>
    <row r="24" spans="2:21" ht="15" customHeight="1" thickBot="1" x14ac:dyDescent="0.4">
      <c r="C24" s="169"/>
      <c r="D24" s="169"/>
      <c r="E24" s="169"/>
      <c r="F24" s="131"/>
      <c r="G24" s="216" t="s">
        <v>1122</v>
      </c>
      <c r="H24" s="217"/>
      <c r="I24" s="195">
        <f>I23*C10</f>
        <v>218698.97776531638</v>
      </c>
      <c r="K24" s="108">
        <f>SUM(K20:K22)</f>
        <v>1.05</v>
      </c>
      <c r="L24" s="138"/>
      <c r="M24" s="139"/>
      <c r="N24" s="146"/>
      <c r="O24" s="146"/>
      <c r="P24" s="146"/>
      <c r="Q24" s="146"/>
      <c r="R24" s="146"/>
      <c r="S24" s="146"/>
      <c r="T24" s="146"/>
      <c r="U24" s="138"/>
    </row>
    <row r="25" spans="2:21" ht="15.5" hidden="1" customHeight="1" outlineLevel="1" x14ac:dyDescent="0.35">
      <c r="C25" s="169"/>
      <c r="D25" s="169"/>
      <c r="E25" s="169"/>
      <c r="F25" s="193"/>
      <c r="G25" s="212" t="s">
        <v>1121</v>
      </c>
      <c r="H25" s="212" t="s">
        <v>1123</v>
      </c>
      <c r="I25" s="194">
        <f>I23*C11</f>
        <v>0</v>
      </c>
      <c r="L25" s="138"/>
      <c r="M25" s="139"/>
      <c r="N25" s="146"/>
      <c r="O25" s="146"/>
      <c r="P25" s="146"/>
      <c r="Q25" s="146"/>
      <c r="R25" s="146"/>
      <c r="S25" s="146"/>
      <c r="T25" s="146"/>
      <c r="U25" s="138"/>
    </row>
    <row r="26" spans="2:21" collapsed="1" x14ac:dyDescent="0.35">
      <c r="L26" s="138"/>
      <c r="M26" s="139"/>
      <c r="N26" s="146"/>
      <c r="O26" s="146"/>
      <c r="P26" s="146"/>
      <c r="Q26" s="146"/>
      <c r="R26" s="146"/>
      <c r="S26" s="146"/>
      <c r="T26" s="146"/>
      <c r="U26" s="138"/>
    </row>
    <row r="27" spans="2:21" ht="15.5" customHeight="1" x14ac:dyDescent="0.35">
      <c r="B27" s="138"/>
      <c r="C27" s="138"/>
      <c r="D27" s="138"/>
      <c r="J27" s="101" t="s">
        <v>17</v>
      </c>
      <c r="K27" s="111">
        <f>K17</f>
        <v>1.2996355554665455</v>
      </c>
      <c r="N27" s="210" t="s">
        <v>1152</v>
      </c>
      <c r="O27" s="210"/>
      <c r="P27" s="210"/>
      <c r="Q27" s="210"/>
      <c r="R27" s="210"/>
      <c r="S27" s="210"/>
      <c r="T27" s="210"/>
      <c r="U27" s="210"/>
    </row>
    <row r="28" spans="2:21" ht="14" customHeight="1" x14ac:dyDescent="0.35">
      <c r="B28" s="138"/>
      <c r="C28" s="138"/>
      <c r="D28" s="138"/>
      <c r="J28" s="112" t="s">
        <v>1</v>
      </c>
      <c r="K28" s="108">
        <f>B15</f>
        <v>0.8</v>
      </c>
      <c r="N28" s="210"/>
      <c r="O28" s="210"/>
      <c r="P28" s="210"/>
      <c r="Q28" s="210"/>
      <c r="R28" s="210"/>
      <c r="S28" s="210"/>
      <c r="T28" s="210"/>
      <c r="U28" s="210"/>
    </row>
    <row r="29" spans="2:21" ht="14.5" x14ac:dyDescent="0.35">
      <c r="B29" s="213" t="s">
        <v>1144</v>
      </c>
      <c r="C29" s="213"/>
      <c r="D29" s="138"/>
      <c r="F29"/>
      <c r="G29"/>
      <c r="H29"/>
      <c r="I29"/>
      <c r="J29"/>
      <c r="K29"/>
      <c r="L29"/>
      <c r="M29"/>
      <c r="N29" s="114"/>
      <c r="O29" s="114"/>
      <c r="P29" s="208" t="s">
        <v>6</v>
      </c>
      <c r="Q29" s="208"/>
      <c r="R29" s="208"/>
      <c r="S29" s="209" t="s">
        <v>1148</v>
      </c>
      <c r="T29" s="209"/>
      <c r="U29" s="209"/>
    </row>
    <row r="30" spans="2:21" ht="14" customHeight="1" x14ac:dyDescent="0.35">
      <c r="B30" s="140" t="s">
        <v>10</v>
      </c>
      <c r="C30" s="196">
        <v>350000</v>
      </c>
      <c r="D30" s="138"/>
      <c r="F30"/>
      <c r="G30"/>
      <c r="H30"/>
      <c r="I30"/>
      <c r="J30"/>
      <c r="K30"/>
      <c r="L30"/>
      <c r="M30"/>
      <c r="N30" s="106" t="s">
        <v>1</v>
      </c>
      <c r="O30" s="106" t="s">
        <v>1158</v>
      </c>
      <c r="P30" s="154" t="s">
        <v>7</v>
      </c>
      <c r="Q30" s="154" t="s">
        <v>3</v>
      </c>
      <c r="R30" s="154" t="s">
        <v>4</v>
      </c>
      <c r="S30" s="155" t="s">
        <v>7</v>
      </c>
      <c r="T30" s="155" t="s">
        <v>3</v>
      </c>
      <c r="U30" s="155" t="s">
        <v>4</v>
      </c>
    </row>
    <row r="31" spans="2:21" ht="14" customHeight="1" x14ac:dyDescent="0.35">
      <c r="B31" s="140" t="s">
        <v>11</v>
      </c>
      <c r="C31" s="197">
        <v>0.5</v>
      </c>
      <c r="D31" s="138"/>
      <c r="F31"/>
      <c r="G31"/>
      <c r="H31"/>
      <c r="I31"/>
      <c r="J31"/>
      <c r="K31"/>
      <c r="L31"/>
      <c r="M31"/>
      <c r="N31" s="207">
        <v>0.8</v>
      </c>
      <c r="O31" s="123" t="s">
        <v>0</v>
      </c>
      <c r="P31" s="126">
        <v>0.85</v>
      </c>
      <c r="Q31" s="126">
        <v>1</v>
      </c>
      <c r="R31" s="126">
        <v>1.1499999999999999</v>
      </c>
      <c r="S31" s="126">
        <v>0.5</v>
      </c>
      <c r="T31" s="126">
        <v>1</v>
      </c>
      <c r="U31" s="126">
        <v>1.5</v>
      </c>
    </row>
    <row r="32" spans="2:21" ht="14" customHeight="1" x14ac:dyDescent="0.35">
      <c r="B32" s="140" t="s">
        <v>12</v>
      </c>
      <c r="C32" s="196">
        <f>C31*C30</f>
        <v>175000</v>
      </c>
      <c r="D32" s="138"/>
      <c r="F32"/>
      <c r="G32"/>
      <c r="H32"/>
      <c r="I32"/>
      <c r="J32"/>
      <c r="K32"/>
      <c r="L32"/>
      <c r="M32" s="135"/>
      <c r="N32" s="207"/>
      <c r="O32" s="123" t="s">
        <v>1109</v>
      </c>
      <c r="P32" s="126">
        <v>0.9</v>
      </c>
      <c r="Q32" s="126">
        <v>1</v>
      </c>
      <c r="R32" s="126">
        <v>1.1000000000000001</v>
      </c>
      <c r="S32" s="126">
        <v>0.5</v>
      </c>
      <c r="T32" s="126">
        <v>1</v>
      </c>
      <c r="U32" s="126">
        <v>1.5</v>
      </c>
    </row>
    <row r="33" spans="2:23" ht="14" customHeight="1" x14ac:dyDescent="0.35">
      <c r="B33" s="140" t="s">
        <v>13</v>
      </c>
      <c r="C33" s="198">
        <f>C30+C32</f>
        <v>525000</v>
      </c>
      <c r="D33" s="138"/>
      <c r="F33"/>
      <c r="G33"/>
      <c r="H33"/>
      <c r="I33"/>
      <c r="J33"/>
      <c r="K33"/>
      <c r="L33"/>
      <c r="M33" s="135"/>
      <c r="O33" s="109"/>
    </row>
    <row r="34" spans="2:23" ht="14" customHeight="1" x14ac:dyDescent="0.35">
      <c r="B34" s="140" t="s">
        <v>14</v>
      </c>
      <c r="C34" s="196">
        <v>200000</v>
      </c>
      <c r="D34" s="138"/>
      <c r="F34"/>
      <c r="G34"/>
      <c r="H34"/>
      <c r="I34"/>
      <c r="J34"/>
      <c r="K34"/>
      <c r="L34"/>
      <c r="M34"/>
      <c r="N34" s="106" t="s">
        <v>1</v>
      </c>
      <c r="O34" s="106" t="s">
        <v>1159</v>
      </c>
      <c r="P34" s="154" t="s">
        <v>7</v>
      </c>
      <c r="Q34" s="154" t="s">
        <v>3</v>
      </c>
      <c r="R34" s="154" t="s">
        <v>4</v>
      </c>
      <c r="S34" s="155" t="s">
        <v>7</v>
      </c>
      <c r="T34" s="155" t="s">
        <v>3</v>
      </c>
      <c r="U34" s="155" t="s">
        <v>4</v>
      </c>
    </row>
    <row r="35" spans="2:23" ht="14" customHeight="1" x14ac:dyDescent="0.35">
      <c r="B35" s="140" t="s">
        <v>15</v>
      </c>
      <c r="C35" s="198">
        <f>C33+C34</f>
        <v>725000</v>
      </c>
      <c r="D35" s="138"/>
      <c r="F35"/>
      <c r="G35"/>
      <c r="I35"/>
      <c r="J35"/>
      <c r="K35"/>
      <c r="L35"/>
      <c r="M35"/>
      <c r="N35" s="207">
        <v>0.2</v>
      </c>
      <c r="O35" s="123" t="s">
        <v>1126</v>
      </c>
      <c r="P35" s="126">
        <v>0.9</v>
      </c>
      <c r="Q35" s="126">
        <v>1</v>
      </c>
      <c r="R35" s="126">
        <v>1.1000000000000001</v>
      </c>
      <c r="S35" s="126">
        <v>0.5</v>
      </c>
      <c r="T35" s="126">
        <v>1</v>
      </c>
      <c r="U35" s="126">
        <v>1.1000000000000001</v>
      </c>
    </row>
    <row r="36" spans="2:23" ht="14" customHeight="1" x14ac:dyDescent="0.35">
      <c r="B36" s="138"/>
      <c r="C36" s="138"/>
      <c r="D36" s="138"/>
      <c r="F36"/>
      <c r="G36"/>
      <c r="H36"/>
      <c r="I36"/>
      <c r="J36"/>
      <c r="K36"/>
      <c r="L36"/>
      <c r="M36" s="135"/>
      <c r="N36" s="207"/>
      <c r="O36" s="123" t="s">
        <v>1127</v>
      </c>
      <c r="P36" s="126">
        <v>0.9</v>
      </c>
      <c r="Q36" s="126">
        <v>1</v>
      </c>
      <c r="R36" s="126">
        <v>1.1000000000000001</v>
      </c>
      <c r="S36" s="126">
        <v>0.5</v>
      </c>
      <c r="T36" s="126">
        <v>1</v>
      </c>
      <c r="U36" s="126">
        <v>1.1000000000000001</v>
      </c>
      <c r="V36" s="136"/>
      <c r="W36" s="136"/>
    </row>
    <row r="37" spans="2:23" ht="14" customHeight="1" x14ac:dyDescent="0.35">
      <c r="B37" s="138"/>
      <c r="C37" s="138"/>
      <c r="D37" s="138"/>
      <c r="F37"/>
      <c r="G37"/>
      <c r="H37"/>
      <c r="I37"/>
      <c r="J37"/>
      <c r="K37"/>
      <c r="L37"/>
      <c r="M37" s="135"/>
      <c r="N37" s="207"/>
      <c r="O37" s="123" t="s">
        <v>1128</v>
      </c>
      <c r="P37" s="126">
        <v>0.9</v>
      </c>
      <c r="Q37" s="126">
        <v>1</v>
      </c>
      <c r="R37" s="126">
        <v>1.1000000000000001</v>
      </c>
      <c r="S37" s="126">
        <v>0.5</v>
      </c>
      <c r="T37" s="126">
        <v>1</v>
      </c>
      <c r="U37" s="126">
        <v>1.1000000000000001</v>
      </c>
      <c r="V37" s="136"/>
      <c r="W37" s="136"/>
    </row>
    <row r="38" spans="2:23" ht="14" customHeight="1" x14ac:dyDescent="0.35">
      <c r="B38" s="138"/>
      <c r="C38" s="138"/>
      <c r="D38" s="138"/>
      <c r="F38"/>
      <c r="G38"/>
      <c r="H38"/>
      <c r="I38"/>
      <c r="J38"/>
      <c r="K38"/>
      <c r="L38"/>
      <c r="M38" s="135"/>
      <c r="N38" s="203" t="s">
        <v>1163</v>
      </c>
      <c r="O38" s="203"/>
      <c r="P38" s="203"/>
      <c r="Q38" s="203"/>
      <c r="R38" s="203"/>
      <c r="S38" s="203"/>
      <c r="T38" s="203"/>
      <c r="U38" s="203"/>
      <c r="V38" s="136"/>
      <c r="W38" s="136"/>
    </row>
    <row r="39" spans="2:23" ht="14.5" x14ac:dyDescent="0.35">
      <c r="B39" s="138"/>
      <c r="C39" s="138"/>
      <c r="D39" s="138"/>
      <c r="F39"/>
      <c r="G39"/>
      <c r="H39"/>
      <c r="I39"/>
      <c r="J39"/>
      <c r="K39"/>
      <c r="L39"/>
      <c r="M39" s="135"/>
      <c r="N39" s="136"/>
      <c r="O39" s="136"/>
      <c r="P39" s="136"/>
      <c r="Q39" s="136"/>
      <c r="R39" s="136"/>
      <c r="S39" s="136"/>
      <c r="T39" s="136"/>
      <c r="U39" s="136"/>
      <c r="V39" s="136"/>
      <c r="W39" s="136"/>
    </row>
    <row r="40" spans="2:23" ht="14.5" x14ac:dyDescent="0.35">
      <c r="B40" s="138"/>
      <c r="C40" s="138"/>
      <c r="D40" s="138"/>
      <c r="F40"/>
      <c r="G40"/>
      <c r="H40"/>
      <c r="I40"/>
      <c r="J40"/>
      <c r="K40"/>
      <c r="L40"/>
      <c r="M40" s="135"/>
      <c r="N40" s="136"/>
      <c r="O40" s="136"/>
      <c r="P40" s="136"/>
      <c r="Q40" s="136"/>
      <c r="R40" s="136"/>
      <c r="S40" s="136"/>
      <c r="T40" s="136"/>
      <c r="U40" s="136"/>
      <c r="V40" s="136"/>
      <c r="W40" s="136"/>
    </row>
    <row r="41" spans="2:23" ht="14.5" x14ac:dyDescent="0.35">
      <c r="F41"/>
      <c r="G41"/>
      <c r="H41"/>
      <c r="I41"/>
      <c r="J41"/>
      <c r="K41"/>
      <c r="L41"/>
      <c r="M41" s="135"/>
      <c r="V41" s="136"/>
      <c r="W41" s="136"/>
    </row>
    <row r="43" spans="2:23" ht="14.5" x14ac:dyDescent="0.35">
      <c r="F43"/>
      <c r="G43"/>
      <c r="H43"/>
      <c r="I43"/>
      <c r="J43"/>
      <c r="K43"/>
      <c r="L43"/>
      <c r="M43"/>
    </row>
    <row r="44" spans="2:23" ht="14.5" x14ac:dyDescent="0.35">
      <c r="F44"/>
      <c r="G44"/>
      <c r="H44"/>
      <c r="I44"/>
      <c r="J44"/>
      <c r="K44"/>
      <c r="L44"/>
      <c r="M44"/>
    </row>
  </sheetData>
  <mergeCells count="16">
    <mergeCell ref="N38:U38"/>
    <mergeCell ref="B4:I4"/>
    <mergeCell ref="N31:N32"/>
    <mergeCell ref="N35:N37"/>
    <mergeCell ref="P29:R29"/>
    <mergeCell ref="S29:U29"/>
    <mergeCell ref="N27:U28"/>
    <mergeCell ref="N23:T23"/>
    <mergeCell ref="G25:H25"/>
    <mergeCell ref="B29:C29"/>
    <mergeCell ref="B15:B16"/>
    <mergeCell ref="B19:B21"/>
    <mergeCell ref="N18:P18"/>
    <mergeCell ref="Q18:T18"/>
    <mergeCell ref="G24:H24"/>
    <mergeCell ref="F23:H23"/>
  </mergeCells>
  <phoneticPr fontId="2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AF8F-0606-4969-8846-52AA88C01E01}">
  <sheetPr codeName="Sheet5">
    <tabColor theme="0"/>
  </sheetPr>
  <dimension ref="A2:R24"/>
  <sheetViews>
    <sheetView showGridLines="0" zoomScale="80" zoomScaleNormal="80" workbookViewId="0">
      <selection activeCell="F63" sqref="F63"/>
    </sheetView>
  </sheetViews>
  <sheetFormatPr defaultRowHeight="14" outlineLevelRow="1" x14ac:dyDescent="0.3"/>
  <cols>
    <col min="1" max="1" width="15.08984375" style="165" bestFit="1" customWidth="1"/>
    <col min="2" max="2" width="14.54296875" style="165" bestFit="1" customWidth="1"/>
    <col min="3" max="8" width="11.36328125" style="158" bestFit="1" customWidth="1"/>
    <col min="9" max="14" width="10.453125" style="158" bestFit="1" customWidth="1"/>
    <col min="15" max="17" width="8.7265625" style="158"/>
    <col min="18" max="18" width="9.453125" style="158" bestFit="1" customWidth="1"/>
    <col min="19" max="16384" width="8.7265625" style="158"/>
  </cols>
  <sheetData>
    <row r="2" spans="1:18" x14ac:dyDescent="0.3">
      <c r="A2" s="156" t="s">
        <v>10</v>
      </c>
      <c r="B2" s="157">
        <v>350000</v>
      </c>
    </row>
    <row r="3" spans="1:18" x14ac:dyDescent="0.3">
      <c r="A3" s="156" t="s">
        <v>11</v>
      </c>
      <c r="B3" s="159">
        <v>0.5</v>
      </c>
    </row>
    <row r="4" spans="1:18" x14ac:dyDescent="0.3">
      <c r="A4" s="156" t="s">
        <v>1141</v>
      </c>
      <c r="B4" s="160">
        <f>B3*B2</f>
        <v>175000</v>
      </c>
    </row>
    <row r="5" spans="1:18" hidden="1" x14ac:dyDescent="0.3">
      <c r="A5" s="156" t="s">
        <v>26</v>
      </c>
      <c r="B5" s="157">
        <f>B2*B3</f>
        <v>175000</v>
      </c>
      <c r="E5" s="161">
        <v>46023</v>
      </c>
    </row>
    <row r="6" spans="1:18" ht="14.5" thickBot="1" x14ac:dyDescent="0.35">
      <c r="A6" s="162" t="s">
        <v>1142</v>
      </c>
      <c r="B6" s="163">
        <f>B4+B2</f>
        <v>525000</v>
      </c>
    </row>
    <row r="7" spans="1:18" ht="14.5" thickTop="1" x14ac:dyDescent="0.3">
      <c r="A7" s="164"/>
    </row>
    <row r="8" spans="1:18" x14ac:dyDescent="0.3">
      <c r="B8" s="166"/>
      <c r="C8" s="167"/>
    </row>
    <row r="9" spans="1:18" ht="15" x14ac:dyDescent="0.3">
      <c r="B9" s="166"/>
      <c r="C9" s="219" t="s">
        <v>1167</v>
      </c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168"/>
      <c r="P9" s="168"/>
    </row>
    <row r="10" spans="1:18" s="119" customFormat="1" ht="15.5" customHeight="1" x14ac:dyDescent="0.35">
      <c r="A10" s="120"/>
      <c r="B10" s="120"/>
      <c r="C10" s="190" t="s">
        <v>1129</v>
      </c>
      <c r="D10" s="190" t="s">
        <v>1130</v>
      </c>
      <c r="E10" s="190" t="s">
        <v>1131</v>
      </c>
      <c r="F10" s="190" t="s">
        <v>1132</v>
      </c>
      <c r="G10" s="190" t="s">
        <v>1133</v>
      </c>
      <c r="H10" s="190" t="s">
        <v>1134</v>
      </c>
      <c r="I10" s="190" t="s">
        <v>1135</v>
      </c>
      <c r="J10" s="190" t="s">
        <v>1136</v>
      </c>
      <c r="K10" s="190" t="s">
        <v>1137</v>
      </c>
      <c r="L10" s="189" t="s">
        <v>1138</v>
      </c>
      <c r="M10" s="189" t="s">
        <v>1139</v>
      </c>
      <c r="N10" s="189" t="s">
        <v>1140</v>
      </c>
      <c r="O10" s="118"/>
      <c r="P10" s="118"/>
    </row>
    <row r="11" spans="1:18" s="173" customFormat="1" ht="15.5" customHeight="1" x14ac:dyDescent="0.3">
      <c r="A11" s="169"/>
      <c r="B11" s="156"/>
      <c r="C11" s="170">
        <f>($E$5-C$12)/365</f>
        <v>1</v>
      </c>
      <c r="D11" s="170">
        <f t="shared" ref="D11:N11" si="0">($E$5-D$12)/365</f>
        <v>0.91506849315068495</v>
      </c>
      <c r="E11" s="170">
        <f t="shared" si="0"/>
        <v>0.83835616438356164</v>
      </c>
      <c r="F11" s="170">
        <f t="shared" si="0"/>
        <v>0.75342465753424659</v>
      </c>
      <c r="G11" s="170">
        <f t="shared" si="0"/>
        <v>0.67123287671232879</v>
      </c>
      <c r="H11" s="170">
        <f t="shared" si="0"/>
        <v>0.58630136986301373</v>
      </c>
      <c r="I11" s="170">
        <f t="shared" si="0"/>
        <v>0.50410958904109593</v>
      </c>
      <c r="J11" s="170">
        <f t="shared" si="0"/>
        <v>0.41917808219178082</v>
      </c>
      <c r="K11" s="170">
        <f t="shared" si="0"/>
        <v>0.33424657534246577</v>
      </c>
      <c r="L11" s="171">
        <f t="shared" si="0"/>
        <v>0.25205479452054796</v>
      </c>
      <c r="M11" s="171">
        <f t="shared" si="0"/>
        <v>0.16712328767123288</v>
      </c>
      <c r="N11" s="171">
        <f t="shared" si="0"/>
        <v>8.4931506849315067E-2</v>
      </c>
      <c r="O11" s="172"/>
      <c r="P11" s="168"/>
    </row>
    <row r="12" spans="1:18" s="178" customFormat="1" ht="15.5" hidden="1" customHeight="1" outlineLevel="1" x14ac:dyDescent="0.3">
      <c r="A12" s="174"/>
      <c r="B12" s="175"/>
      <c r="C12" s="176">
        <v>45658</v>
      </c>
      <c r="D12" s="176">
        <v>45689</v>
      </c>
      <c r="E12" s="176">
        <v>45717</v>
      </c>
      <c r="F12" s="176">
        <v>45748</v>
      </c>
      <c r="G12" s="176">
        <v>45778</v>
      </c>
      <c r="H12" s="176">
        <v>45809</v>
      </c>
      <c r="I12" s="176">
        <v>45839</v>
      </c>
      <c r="J12" s="176">
        <v>45870</v>
      </c>
      <c r="K12" s="176">
        <v>45901</v>
      </c>
      <c r="L12" s="177">
        <v>45931</v>
      </c>
      <c r="M12" s="177">
        <v>45962</v>
      </c>
      <c r="N12" s="177">
        <v>45992</v>
      </c>
      <c r="Q12" s="173"/>
      <c r="R12" s="179">
        <f>B6+B7</f>
        <v>525000</v>
      </c>
    </row>
    <row r="13" spans="1:18" s="173" customFormat="1" ht="15.5" customHeight="1" collapsed="1" x14ac:dyDescent="0.3">
      <c r="B13" s="180" t="s">
        <v>1145</v>
      </c>
      <c r="C13" s="181">
        <f>C$11*$B$4</f>
        <v>175000</v>
      </c>
      <c r="D13" s="181">
        <f t="shared" ref="D13:N13" si="1">D$11*$B$4</f>
        <v>160136.98630136988</v>
      </c>
      <c r="E13" s="181">
        <f t="shared" si="1"/>
        <v>146712.32876712328</v>
      </c>
      <c r="F13" s="181">
        <f t="shared" si="1"/>
        <v>131849.31506849316</v>
      </c>
      <c r="G13" s="181">
        <f t="shared" si="1"/>
        <v>117465.75342465754</v>
      </c>
      <c r="H13" s="181">
        <f t="shared" si="1"/>
        <v>102602.7397260274</v>
      </c>
      <c r="I13" s="181">
        <f t="shared" si="1"/>
        <v>88219.178082191793</v>
      </c>
      <c r="J13" s="181">
        <f t="shared" si="1"/>
        <v>73356.164383561641</v>
      </c>
      <c r="K13" s="181">
        <f t="shared" si="1"/>
        <v>58493.150684931512</v>
      </c>
      <c r="L13" s="182">
        <f t="shared" si="1"/>
        <v>44109.589041095896</v>
      </c>
      <c r="M13" s="182">
        <f t="shared" si="1"/>
        <v>29246.575342465756</v>
      </c>
      <c r="N13" s="182">
        <f t="shared" si="1"/>
        <v>14863.013698630137</v>
      </c>
      <c r="O13" s="168"/>
      <c r="P13" s="168"/>
    </row>
    <row r="14" spans="1:18" hidden="1" x14ac:dyDescent="0.3">
      <c r="A14" s="183"/>
      <c r="B14" s="184" t="s">
        <v>1164</v>
      </c>
      <c r="C14" s="185">
        <f>C$13*150%</f>
        <v>262500</v>
      </c>
      <c r="D14" s="185">
        <f t="shared" ref="D14:N14" si="2">D$13*150%</f>
        <v>240205.47945205483</v>
      </c>
      <c r="E14" s="185">
        <f t="shared" si="2"/>
        <v>220068.49315068492</v>
      </c>
      <c r="F14" s="185">
        <f t="shared" si="2"/>
        <v>197773.97260273976</v>
      </c>
      <c r="G14" s="185">
        <f t="shared" si="2"/>
        <v>176198.63013698632</v>
      </c>
      <c r="H14" s="185">
        <f t="shared" si="2"/>
        <v>153904.10958904109</v>
      </c>
      <c r="I14" s="185">
        <f t="shared" si="2"/>
        <v>132328.76712328769</v>
      </c>
      <c r="J14" s="185">
        <f t="shared" si="2"/>
        <v>110034.24657534246</v>
      </c>
      <c r="K14" s="185">
        <f t="shared" si="2"/>
        <v>87739.726027397264</v>
      </c>
      <c r="L14" s="185">
        <f t="shared" si="2"/>
        <v>66164.383561643845</v>
      </c>
      <c r="M14" s="185">
        <f t="shared" si="2"/>
        <v>43869.863013698632</v>
      </c>
      <c r="N14" s="185">
        <f t="shared" si="2"/>
        <v>22294.520547945205</v>
      </c>
      <c r="O14" s="168"/>
      <c r="P14" s="168"/>
    </row>
    <row r="15" spans="1:18" x14ac:dyDescent="0.3">
      <c r="A15" s="183"/>
      <c r="B15" s="186"/>
      <c r="C15" s="220" t="s">
        <v>1143</v>
      </c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168"/>
      <c r="P15" s="168"/>
    </row>
    <row r="16" spans="1:18" x14ac:dyDescent="0.3">
      <c r="B16" s="187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</row>
    <row r="17" spans="2:16" x14ac:dyDescent="0.3">
      <c r="B17" s="187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</row>
    <row r="18" spans="2:16" x14ac:dyDescent="0.3">
      <c r="B18" s="187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</row>
    <row r="19" spans="2:16" x14ac:dyDescent="0.3">
      <c r="B19" s="187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</row>
    <row r="20" spans="2:16" x14ac:dyDescent="0.3">
      <c r="B20" s="187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</row>
    <row r="21" spans="2:16" x14ac:dyDescent="0.3">
      <c r="B21" s="187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</row>
    <row r="22" spans="2:16" x14ac:dyDescent="0.3">
      <c r="B22" s="187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</row>
    <row r="23" spans="2:16" x14ac:dyDescent="0.3">
      <c r="B23" s="166"/>
    </row>
    <row r="24" spans="2:16" x14ac:dyDescent="0.3">
      <c r="B24" s="166"/>
    </row>
  </sheetData>
  <mergeCells count="2">
    <mergeCell ref="C9:N9"/>
    <mergeCell ref="C15:N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856F-6078-4469-9D3B-CAED599382D0}">
  <sheetPr codeName="Sheet2">
    <tabColor rgb="FFFFFF00"/>
  </sheetPr>
  <dimension ref="B2:AM61"/>
  <sheetViews>
    <sheetView showGridLines="0" tabSelected="1" zoomScale="80" zoomScaleNormal="80" workbookViewId="0">
      <selection activeCell="H58" sqref="H58"/>
    </sheetView>
  </sheetViews>
  <sheetFormatPr defaultRowHeight="14.5" x14ac:dyDescent="0.35"/>
  <cols>
    <col min="2" max="2" width="17.7265625" customWidth="1"/>
    <col min="3" max="3" width="25.1796875" customWidth="1"/>
    <col min="4" max="4" width="6.7265625" customWidth="1"/>
    <col min="5" max="10" width="14.54296875" customWidth="1"/>
    <col min="11" max="11" width="14" customWidth="1"/>
    <col min="12" max="13" width="12.54296875" customWidth="1"/>
    <col min="14" max="14" width="11.81640625" customWidth="1"/>
    <col min="16" max="16" width="11.26953125" customWidth="1"/>
    <col min="17" max="23" width="16" customWidth="1"/>
    <col min="24" max="28" width="18" customWidth="1"/>
  </cols>
  <sheetData>
    <row r="2" spans="2:39" ht="15" thickBot="1" x14ac:dyDescent="0.4">
      <c r="B2" s="221" t="s">
        <v>1171</v>
      </c>
      <c r="C2" s="222"/>
      <c r="E2" t="s">
        <v>79</v>
      </c>
      <c r="I2" s="33" t="s">
        <v>1169</v>
      </c>
      <c r="J2" s="33" t="s">
        <v>1170</v>
      </c>
      <c r="Q2" s="86" t="s">
        <v>78</v>
      </c>
    </row>
    <row r="3" spans="2:39" x14ac:dyDescent="0.35">
      <c r="B3" s="9" t="s">
        <v>10</v>
      </c>
      <c r="C3" s="11">
        <v>350000</v>
      </c>
      <c r="D3" s="3"/>
      <c r="E3" t="s">
        <v>1172</v>
      </c>
      <c r="I3" s="100">
        <v>0.08</v>
      </c>
      <c r="J3" s="100">
        <v>0.05</v>
      </c>
      <c r="Q3" s="223" t="s">
        <v>6</v>
      </c>
      <c r="R3" s="223"/>
      <c r="S3" s="223"/>
      <c r="T3" s="224" t="s">
        <v>5</v>
      </c>
      <c r="U3" s="224"/>
      <c r="V3" s="224"/>
      <c r="W3" s="224"/>
    </row>
    <row r="4" spans="2:39" x14ac:dyDescent="0.35">
      <c r="B4" s="9" t="s">
        <v>11</v>
      </c>
      <c r="C4" s="12">
        <v>0.5</v>
      </c>
      <c r="D4" s="1"/>
      <c r="E4" t="s">
        <v>80</v>
      </c>
      <c r="I4" s="100">
        <v>5</v>
      </c>
      <c r="Q4" s="7" t="s">
        <v>7</v>
      </c>
      <c r="R4" s="7" t="s">
        <v>3</v>
      </c>
      <c r="S4" s="7" t="s">
        <v>4</v>
      </c>
      <c r="T4" s="7" t="s">
        <v>8</v>
      </c>
      <c r="U4" s="7" t="s">
        <v>7</v>
      </c>
      <c r="V4" s="7" t="s">
        <v>3</v>
      </c>
      <c r="W4" s="7" t="s">
        <v>4</v>
      </c>
    </row>
    <row r="5" spans="2:39" ht="15" thickBot="1" x14ac:dyDescent="0.4">
      <c r="B5" s="9" t="s">
        <v>12</v>
      </c>
      <c r="C5" s="13">
        <v>175000</v>
      </c>
      <c r="D5" s="3"/>
      <c r="Q5" s="5">
        <v>0.5</v>
      </c>
      <c r="R5" s="6">
        <v>1</v>
      </c>
      <c r="S5" s="6">
        <v>1.1000000000000001</v>
      </c>
      <c r="T5" s="6">
        <v>0</v>
      </c>
      <c r="U5" s="6">
        <v>0.75</v>
      </c>
      <c r="V5" s="6">
        <v>1</v>
      </c>
      <c r="W5" s="6">
        <f>I4</f>
        <v>5</v>
      </c>
    </row>
    <row r="6" spans="2:39" x14ac:dyDescent="0.35">
      <c r="B6" s="9" t="s">
        <v>13</v>
      </c>
      <c r="C6" s="14">
        <f>C3+C5</f>
        <v>525000</v>
      </c>
      <c r="D6" s="3"/>
    </row>
    <row r="7" spans="2:39" ht="19" thickBot="1" x14ac:dyDescent="0.5">
      <c r="B7" s="9" t="s">
        <v>14</v>
      </c>
      <c r="C7" s="13">
        <v>200000</v>
      </c>
      <c r="D7" s="3"/>
      <c r="P7" s="33" t="s">
        <v>1102</v>
      </c>
      <c r="Q7" s="18" t="s">
        <v>1105</v>
      </c>
      <c r="U7" s="25" t="s">
        <v>73</v>
      </c>
      <c r="V7" s="25" t="s">
        <v>74</v>
      </c>
    </row>
    <row r="8" spans="2:39" ht="18.5" x14ac:dyDescent="0.45">
      <c r="B8" s="10" t="s">
        <v>15</v>
      </c>
      <c r="C8" s="15">
        <f>C6+C7</f>
        <v>725000</v>
      </c>
      <c r="D8" s="3"/>
      <c r="P8" s="97">
        <v>1</v>
      </c>
      <c r="Q8" s="18" t="s">
        <v>1104</v>
      </c>
      <c r="U8" s="87">
        <v>-5</v>
      </c>
      <c r="V8" s="87">
        <v>15</v>
      </c>
      <c r="W8" t="s">
        <v>75</v>
      </c>
    </row>
    <row r="9" spans="2:39" ht="19" thickBot="1" x14ac:dyDescent="0.5">
      <c r="E9" s="26" t="s">
        <v>1173</v>
      </c>
      <c r="F9" s="21"/>
      <c r="G9" s="21"/>
      <c r="H9" s="21"/>
      <c r="I9" s="21"/>
      <c r="J9" s="21"/>
      <c r="K9" s="21"/>
      <c r="L9" s="21"/>
      <c r="M9" s="21"/>
      <c r="N9" s="21"/>
      <c r="Q9" s="18" t="s">
        <v>1103</v>
      </c>
    </row>
    <row r="10" spans="2:39" x14ac:dyDescent="0.35">
      <c r="H10" s="33" t="s">
        <v>1169</v>
      </c>
      <c r="J10" s="18" t="s">
        <v>36</v>
      </c>
    </row>
    <row r="11" spans="2:39" ht="15" thickBot="1" x14ac:dyDescent="0.4">
      <c r="D11" s="33" t="s">
        <v>72</v>
      </c>
      <c r="F11" s="18"/>
      <c r="G11" s="18"/>
      <c r="H11" s="39">
        <f>I3</f>
        <v>0.08</v>
      </c>
      <c r="I11" s="18"/>
      <c r="J11" s="39">
        <f>J3</f>
        <v>0.05</v>
      </c>
    </row>
    <row r="12" spans="2:39" ht="44" thickBot="1" x14ac:dyDescent="0.4">
      <c r="B12" s="225" t="str">
        <f>IF('LTI Model- draft'!$D$12="A",'Income Statement'!C30,IF('LTI Model- draft'!$D$12="B",'Income Statement'!C31,IF('LTI Model- draft'!$D$12="C",'Income Statement'!C32,IF('LTI Model- draft'!$D$12="D",'Income Statement'!C33,IF('LTI Model- draft'!$D$12="E",'Income Statement'!C34,IF('LTI Model- draft'!$D$12="F",'Income Statement'!C35,"error"))))))</f>
        <v>Custom - 10% growth per year</v>
      </c>
      <c r="C12" s="226"/>
      <c r="D12" s="98" t="s">
        <v>67</v>
      </c>
      <c r="F12" s="8" t="s">
        <v>1116</v>
      </c>
      <c r="G12" s="37" t="s">
        <v>35</v>
      </c>
      <c r="H12" s="8" t="s">
        <v>1174</v>
      </c>
      <c r="I12" s="8" t="s">
        <v>1175</v>
      </c>
      <c r="J12" s="8" t="s">
        <v>1108</v>
      </c>
      <c r="K12" s="8" t="s">
        <v>1107</v>
      </c>
      <c r="L12" s="8" t="s">
        <v>1117</v>
      </c>
      <c r="M12" s="8" t="s">
        <v>1118</v>
      </c>
      <c r="N12" s="7" t="s">
        <v>34</v>
      </c>
    </row>
    <row r="13" spans="2:39" x14ac:dyDescent="0.35">
      <c r="E13" s="33">
        <v>2024</v>
      </c>
      <c r="F13" s="40">
        <v>12.2658</v>
      </c>
      <c r="G13" s="2"/>
      <c r="L13" s="40"/>
      <c r="N13" s="40"/>
      <c r="AH13" s="30"/>
      <c r="AI13" s="30"/>
      <c r="AJ13" s="3"/>
      <c r="AK13" s="3"/>
      <c r="AL13" s="36"/>
      <c r="AM13" s="35"/>
    </row>
    <row r="14" spans="2:39" ht="15" thickBot="1" x14ac:dyDescent="0.4">
      <c r="D14" s="70" t="s">
        <v>1124</v>
      </c>
      <c r="E14" s="33">
        <v>2025</v>
      </c>
      <c r="F14" s="42">
        <f>'Income Statement'!$G$13/1000000</f>
        <v>13.010211686260803</v>
      </c>
      <c r="G14" s="50"/>
      <c r="H14" s="21"/>
      <c r="I14" s="21"/>
      <c r="J14" s="21"/>
      <c r="K14" s="21"/>
      <c r="L14" s="42"/>
      <c r="M14" s="21"/>
      <c r="N14" s="42"/>
      <c r="AH14" s="30"/>
      <c r="AI14" s="30"/>
      <c r="AJ14" s="3"/>
      <c r="AK14" s="3"/>
      <c r="AL14" s="36"/>
      <c r="AM14" s="35"/>
    </row>
    <row r="15" spans="2:39" x14ac:dyDescent="0.35">
      <c r="D15" s="68">
        <f t="shared" ref="D15:D22" si="0">F15/F14-1</f>
        <v>6.0000000000000053E-2</v>
      </c>
      <c r="E15" s="33">
        <v>2026</v>
      </c>
      <c r="F15" s="40">
        <f>'Income Statement'!$H$13/1000000</f>
        <v>13.790824387436452</v>
      </c>
      <c r="G15" s="51">
        <f t="shared" ref="G15:G22" si="1">F15-F14</f>
        <v>0.78061270117564874</v>
      </c>
      <c r="H15" s="71">
        <f t="shared" ref="H15:H22" si="2">G15*I$3*1000000</f>
        <v>62449.016094051898</v>
      </c>
      <c r="I15" s="32"/>
      <c r="J15" s="31">
        <f t="shared" ref="J15:J22" si="3">$G15*J$3*1000000</f>
        <v>39030.635058782442</v>
      </c>
      <c r="K15" s="31"/>
      <c r="L15" s="40">
        <f t="shared" ref="L15:L22" si="4">F15-J15/1000000-H15/1000000</f>
        <v>13.689344736283617</v>
      </c>
      <c r="M15" s="53">
        <f t="shared" ref="M15:M22" si="5">L15/F14-1</f>
        <v>5.2200000000000024E-2</v>
      </c>
      <c r="N15" s="40"/>
      <c r="AG15" s="34"/>
    </row>
    <row r="16" spans="2:39" x14ac:dyDescent="0.35">
      <c r="B16" s="53"/>
      <c r="D16" s="68">
        <f t="shared" si="0"/>
        <v>6.0000000000000275E-2</v>
      </c>
      <c r="E16" s="33">
        <v>2027</v>
      </c>
      <c r="F16" s="40">
        <f>'Income Statement'!$I$13/1000000</f>
        <v>14.618273850682641</v>
      </c>
      <c r="G16" s="51">
        <f t="shared" si="1"/>
        <v>0.82744946324618951</v>
      </c>
      <c r="H16" s="71">
        <f t="shared" si="2"/>
        <v>66195.957059695167</v>
      </c>
      <c r="I16" s="32"/>
      <c r="J16" s="31">
        <f t="shared" si="3"/>
        <v>41372.473162309478</v>
      </c>
      <c r="L16" s="40">
        <f t="shared" si="4"/>
        <v>14.510705420460635</v>
      </c>
      <c r="M16" s="53">
        <f t="shared" si="5"/>
        <v>5.2200000000000024E-2</v>
      </c>
      <c r="P16" s="40"/>
    </row>
    <row r="17" spans="2:16" ht="15" thickBot="1" x14ac:dyDescent="0.4">
      <c r="D17" s="68">
        <f t="shared" si="0"/>
        <v>6.0000000000000275E-2</v>
      </c>
      <c r="E17" s="33">
        <v>2028</v>
      </c>
      <c r="F17" s="40">
        <f>'Income Statement'!$J$13/1000000</f>
        <v>15.495370281723602</v>
      </c>
      <c r="G17" s="51">
        <f t="shared" si="1"/>
        <v>0.87709643104096102</v>
      </c>
      <c r="H17" s="71">
        <f t="shared" si="2"/>
        <v>70167.714483276883</v>
      </c>
      <c r="J17" s="31">
        <f t="shared" si="3"/>
        <v>43854.821552048052</v>
      </c>
      <c r="L17" s="40">
        <f t="shared" si="4"/>
        <v>15.381347745688277</v>
      </c>
      <c r="M17" s="53">
        <f t="shared" si="5"/>
        <v>5.2200000000000246E-2</v>
      </c>
      <c r="P17" s="40"/>
    </row>
    <row r="18" spans="2:16" ht="15" thickBot="1" x14ac:dyDescent="0.4">
      <c r="D18" s="68">
        <f t="shared" si="0"/>
        <v>5.9999999999999831E-2</v>
      </c>
      <c r="E18" s="33">
        <v>2029</v>
      </c>
      <c r="F18" s="40">
        <f>'Income Statement'!$K$13/1000000</f>
        <v>16.425092498627016</v>
      </c>
      <c r="G18" s="51">
        <f t="shared" si="1"/>
        <v>0.92972221690341428</v>
      </c>
      <c r="H18" s="31">
        <f t="shared" si="2"/>
        <v>74377.777352273144</v>
      </c>
      <c r="I18" s="72">
        <f>IF(SUM(H15:H17)&lt;0,0,IF(SUM(H15:H17)&gt;$C$27*$I$4,$C$27*$I$4,SUM(H15:H17)))</f>
        <v>198812.68763702395</v>
      </c>
      <c r="J18" s="31">
        <f t="shared" si="3"/>
        <v>46486.110845170719</v>
      </c>
      <c r="K18" s="99">
        <f>IF(SUM(J15:J17)&lt;0,0,IF(SUM(J15:J17)&gt;$C$27*$I$4,$C$27*$I$4,SUM(J15:J17)))</f>
        <v>124257.92977313997</v>
      </c>
      <c r="L18" s="40">
        <f t="shared" si="4"/>
        <v>16.304228610429575</v>
      </c>
      <c r="M18" s="53">
        <f t="shared" si="5"/>
        <v>5.2200000000000024E-2</v>
      </c>
    </row>
    <row r="19" spans="2:16" ht="15" thickBot="1" x14ac:dyDescent="0.4">
      <c r="D19" s="68">
        <f t="shared" si="0"/>
        <v>6.0000000000000275E-2</v>
      </c>
      <c r="E19" s="33">
        <v>2030</v>
      </c>
      <c r="F19" s="40">
        <f>'Income Statement'!$L$13/1000000</f>
        <v>17.410598048544642</v>
      </c>
      <c r="G19" s="51">
        <f t="shared" si="1"/>
        <v>0.98550554991762596</v>
      </c>
      <c r="H19" s="31">
        <f t="shared" si="2"/>
        <v>78840.443993410066</v>
      </c>
      <c r="I19" s="72">
        <f>IF(SUM(H16:H18)&lt;0,0,IF(SUM(H16:H18)&gt;$C$27*$I$4,$C$27*$I$4,SUM(H16:H18)))</f>
        <v>210741.44889524518</v>
      </c>
      <c r="J19" s="31">
        <f t="shared" si="3"/>
        <v>49275.277495881302</v>
      </c>
      <c r="K19" s="99">
        <f>IF(SUM(J16:J18)&lt;0,0,IF(SUM(J16:J18)&gt;$C$27*$I$4,$C$27*$I$4,SUM(J16:J18)))</f>
        <v>131713.40555952824</v>
      </c>
      <c r="L19" s="40">
        <f t="shared" si="4"/>
        <v>17.282482327055352</v>
      </c>
      <c r="M19" s="53">
        <f t="shared" si="5"/>
        <v>5.2200000000000246E-2</v>
      </c>
    </row>
    <row r="20" spans="2:16" ht="15" thickBot="1" x14ac:dyDescent="0.4">
      <c r="D20" s="68">
        <f t="shared" si="0"/>
        <v>6.0000000000000053E-2</v>
      </c>
      <c r="E20" s="33">
        <v>2031</v>
      </c>
      <c r="F20" s="40">
        <f>'Income Statement'!$M$13/1000000</f>
        <v>18.455233931457322</v>
      </c>
      <c r="G20" s="51">
        <f t="shared" si="1"/>
        <v>1.0446358829126794</v>
      </c>
      <c r="H20" s="31">
        <f t="shared" si="2"/>
        <v>83570.870633014361</v>
      </c>
      <c r="I20" s="72">
        <f>IF(SUM(H17:H19)&lt;0,0,IF(SUM(H17:H19)&gt;$C$27*$I$4,$C$27*$I$4,SUM(H17:H19)))</f>
        <v>223385.93582896009</v>
      </c>
      <c r="J20" s="31">
        <f t="shared" si="3"/>
        <v>52231.794145633976</v>
      </c>
      <c r="K20" s="99">
        <f>IF(SUM(J17:J19)&lt;0,0,IF(SUM(J17:J19)&gt;$C$27*$I$4,$C$27*$I$4,SUM(J17:J19)))</f>
        <v>139616.20989310008</v>
      </c>
      <c r="L20" s="40">
        <f t="shared" si="4"/>
        <v>18.319431266678674</v>
      </c>
      <c r="M20" s="53">
        <f t="shared" si="5"/>
        <v>5.2200000000000024E-2</v>
      </c>
    </row>
    <row r="21" spans="2:16" ht="15" thickBot="1" x14ac:dyDescent="0.4">
      <c r="D21" s="68">
        <f t="shared" si="0"/>
        <v>5.9999999999999831E-2</v>
      </c>
      <c r="E21" s="33">
        <v>2032</v>
      </c>
      <c r="F21" s="40">
        <f>'Income Statement'!$N$13/1000000</f>
        <v>19.562547967344759</v>
      </c>
      <c r="G21" s="51">
        <f t="shared" si="1"/>
        <v>1.1073140358874376</v>
      </c>
      <c r="H21" s="31">
        <f t="shared" si="2"/>
        <v>88585.122870995008</v>
      </c>
      <c r="I21" s="72">
        <f>IF(SUM(H18:H20)&lt;0,0,IF(SUM(H18:H20)&gt;$C$27*$I$4,$C$27*$I$4,SUM(H18:H20)))</f>
        <v>236789.09197869757</v>
      </c>
      <c r="J21" s="31">
        <f t="shared" si="3"/>
        <v>55365.701794371882</v>
      </c>
      <c r="K21" s="99">
        <f>IF(SUM(J18:J20)&lt;0,0,IF(SUM(J18:J20)&gt;$C$27*$I$4,$C$27*$I$4,SUM(J18:J20)))</f>
        <v>147993.18248668598</v>
      </c>
      <c r="L21" s="40">
        <f t="shared" si="4"/>
        <v>19.418597142679392</v>
      </c>
      <c r="M21" s="53">
        <f t="shared" si="5"/>
        <v>5.2199999999999802E-2</v>
      </c>
    </row>
    <row r="22" spans="2:16" ht="15" thickBot="1" x14ac:dyDescent="0.4">
      <c r="D22" s="68">
        <f t="shared" si="0"/>
        <v>6.0000000000000275E-2</v>
      </c>
      <c r="E22" s="33">
        <v>2033</v>
      </c>
      <c r="F22" s="40">
        <f>'Income Statement'!$O$13/1000000</f>
        <v>20.73630084538545</v>
      </c>
      <c r="G22" s="51">
        <f t="shared" si="1"/>
        <v>1.1737528780406912</v>
      </c>
      <c r="H22" s="31">
        <f t="shared" si="2"/>
        <v>93900.230243255297</v>
      </c>
      <c r="I22" s="72">
        <f>IF(SUM(H19:H21)&lt;0,0,IF(SUM(H19:H21)&gt;$C$27*$I$4,$C$27*$I$4,SUM(H19:H21)))</f>
        <v>250996.43749741942</v>
      </c>
      <c r="J22" s="31">
        <f t="shared" si="3"/>
        <v>58687.643902034564</v>
      </c>
      <c r="K22" s="99">
        <f>IF(SUM(J19:J21)&lt;0,0,IF(SUM(J19:J21)&gt;$C$27*$I$4,$C$27*$I$4,SUM(J19:J21)))</f>
        <v>156872.77343588715</v>
      </c>
      <c r="L22" s="40">
        <f t="shared" si="4"/>
        <v>20.583712971240161</v>
      </c>
      <c r="M22" s="53">
        <f t="shared" si="5"/>
        <v>5.2200000000000246E-2</v>
      </c>
    </row>
    <row r="24" spans="2:16" x14ac:dyDescent="0.35">
      <c r="B24" s="18" t="s">
        <v>41</v>
      </c>
      <c r="E24" s="33"/>
      <c r="F24" s="51"/>
    </row>
    <row r="25" spans="2:16" x14ac:dyDescent="0.35">
      <c r="E25" s="33" t="s">
        <v>43</v>
      </c>
      <c r="F25" s="39">
        <f>F27/($C$27/3)</f>
        <v>0.93673524141077835</v>
      </c>
      <c r="G25" s="39">
        <f>G27/($C$27/3)</f>
        <v>0.99293935589542748</v>
      </c>
      <c r="H25" s="39">
        <f>H27/($C$27/3)</f>
        <v>1.0525157172491533</v>
      </c>
      <c r="I25" s="39">
        <f>I28/($C$27/3)</f>
        <v>1.115666660284097</v>
      </c>
      <c r="J25" s="39">
        <f>J29/($C$27/3)</f>
        <v>1.1826066599011509</v>
      </c>
      <c r="K25" s="39">
        <f>K30/($C$27/3)</f>
        <v>1.2535630594952154</v>
      </c>
      <c r="L25" s="39">
        <f>L31/($C$27/3)</f>
        <v>1.3287768430649249</v>
      </c>
      <c r="M25" s="39"/>
    </row>
    <row r="26" spans="2:16" ht="15" thickBot="1" x14ac:dyDescent="0.4">
      <c r="B26" s="18" t="s">
        <v>33</v>
      </c>
      <c r="C26" s="18" t="s">
        <v>32</v>
      </c>
      <c r="E26" s="33"/>
      <c r="F26" s="25">
        <v>2026</v>
      </c>
      <c r="G26" s="25">
        <v>2027</v>
      </c>
      <c r="H26" s="25">
        <v>2028</v>
      </c>
      <c r="I26" s="25">
        <v>2029</v>
      </c>
      <c r="J26" s="25">
        <v>2030</v>
      </c>
      <c r="K26" s="25">
        <v>2031</v>
      </c>
      <c r="L26" s="25">
        <v>2032</v>
      </c>
      <c r="M26" s="25">
        <v>2033</v>
      </c>
    </row>
    <row r="27" spans="2:16" ht="15" thickBot="1" x14ac:dyDescent="0.4">
      <c r="B27" s="29" t="s">
        <v>31</v>
      </c>
      <c r="C27" s="41">
        <v>200000</v>
      </c>
      <c r="E27" s="1">
        <f>1/3</f>
        <v>0.33333333333333331</v>
      </c>
      <c r="F27" s="71">
        <f>H15</f>
        <v>62449.016094051898</v>
      </c>
      <c r="G27" s="71">
        <f>H16</f>
        <v>66195.957059695167</v>
      </c>
      <c r="H27" s="71">
        <f>H17</f>
        <v>70167.714483276883</v>
      </c>
      <c r="I27" s="72">
        <f>I18</f>
        <v>198812.68763702395</v>
      </c>
      <c r="J27" s="44"/>
      <c r="K27" s="44"/>
      <c r="L27" s="2"/>
    </row>
    <row r="28" spans="2:16" ht="15" thickBot="1" x14ac:dyDescent="0.4">
      <c r="B28" s="29" t="s">
        <v>37</v>
      </c>
      <c r="C28" s="41">
        <v>200000</v>
      </c>
      <c r="E28" s="1">
        <f>1/3</f>
        <v>0.33333333333333331</v>
      </c>
      <c r="F28" s="2"/>
      <c r="G28" s="43">
        <f>G27</f>
        <v>66195.957059695167</v>
      </c>
      <c r="H28" s="43">
        <f>H27</f>
        <v>70167.714483276883</v>
      </c>
      <c r="I28" s="43">
        <f>H18</f>
        <v>74377.777352273144</v>
      </c>
      <c r="J28" s="72">
        <f>I19</f>
        <v>210741.44889524518</v>
      </c>
      <c r="K28" s="2"/>
      <c r="L28" s="2"/>
    </row>
    <row r="29" spans="2:16" ht="15" thickBot="1" x14ac:dyDescent="0.4">
      <c r="B29" s="29" t="s">
        <v>38</v>
      </c>
      <c r="C29" s="41">
        <v>250000</v>
      </c>
      <c r="E29" s="1">
        <f>1/3</f>
        <v>0.33333333333333331</v>
      </c>
      <c r="F29" s="2"/>
      <c r="G29" s="2"/>
      <c r="H29" s="43">
        <f>H28</f>
        <v>70167.714483276883</v>
      </c>
      <c r="I29" s="43">
        <f>I28</f>
        <v>74377.777352273144</v>
      </c>
      <c r="J29" s="43">
        <f>H19</f>
        <v>78840.443993410066</v>
      </c>
      <c r="K29" s="72">
        <f>I20</f>
        <v>223385.93582896009</v>
      </c>
      <c r="L29" s="44"/>
    </row>
    <row r="30" spans="2:16" ht="15" thickBot="1" x14ac:dyDescent="0.4">
      <c r="B30" s="29" t="s">
        <v>39</v>
      </c>
      <c r="C30" s="41">
        <v>200000</v>
      </c>
      <c r="E30" s="1">
        <f>1/3</f>
        <v>0.33333333333333331</v>
      </c>
      <c r="F30" s="44"/>
      <c r="G30" s="44"/>
      <c r="H30" s="44"/>
      <c r="I30" s="43">
        <f>I29</f>
        <v>74377.777352273144</v>
      </c>
      <c r="J30" s="43">
        <f>J29</f>
        <v>78840.443993410066</v>
      </c>
      <c r="K30" s="43">
        <f>H20</f>
        <v>83570.870633014361</v>
      </c>
      <c r="L30" s="72">
        <f>I21</f>
        <v>236789.09197869757</v>
      </c>
    </row>
    <row r="31" spans="2:16" ht="15" thickBot="1" x14ac:dyDescent="0.4">
      <c r="B31" s="29" t="s">
        <v>40</v>
      </c>
      <c r="C31" s="41">
        <v>200000</v>
      </c>
      <c r="E31" s="1">
        <f>1/3</f>
        <v>0.33333333333333331</v>
      </c>
      <c r="F31" s="46"/>
      <c r="G31" s="46"/>
      <c r="H31" s="46"/>
      <c r="I31" s="46"/>
      <c r="J31" s="47">
        <f>J30</f>
        <v>78840.443993410066</v>
      </c>
      <c r="K31" s="47">
        <f>K30</f>
        <v>83570.870633014361</v>
      </c>
      <c r="L31" s="47">
        <f>H21</f>
        <v>88585.122870995008</v>
      </c>
      <c r="M31" s="72">
        <f>I22</f>
        <v>250996.43749741942</v>
      </c>
    </row>
    <row r="32" spans="2:16" x14ac:dyDescent="0.35">
      <c r="E32" s="45" t="s">
        <v>42</v>
      </c>
      <c r="F32" s="46"/>
      <c r="G32" s="46"/>
      <c r="H32" s="46"/>
      <c r="I32" s="48">
        <f>I27</f>
        <v>198812.68763702395</v>
      </c>
      <c r="J32" s="48">
        <f>J28</f>
        <v>210741.44889524518</v>
      </c>
      <c r="K32" s="48">
        <f>K29</f>
        <v>223385.93582896009</v>
      </c>
      <c r="L32" s="48">
        <f>L30</f>
        <v>236789.09197869757</v>
      </c>
      <c r="M32" s="48">
        <f>M31</f>
        <v>250996.43749741942</v>
      </c>
    </row>
    <row r="35" spans="2:26" ht="19" thickBot="1" x14ac:dyDescent="0.5">
      <c r="B35" s="28"/>
      <c r="C35" s="27" t="s">
        <v>30</v>
      </c>
      <c r="E35" s="26" t="s">
        <v>29</v>
      </c>
      <c r="F35" s="21"/>
      <c r="G35" s="21"/>
      <c r="H35" s="21"/>
      <c r="I35" s="21"/>
      <c r="J35" s="21"/>
      <c r="K35" s="21"/>
      <c r="L35" s="21"/>
      <c r="M35" s="21"/>
      <c r="N35" s="21"/>
    </row>
    <row r="36" spans="2:26" x14ac:dyDescent="0.35">
      <c r="G36" s="38">
        <v>0.03</v>
      </c>
      <c r="H36" s="38">
        <v>0.03</v>
      </c>
      <c r="I36" s="38">
        <v>0.03</v>
      </c>
      <c r="J36" s="38">
        <v>0.03</v>
      </c>
      <c r="K36" s="38">
        <v>0.03</v>
      </c>
      <c r="L36" s="38">
        <v>0.03</v>
      </c>
      <c r="M36" s="38">
        <v>0.03</v>
      </c>
    </row>
    <row r="37" spans="2:26" x14ac:dyDescent="0.35">
      <c r="B37" s="18" t="s">
        <v>28</v>
      </c>
      <c r="E37" s="25">
        <v>2025</v>
      </c>
      <c r="F37" s="25">
        <v>2026</v>
      </c>
      <c r="G37" s="25">
        <v>2027</v>
      </c>
      <c r="H37" s="25">
        <v>2028</v>
      </c>
      <c r="I37" s="25">
        <v>2029</v>
      </c>
      <c r="J37" s="25">
        <v>2030</v>
      </c>
      <c r="K37" s="25">
        <v>2031</v>
      </c>
      <c r="L37" s="25">
        <v>2032</v>
      </c>
      <c r="M37" s="25">
        <v>2033</v>
      </c>
    </row>
    <row r="38" spans="2:26" x14ac:dyDescent="0.35">
      <c r="B38" s="18" t="s">
        <v>10</v>
      </c>
      <c r="C38" s="3">
        <v>350000</v>
      </c>
      <c r="E38" s="3">
        <f>C38*50%</f>
        <v>175000</v>
      </c>
      <c r="F38" s="24">
        <f>$C$38*1</f>
        <v>350000</v>
      </c>
      <c r="G38" s="24">
        <f>F38*(1+G36)</f>
        <v>360500</v>
      </c>
      <c r="H38" s="24">
        <f>G38*(1+H36)</f>
        <v>371315</v>
      </c>
      <c r="I38" s="24">
        <f>H38*(1+I36)</f>
        <v>382454.45</v>
      </c>
      <c r="J38" s="24">
        <f>I38*(1+J36)</f>
        <v>393928.08350000001</v>
      </c>
      <c r="K38" s="24">
        <f t="shared" ref="K38:M38" si="6">J38*(1+K36)</f>
        <v>405745.92600500002</v>
      </c>
      <c r="L38" s="24">
        <f t="shared" si="6"/>
        <v>417918.30378515006</v>
      </c>
      <c r="M38" s="24">
        <f t="shared" si="6"/>
        <v>430455.85289870459</v>
      </c>
    </row>
    <row r="39" spans="2:26" x14ac:dyDescent="0.35">
      <c r="B39" s="18" t="s">
        <v>11</v>
      </c>
      <c r="C39" s="1">
        <v>0.5</v>
      </c>
      <c r="E39" s="1"/>
    </row>
    <row r="40" spans="2:26" x14ac:dyDescent="0.35">
      <c r="B40" s="18" t="s">
        <v>27</v>
      </c>
      <c r="C40" s="1"/>
      <c r="E40" s="1"/>
      <c r="F40" s="17">
        <v>1</v>
      </c>
      <c r="G40" s="17">
        <v>1</v>
      </c>
      <c r="H40" s="17">
        <v>1</v>
      </c>
      <c r="I40" s="17">
        <v>1.05</v>
      </c>
      <c r="J40" s="17">
        <v>1</v>
      </c>
      <c r="K40" s="17">
        <v>1</v>
      </c>
      <c r="L40" s="17">
        <v>1</v>
      </c>
      <c r="M40" s="17">
        <v>1</v>
      </c>
      <c r="P40" s="83" t="s">
        <v>63</v>
      </c>
      <c r="Q40" s="74" t="s">
        <v>1100</v>
      </c>
      <c r="T40" s="80">
        <v>0.25</v>
      </c>
    </row>
    <row r="41" spans="2:26" x14ac:dyDescent="0.35">
      <c r="B41" s="18" t="s">
        <v>26</v>
      </c>
      <c r="C41" s="23">
        <f>C38*C39</f>
        <v>175000</v>
      </c>
      <c r="E41" s="23">
        <f>C41*50%</f>
        <v>87500</v>
      </c>
      <c r="F41" s="23">
        <f>$C$41*F40</f>
        <v>175000</v>
      </c>
      <c r="G41" s="23">
        <f>$C$41*G40</f>
        <v>175000</v>
      </c>
      <c r="H41" s="23">
        <f>$C$41*H40</f>
        <v>175000</v>
      </c>
      <c r="I41" s="23">
        <f>$C$41*I40</f>
        <v>183750</v>
      </c>
      <c r="J41" s="23">
        <f>$C$41*J40</f>
        <v>175000</v>
      </c>
      <c r="K41" s="23">
        <f t="shared" ref="K41:M41" si="7">$C$41*K40</f>
        <v>175000</v>
      </c>
      <c r="L41" s="23">
        <f t="shared" si="7"/>
        <v>175000</v>
      </c>
      <c r="M41" s="23">
        <f t="shared" si="7"/>
        <v>175000</v>
      </c>
      <c r="P41" s="83" t="s">
        <v>64</v>
      </c>
      <c r="Q41" s="75" t="s">
        <v>55</v>
      </c>
    </row>
    <row r="42" spans="2:26" x14ac:dyDescent="0.35">
      <c r="B42" s="18" t="s">
        <v>13</v>
      </c>
      <c r="C42" s="3">
        <f>C38*(1+C39)</f>
        <v>525000</v>
      </c>
      <c r="E42" s="3"/>
      <c r="P42" s="83" t="s">
        <v>65</v>
      </c>
      <c r="Q42" s="76" t="s">
        <v>56</v>
      </c>
    </row>
    <row r="43" spans="2:26" ht="15" thickBot="1" x14ac:dyDescent="0.4">
      <c r="B43" s="18" t="s">
        <v>25</v>
      </c>
      <c r="C43" s="22">
        <v>225000</v>
      </c>
      <c r="E43" s="22"/>
      <c r="F43" s="21"/>
      <c r="G43" s="21"/>
      <c r="H43" s="21"/>
      <c r="I43" s="49">
        <f>I32</f>
        <v>198812.68763702395</v>
      </c>
      <c r="J43" s="49">
        <f>J32</f>
        <v>210741.44889524518</v>
      </c>
      <c r="K43" s="49">
        <f>K32</f>
        <v>223385.93582896009</v>
      </c>
      <c r="L43" s="49">
        <f>L32</f>
        <v>236789.09197869757</v>
      </c>
      <c r="M43" s="49">
        <f>M32</f>
        <v>250996.43749741942</v>
      </c>
      <c r="P43" s="83" t="s">
        <v>66</v>
      </c>
      <c r="Q43" s="77" t="s">
        <v>57</v>
      </c>
    </row>
    <row r="44" spans="2:26" x14ac:dyDescent="0.35">
      <c r="C44" s="3">
        <f>C42+C43</f>
        <v>750000</v>
      </c>
      <c r="E44" s="3">
        <f t="shared" ref="E44:H44" si="8">E38+E41+E43</f>
        <v>262500</v>
      </c>
      <c r="F44" s="3">
        <f t="shared" si="8"/>
        <v>525000</v>
      </c>
      <c r="G44" s="3">
        <f t="shared" si="8"/>
        <v>535500</v>
      </c>
      <c r="H44" s="3">
        <f t="shared" si="8"/>
        <v>546315</v>
      </c>
      <c r="I44" s="3">
        <f>I38+I41+I43</f>
        <v>765017.13763702393</v>
      </c>
      <c r="J44" s="3">
        <f>J38+J41+J43</f>
        <v>779669.53239524516</v>
      </c>
      <c r="K44" s="3">
        <f>K38+K41+K43</f>
        <v>804131.86183396005</v>
      </c>
      <c r="L44" s="3">
        <f>L38+L41+L43</f>
        <v>829707.39576384763</v>
      </c>
      <c r="M44" s="3">
        <f>M38+M41+M43</f>
        <v>856452.29039612401</v>
      </c>
      <c r="P44" s="83" t="s">
        <v>67</v>
      </c>
      <c r="Q44" s="78" t="s">
        <v>1101</v>
      </c>
      <c r="T44" s="80">
        <v>0.06</v>
      </c>
    </row>
    <row r="45" spans="2:26" x14ac:dyDescent="0.35">
      <c r="P45" s="83" t="s">
        <v>69</v>
      </c>
      <c r="Q45" s="79" t="s">
        <v>70</v>
      </c>
    </row>
    <row r="46" spans="2:26" x14ac:dyDescent="0.35">
      <c r="B46" s="20" t="s">
        <v>24</v>
      </c>
      <c r="C46" s="16" t="s">
        <v>22</v>
      </c>
      <c r="D46" s="16"/>
    </row>
    <row r="47" spans="2:26" x14ac:dyDescent="0.35">
      <c r="B47" s="18" t="s">
        <v>21</v>
      </c>
      <c r="C47" s="17">
        <v>0</v>
      </c>
      <c r="D47" s="16"/>
      <c r="Q47" s="79" t="s">
        <v>77</v>
      </c>
    </row>
    <row r="48" spans="2:26" x14ac:dyDescent="0.35">
      <c r="B48" s="18" t="s">
        <v>20</v>
      </c>
      <c r="C48" s="19">
        <v>1</v>
      </c>
      <c r="D48" s="16"/>
      <c r="Q48" s="85">
        <v>1</v>
      </c>
      <c r="R48" s="84">
        <v>0.05</v>
      </c>
      <c r="S48" s="84">
        <v>-0.04</v>
      </c>
      <c r="T48" s="84">
        <v>0.12</v>
      </c>
      <c r="U48" s="84">
        <v>0.01</v>
      </c>
      <c r="V48" s="84">
        <v>0.15</v>
      </c>
      <c r="W48" s="84">
        <v>-0.01</v>
      </c>
      <c r="X48" s="84">
        <v>0.11</v>
      </c>
      <c r="Y48" s="84">
        <v>-0.05</v>
      </c>
      <c r="Z48" s="84">
        <v>0.02</v>
      </c>
    </row>
    <row r="49" spans="2:26" x14ac:dyDescent="0.35">
      <c r="B49" s="18" t="s">
        <v>19</v>
      </c>
      <c r="C49" s="17">
        <v>2</v>
      </c>
      <c r="D49" s="16"/>
      <c r="P49" t="s">
        <v>1099</v>
      </c>
      <c r="Q49" s="85">
        <v>2</v>
      </c>
      <c r="R49" s="84">
        <f ca="1">RANDBETWEEN('LTI Model- draft'!$U$8,'LTI Model- draft'!$V$8)/100</f>
        <v>0.03</v>
      </c>
      <c r="S49" s="84">
        <f ca="1">RANDBETWEEN('LTI Model- draft'!$U$8,'LTI Model- draft'!$V$8)/100</f>
        <v>-0.03</v>
      </c>
      <c r="T49" s="84">
        <f ca="1">RANDBETWEEN('LTI Model- draft'!$U$8,'LTI Model- draft'!$V$8)/100</f>
        <v>0.1</v>
      </c>
      <c r="U49" s="84">
        <f ca="1">RANDBETWEEN('LTI Model- draft'!$U$8,'LTI Model- draft'!$V$8)/100</f>
        <v>0.14000000000000001</v>
      </c>
      <c r="V49" s="84">
        <f ca="1">RANDBETWEEN('LTI Model- draft'!$U$8,'LTI Model- draft'!$V$8)/100</f>
        <v>0.03</v>
      </c>
      <c r="W49" s="84">
        <f ca="1">RANDBETWEEN('LTI Model- draft'!$U$8,'LTI Model- draft'!$V$8)/100</f>
        <v>0</v>
      </c>
      <c r="X49" s="84">
        <f ca="1">RANDBETWEEN('LTI Model- draft'!$U$8,'LTI Model- draft'!$V$8)/100</f>
        <v>0.02</v>
      </c>
      <c r="Y49" s="84">
        <f ca="1">RANDBETWEEN('LTI Model- draft'!$U$8,'LTI Model- draft'!$V$8)/100</f>
        <v>0.02</v>
      </c>
      <c r="Z49" s="84">
        <f ca="1">RANDBETWEEN('LTI Model- draft'!$U$8,'LTI Model- draft'!$V$8)/100</f>
        <v>0.13</v>
      </c>
    </row>
    <row r="50" spans="2:26" x14ac:dyDescent="0.35">
      <c r="D50" s="16"/>
      <c r="P50" t="s">
        <v>1097</v>
      </c>
      <c r="Q50" s="85">
        <v>3</v>
      </c>
      <c r="R50" s="84">
        <f ca="1">Simulations!C18</f>
        <v>0.12306960294280334</v>
      </c>
      <c r="S50" s="84">
        <f ca="1">Simulations!C19</f>
        <v>8.1306687491387475E-2</v>
      </c>
      <c r="T50" s="84">
        <f ca="1">Simulations!C20</f>
        <v>0.11215530937536933</v>
      </c>
      <c r="U50" s="84">
        <f ca="1">Simulations!C21</f>
        <v>0.10042696003366913</v>
      </c>
      <c r="V50" s="84">
        <f ca="1">Simulations!C22</f>
        <v>0.12891621215752069</v>
      </c>
      <c r="W50" s="84">
        <f ca="1">Simulations!C23</f>
        <v>7.9506186694151326E-2</v>
      </c>
      <c r="X50" s="84">
        <f ca="1">Simulations!C24</f>
        <v>9.5624697539594461E-2</v>
      </c>
      <c r="Y50" s="84">
        <f ca="1">Simulations!C25</f>
        <v>0.12103912600813782</v>
      </c>
      <c r="Z50" s="84">
        <f ca="1">Simulations!C26</f>
        <v>0.12069030951117266</v>
      </c>
    </row>
    <row r="51" spans="2:26" x14ac:dyDescent="0.35">
      <c r="B51" s="20" t="s">
        <v>23</v>
      </c>
      <c r="C51" s="16" t="s">
        <v>22</v>
      </c>
      <c r="D51" s="16"/>
    </row>
    <row r="52" spans="2:26" x14ac:dyDescent="0.35">
      <c r="B52" s="18" t="s">
        <v>21</v>
      </c>
      <c r="C52" s="17">
        <v>0</v>
      </c>
      <c r="D52" s="16"/>
      <c r="U52" s="3"/>
    </row>
    <row r="53" spans="2:26" x14ac:dyDescent="0.35">
      <c r="B53" s="18" t="s">
        <v>20</v>
      </c>
      <c r="C53" s="19">
        <v>1</v>
      </c>
      <c r="D53" s="16"/>
    </row>
    <row r="54" spans="2:26" x14ac:dyDescent="0.35">
      <c r="B54" s="18" t="s">
        <v>19</v>
      </c>
      <c r="C54" s="17">
        <v>1.5</v>
      </c>
      <c r="D54" s="16"/>
    </row>
    <row r="55" spans="2:26" x14ac:dyDescent="0.35">
      <c r="D55" s="16"/>
    </row>
    <row r="59" spans="2:26" x14ac:dyDescent="0.35">
      <c r="R59" s="53"/>
    </row>
    <row r="60" spans="2:26" x14ac:dyDescent="0.35">
      <c r="R60" s="53"/>
    </row>
    <row r="61" spans="2:26" x14ac:dyDescent="0.35">
      <c r="R61" s="53"/>
    </row>
  </sheetData>
  <mergeCells count="4">
    <mergeCell ref="B2:C2"/>
    <mergeCell ref="Q3:S3"/>
    <mergeCell ref="T3:W3"/>
    <mergeCell ref="B12:C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39CD-EFC3-4E4C-B98D-EFDBD7ED499D}">
  <sheetPr>
    <tabColor theme="5" tint="0.79998168889431442"/>
  </sheetPr>
  <dimension ref="A2:I2"/>
  <sheetViews>
    <sheetView showGridLines="0" workbookViewId="0">
      <selection activeCell="AB18" sqref="AB18"/>
    </sheetView>
  </sheetViews>
  <sheetFormatPr defaultRowHeight="14.5" x14ac:dyDescent="0.35"/>
  <sheetData>
    <row r="2" spans="1:9" x14ac:dyDescent="0.35">
      <c r="A2" s="201" t="s">
        <v>1176</v>
      </c>
      <c r="B2" s="202"/>
      <c r="C2" s="202"/>
      <c r="D2" s="202"/>
      <c r="E2" s="202"/>
      <c r="F2" s="202"/>
      <c r="G2" s="202"/>
      <c r="H2" s="202"/>
      <c r="I2" s="20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E0E1-4816-4D7E-8D11-CE1D64473182}">
  <sheetPr codeName="Sheet3"/>
  <dimension ref="A1:O81"/>
  <sheetViews>
    <sheetView showGridLines="0" zoomScale="80" zoomScaleNormal="80" workbookViewId="0">
      <selection activeCell="G47" sqref="G47"/>
    </sheetView>
  </sheetViews>
  <sheetFormatPr defaultRowHeight="14.5" x14ac:dyDescent="0.35"/>
  <cols>
    <col min="3" max="3" width="29.26953125" bestFit="1" customWidth="1"/>
    <col min="4" max="4" width="26.1796875" style="54" customWidth="1"/>
    <col min="5" max="6" width="26.1796875" customWidth="1"/>
    <col min="7" max="11" width="25.26953125" customWidth="1"/>
    <col min="12" max="13" width="17.26953125" customWidth="1"/>
    <col min="14" max="14" width="14.453125" customWidth="1"/>
    <col min="15" max="15" width="13.26953125" customWidth="1"/>
  </cols>
  <sheetData>
    <row r="1" spans="3:15" x14ac:dyDescent="0.35">
      <c r="C1" s="18" t="s">
        <v>1115</v>
      </c>
    </row>
    <row r="2" spans="3:15" x14ac:dyDescent="0.35">
      <c r="C2" s="18" t="s">
        <v>44</v>
      </c>
    </row>
    <row r="3" spans="3:15" x14ac:dyDescent="0.35">
      <c r="C3" s="18" t="s">
        <v>45</v>
      </c>
    </row>
    <row r="4" spans="3:15" x14ac:dyDescent="0.35">
      <c r="C4" s="18"/>
      <c r="D4" s="54">
        <v>0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>
        <v>11</v>
      </c>
    </row>
    <row r="5" spans="3:15" x14ac:dyDescent="0.35">
      <c r="C5" s="55" t="s">
        <v>46</v>
      </c>
      <c r="D5" s="92">
        <v>2022</v>
      </c>
      <c r="E5" s="92">
        <v>2023</v>
      </c>
      <c r="F5" s="92">
        <v>2024</v>
      </c>
      <c r="G5" s="25">
        <v>2025</v>
      </c>
      <c r="H5" s="25">
        <v>2026</v>
      </c>
      <c r="I5" s="25">
        <v>2027</v>
      </c>
      <c r="J5" s="25">
        <v>2028</v>
      </c>
      <c r="K5" s="25">
        <v>2029</v>
      </c>
      <c r="L5" s="25">
        <v>2030</v>
      </c>
      <c r="M5" s="25">
        <v>2031</v>
      </c>
      <c r="N5" s="25">
        <v>2032</v>
      </c>
      <c r="O5" s="25">
        <v>2033</v>
      </c>
    </row>
    <row r="6" spans="3:15" x14ac:dyDescent="0.35">
      <c r="C6" t="s">
        <v>47</v>
      </c>
      <c r="D6" s="93">
        <v>50265316.669999994</v>
      </c>
      <c r="E6" s="93">
        <v>62402645.829999998</v>
      </c>
      <c r="F6" s="93">
        <v>61988811.160000004</v>
      </c>
      <c r="G6" s="31">
        <f>IF('LTI Model- draft'!$D$12="A",G17,IF('LTI Model- draft'!$D$12="B",G18,IF('LTI Model- draft'!$D$12="C",G19,IF('LTI Model- draft'!$D$12="D",G20,IF('LTI Model- draft'!$D$12="E",G21,IF('LTI Model- draft'!$D$12="F",G22,"error"))))))</f>
        <v>65708139.829600014</v>
      </c>
      <c r="H6" s="31">
        <f>IF('LTI Model- draft'!$D$12="A",H17,IF('LTI Model- draft'!$D$12="B",H18,IF('LTI Model- draft'!$D$12="C",H19,IF('LTI Model- draft'!$D$12="D",H20,IF('LTI Model- draft'!$D$12="E",H21,IF('LTI Model- draft'!$D$12="F",H22,"error"))))))</f>
        <v>69650628.219376013</v>
      </c>
      <c r="I6" s="31">
        <f>IF('LTI Model- draft'!$D$12="A",I17,IF('LTI Model- draft'!$D$12="B",I18,IF('LTI Model- draft'!$D$12="C",I19,IF('LTI Model- draft'!$D$12="D",I20,IF('LTI Model- draft'!$D$12="E",I21,IF('LTI Model- draft'!$D$12="F",I22,"error"))))))</f>
        <v>73829665.912538588</v>
      </c>
      <c r="J6" s="31">
        <f>IF('LTI Model- draft'!$D$12="A",J17,IF('LTI Model- draft'!$D$12="B",J18,IF('LTI Model- draft'!$D$12="C",J19,IF('LTI Model- draft'!$D$12="D",J20,IF('LTI Model- draft'!$D$12="E",J21,IF('LTI Model- draft'!$D$12="F",J22,"error"))))))</f>
        <v>78259445.867290914</v>
      </c>
      <c r="K6" s="31">
        <f>IF('LTI Model- draft'!$D$12="A",K17,IF('LTI Model- draft'!$D$12="B",K18,IF('LTI Model- draft'!$D$12="C",K19,IF('LTI Model- draft'!$D$12="D",K20,IF('LTI Model- draft'!$D$12="E",K21,IF('LTI Model- draft'!$D$12="F",K22,"error"))))))</f>
        <v>82955012.619328365</v>
      </c>
      <c r="L6" s="31">
        <f>IF('LTI Model- draft'!$D$12="A",L17,IF('LTI Model- draft'!$D$12="B",L18,IF('LTI Model- draft'!$D$12="C",L19,IF('LTI Model- draft'!$D$12="D",L20,IF('LTI Model- draft'!$D$12="E",L21,IF('LTI Model- draft'!$D$12="F",L22,"error"))))))</f>
        <v>87932313.37648809</v>
      </c>
      <c r="M6" s="31">
        <f>IF('LTI Model- draft'!$D$12="A",M17,IF('LTI Model- draft'!$D$12="B",M18,IF('LTI Model- draft'!$D$12="C",M19,IF('LTI Model- draft'!$D$12="D",M20,IF('LTI Model- draft'!$D$12="E",M21,IF('LTI Model- draft'!$D$12="F",M22,"error"))))))</f>
        <v>93208252.179077372</v>
      </c>
      <c r="N6" s="31">
        <f>IF('LTI Model- draft'!$D$12="A",N17,IF('LTI Model- draft'!$D$12="B",N18,IF('LTI Model- draft'!$D$12="C",N19,IF('LTI Model- draft'!$D$12="D",N20,IF('LTI Model- draft'!$D$12="E",N21,IF('LTI Model- draft'!$D$12="F",N22,"error"))))))</f>
        <v>98800747.309822023</v>
      </c>
      <c r="O6" s="31">
        <f>IF('LTI Model- draft'!$D$12="A",O17,IF('LTI Model- draft'!$D$12="B",O18,IF('LTI Model- draft'!$D$12="C",O19,IF('LTI Model- draft'!$D$12="D",O20,IF('LTI Model- draft'!$D$12="E",O21,IF('LTI Model- draft'!$D$12="F",O22,"error"))))))</f>
        <v>104728792.14841136</v>
      </c>
    </row>
    <row r="7" spans="3:15" x14ac:dyDescent="0.35">
      <c r="C7" t="s">
        <v>48</v>
      </c>
      <c r="D7" s="94">
        <f>31121821.545+2383563</f>
        <v>33505384.545000002</v>
      </c>
      <c r="E7" s="94">
        <f>34796929.7317+4017325</f>
        <v>38814254.731700003</v>
      </c>
      <c r="F7" s="94">
        <f>33800971.4496+3591107</f>
        <v>37392078.449600004</v>
      </c>
      <c r="G7" s="32"/>
      <c r="H7" s="32"/>
      <c r="I7" s="32"/>
      <c r="J7" s="32"/>
      <c r="K7" s="32"/>
      <c r="L7" s="32"/>
      <c r="M7" s="32"/>
      <c r="N7" s="32"/>
      <c r="O7" s="32"/>
    </row>
    <row r="8" spans="3:15" x14ac:dyDescent="0.35">
      <c r="C8" s="56" t="s">
        <v>49</v>
      </c>
      <c r="D8" s="93">
        <f t="shared" ref="D8" si="0">+D6-D7</f>
        <v>16759932.124999993</v>
      </c>
      <c r="E8" s="93">
        <f>+E6-E7</f>
        <v>23588391.098299995</v>
      </c>
      <c r="F8" s="93">
        <f>+F6-F7</f>
        <v>24596732.7104</v>
      </c>
      <c r="G8" s="32"/>
      <c r="H8" s="32"/>
      <c r="I8" s="32"/>
      <c r="J8" s="32"/>
      <c r="K8" s="32"/>
      <c r="L8" s="32"/>
      <c r="M8" s="32"/>
      <c r="N8" s="32"/>
      <c r="O8" s="32"/>
    </row>
    <row r="9" spans="3:15" x14ac:dyDescent="0.35">
      <c r="C9" t="s">
        <v>50</v>
      </c>
      <c r="D9" s="94">
        <v>9132437.7180000022</v>
      </c>
      <c r="E9" s="94">
        <v>10150353.0711</v>
      </c>
      <c r="F9" s="94">
        <v>12389729.5623</v>
      </c>
      <c r="G9" s="32"/>
      <c r="H9" s="32"/>
      <c r="I9" s="32"/>
      <c r="J9" s="32"/>
      <c r="K9" s="32"/>
      <c r="L9" s="32"/>
      <c r="M9" s="32"/>
      <c r="N9" s="32"/>
      <c r="O9" s="32"/>
    </row>
    <row r="10" spans="3:15" x14ac:dyDescent="0.35">
      <c r="C10" s="56" t="s">
        <v>51</v>
      </c>
      <c r="D10" s="93">
        <f t="shared" ref="D10:E10" si="1">+D8-D9</f>
        <v>7627494.4069999903</v>
      </c>
      <c r="E10" s="93">
        <f t="shared" si="1"/>
        <v>13438038.027199995</v>
      </c>
      <c r="F10" s="93">
        <f>+F8-F9</f>
        <v>12207003.1481</v>
      </c>
      <c r="G10" s="32"/>
      <c r="H10" s="32"/>
      <c r="I10" s="32"/>
      <c r="J10" s="32"/>
      <c r="K10" s="32"/>
      <c r="L10" s="32"/>
      <c r="M10" s="32"/>
      <c r="N10" s="32"/>
      <c r="O10" s="32"/>
    </row>
    <row r="11" spans="3:15" x14ac:dyDescent="0.35">
      <c r="C11" t="s">
        <v>52</v>
      </c>
      <c r="D11" s="95">
        <v>-2853651.3</v>
      </c>
      <c r="E11" s="95">
        <v>-2309284.4299999997</v>
      </c>
      <c r="F11" s="95">
        <v>-1819550.7000000002</v>
      </c>
      <c r="G11" s="32"/>
      <c r="H11" s="32"/>
      <c r="I11" s="32"/>
      <c r="J11" s="32"/>
      <c r="K11" s="32"/>
      <c r="L11" s="32"/>
      <c r="M11" s="32"/>
      <c r="N11" s="32"/>
      <c r="O11" s="32"/>
    </row>
    <row r="12" spans="3:15" x14ac:dyDescent="0.35">
      <c r="C12" t="s">
        <v>53</v>
      </c>
      <c r="D12" s="94">
        <v>-1455787.9400000002</v>
      </c>
      <c r="E12" s="95">
        <v>1033799.5800000001</v>
      </c>
      <c r="F12" s="94">
        <v>1878347.1299999997</v>
      </c>
      <c r="G12" s="32"/>
      <c r="H12" s="32"/>
      <c r="I12" s="32"/>
      <c r="J12" s="32"/>
      <c r="K12" s="32"/>
      <c r="L12" s="32"/>
      <c r="M12" s="32"/>
      <c r="N12" s="32"/>
      <c r="O12" s="32"/>
    </row>
    <row r="13" spans="3:15" ht="15" thickBot="1" x14ac:dyDescent="0.4">
      <c r="C13" s="56" t="s">
        <v>1109</v>
      </c>
      <c r="D13" s="96">
        <f>+D10+D11+D12</f>
        <v>3318055.1669999901</v>
      </c>
      <c r="E13" s="96">
        <f>+E10+E11+E12</f>
        <v>12162553.177199995</v>
      </c>
      <c r="F13" s="96">
        <f>+F10+F11+F12</f>
        <v>12265799.5781</v>
      </c>
      <c r="G13" s="57">
        <f>G6*G14</f>
        <v>13010211.686260803</v>
      </c>
      <c r="H13" s="57">
        <f t="shared" ref="H13:O13" si="2">H6*H14</f>
        <v>13790824.387436451</v>
      </c>
      <c r="I13" s="57">
        <f t="shared" si="2"/>
        <v>14618273.85068264</v>
      </c>
      <c r="J13" s="57">
        <f t="shared" si="2"/>
        <v>15495370.281723602</v>
      </c>
      <c r="K13" s="57">
        <f t="shared" si="2"/>
        <v>16425092.498627016</v>
      </c>
      <c r="L13" s="57">
        <f t="shared" si="2"/>
        <v>17410598.048544642</v>
      </c>
      <c r="M13" s="57">
        <f t="shared" si="2"/>
        <v>18455233.931457322</v>
      </c>
      <c r="N13" s="57">
        <f t="shared" si="2"/>
        <v>19562547.967344761</v>
      </c>
      <c r="O13" s="57">
        <f t="shared" si="2"/>
        <v>20736300.845385451</v>
      </c>
    </row>
    <row r="14" spans="3:15" ht="15" thickTop="1" x14ac:dyDescent="0.35">
      <c r="F14" s="53">
        <f>F13/F6</f>
        <v>0.19787118592161107</v>
      </c>
      <c r="G14" s="53">
        <f>19.8%</f>
        <v>0.19800000000000001</v>
      </c>
      <c r="H14" s="53">
        <f t="shared" ref="H14:O14" si="3">19.8%</f>
        <v>0.19800000000000001</v>
      </c>
      <c r="I14" s="53">
        <f t="shared" si="3"/>
        <v>0.19800000000000001</v>
      </c>
      <c r="J14" s="53">
        <f t="shared" si="3"/>
        <v>0.19800000000000001</v>
      </c>
      <c r="K14" s="53">
        <f t="shared" si="3"/>
        <v>0.19800000000000001</v>
      </c>
      <c r="L14" s="53">
        <f t="shared" si="3"/>
        <v>0.19800000000000001</v>
      </c>
      <c r="M14" s="53">
        <f t="shared" si="3"/>
        <v>0.19800000000000001</v>
      </c>
      <c r="N14" s="53">
        <f t="shared" si="3"/>
        <v>0.19800000000000001</v>
      </c>
      <c r="O14" s="53">
        <f t="shared" si="3"/>
        <v>0.19800000000000001</v>
      </c>
    </row>
    <row r="17" spans="1:15" x14ac:dyDescent="0.35">
      <c r="A17" s="58"/>
      <c r="C17" s="74" t="s">
        <v>1106</v>
      </c>
      <c r="D17" s="59">
        <f>D18</f>
        <v>50265316.669999994</v>
      </c>
      <c r="E17" s="59">
        <f t="shared" ref="E17:F17" si="4">E18</f>
        <v>62402645.829999998</v>
      </c>
      <c r="F17" s="59">
        <f t="shared" si="4"/>
        <v>61988811.160000004</v>
      </c>
      <c r="G17" s="59">
        <f t="shared" ref="G17:O17" si="5">F17*(1+G24)</f>
        <v>71936172.209999993</v>
      </c>
      <c r="H17" s="59">
        <f t="shared" si="5"/>
        <v>79471700.345054194</v>
      </c>
      <c r="I17" s="59">
        <f t="shared" si="5"/>
        <v>87152895.072693288</v>
      </c>
      <c r="J17" s="59">
        <f t="shared" si="5"/>
        <v>94971915.207473427</v>
      </c>
      <c r="K17" s="59">
        <f t="shared" si="5"/>
        <v>103281957.78812735</v>
      </c>
      <c r="L17" s="59">
        <f t="shared" si="5"/>
        <v>112448231.54182366</v>
      </c>
      <c r="M17" s="59">
        <f t="shared" si="5"/>
        <v>122709132.67001507</v>
      </c>
      <c r="N17" s="59">
        <f t="shared" si="5"/>
        <v>134213113.85782897</v>
      </c>
      <c r="O17" s="59">
        <f t="shared" si="5"/>
        <v>147298892.4589673</v>
      </c>
    </row>
    <row r="18" spans="1:15" x14ac:dyDescent="0.35">
      <c r="A18" s="54"/>
      <c r="C18" s="75" t="s">
        <v>55</v>
      </c>
      <c r="D18" s="59">
        <f>D$6</f>
        <v>50265316.669999994</v>
      </c>
      <c r="E18" s="59">
        <f t="shared" ref="E18:F22" si="6">E$6</f>
        <v>62402645.829999998</v>
      </c>
      <c r="F18" s="59">
        <f t="shared" si="6"/>
        <v>61988811.160000004</v>
      </c>
      <c r="G18" s="59">
        <f t="shared" ref="G18:O18" si="7">F18*(1+G25)</f>
        <v>69946700</v>
      </c>
      <c r="H18" s="59">
        <f t="shared" si="7"/>
        <v>75808400</v>
      </c>
      <c r="I18" s="59">
        <f t="shared" si="7"/>
        <v>81670100</v>
      </c>
      <c r="J18" s="59">
        <f t="shared" si="7"/>
        <v>87531800</v>
      </c>
      <c r="K18" s="59">
        <f t="shared" si="7"/>
        <v>93659026</v>
      </c>
      <c r="L18" s="59">
        <f t="shared" si="7"/>
        <v>100308816.846</v>
      </c>
      <c r="M18" s="59">
        <f t="shared" si="7"/>
        <v>107631360.475758</v>
      </c>
      <c r="N18" s="59">
        <f t="shared" si="7"/>
        <v>115703712.51143984</v>
      </c>
      <c r="O18" s="59">
        <f t="shared" si="7"/>
        <v>124728602.08733216</v>
      </c>
    </row>
    <row r="19" spans="1:15" x14ac:dyDescent="0.35">
      <c r="A19" s="54"/>
      <c r="C19" s="76" t="s">
        <v>56</v>
      </c>
      <c r="D19" s="59">
        <f>D$6</f>
        <v>50265316.669999994</v>
      </c>
      <c r="E19" s="59">
        <f t="shared" si="6"/>
        <v>62402645.829999998</v>
      </c>
      <c r="F19" s="59">
        <f t="shared" si="6"/>
        <v>61988811.160000004</v>
      </c>
      <c r="G19" s="60">
        <f t="shared" ref="G19:O19" si="8">F19*(1+G26)</f>
        <v>68000000</v>
      </c>
      <c r="H19" s="59">
        <f t="shared" si="8"/>
        <v>72273921.428745031</v>
      </c>
      <c r="I19" s="59">
        <f t="shared" si="8"/>
        <v>76465225.214725956</v>
      </c>
      <c r="J19" s="59">
        <f t="shared" si="8"/>
        <v>80581323.492808998</v>
      </c>
      <c r="K19" s="59">
        <f t="shared" si="8"/>
        <v>84811842.976181462</v>
      </c>
      <c r="L19" s="59">
        <f t="shared" si="8"/>
        <v>89328073.614663124</v>
      </c>
      <c r="M19" s="59">
        <f t="shared" si="8"/>
        <v>94218785.645065933</v>
      </c>
      <c r="N19" s="59">
        <f t="shared" si="8"/>
        <v>99518592.337600887</v>
      </c>
      <c r="O19" s="59">
        <f t="shared" si="8"/>
        <v>105340429.98935054</v>
      </c>
    </row>
    <row r="20" spans="1:15" x14ac:dyDescent="0.35">
      <c r="A20" s="58"/>
      <c r="C20" s="77" t="s">
        <v>57</v>
      </c>
      <c r="D20" s="59">
        <f>D18</f>
        <v>50265316.669999994</v>
      </c>
      <c r="E20" s="59">
        <f>E18</f>
        <v>62402645.829999998</v>
      </c>
      <c r="F20" s="59">
        <f>F18</f>
        <v>61988811.160000004</v>
      </c>
      <c r="G20" s="59">
        <f t="shared" ref="G20:O20" si="9">F20*(1+G27)</f>
        <v>66497202.789999999</v>
      </c>
      <c r="H20" s="59">
        <f t="shared" si="9"/>
        <v>69631803.745394692</v>
      </c>
      <c r="I20" s="59">
        <f t="shared" si="9"/>
        <v>72660365.468212858</v>
      </c>
      <c r="J20" s="59">
        <f t="shared" si="9"/>
        <v>75593828.402004734</v>
      </c>
      <c r="K20" s="59">
        <f t="shared" si="9"/>
        <v>78570335.395333663</v>
      </c>
      <c r="L20" s="59">
        <f t="shared" si="9"/>
        <v>81708238.165184796</v>
      </c>
      <c r="M20" s="59">
        <f t="shared" si="9"/>
        <v>85063382.694842696</v>
      </c>
      <c r="N20" s="59">
        <f t="shared" si="9"/>
        <v>88651994.152281374</v>
      </c>
      <c r="O20" s="59">
        <f t="shared" si="9"/>
        <v>92541600.395712703</v>
      </c>
    </row>
    <row r="21" spans="1:15" x14ac:dyDescent="0.35">
      <c r="A21" s="58"/>
      <c r="C21" s="78" t="s">
        <v>68</v>
      </c>
      <c r="D21" s="59">
        <f>D$6</f>
        <v>50265316.669999994</v>
      </c>
      <c r="E21" s="59">
        <f t="shared" si="6"/>
        <v>62402645.829999998</v>
      </c>
      <c r="F21" s="59">
        <f t="shared" si="6"/>
        <v>61988811.160000004</v>
      </c>
      <c r="G21" s="59">
        <f t="shared" ref="G21:O21" si="10">G34*1000000</f>
        <v>65708139.829600014</v>
      </c>
      <c r="H21" s="59">
        <f t="shared" si="10"/>
        <v>69650628.219376013</v>
      </c>
      <c r="I21" s="59">
        <f t="shared" si="10"/>
        <v>73829665.912538588</v>
      </c>
      <c r="J21" s="59">
        <f t="shared" si="10"/>
        <v>78259445.867290914</v>
      </c>
      <c r="K21" s="59">
        <f t="shared" si="10"/>
        <v>82955012.619328365</v>
      </c>
      <c r="L21" s="59">
        <f t="shared" si="10"/>
        <v>87932313.37648809</v>
      </c>
      <c r="M21" s="59">
        <f t="shared" si="10"/>
        <v>93208252.179077372</v>
      </c>
      <c r="N21" s="59">
        <f t="shared" si="10"/>
        <v>98800747.309822023</v>
      </c>
      <c r="O21" s="59">
        <f t="shared" si="10"/>
        <v>104728792.14841136</v>
      </c>
    </row>
    <row r="22" spans="1:15" x14ac:dyDescent="0.35">
      <c r="A22" s="58"/>
      <c r="C22" s="79" t="s">
        <v>70</v>
      </c>
      <c r="D22" s="59">
        <f>D$6</f>
        <v>50265316.669999994</v>
      </c>
      <c r="E22" s="59">
        <f t="shared" si="6"/>
        <v>62402645.829999998</v>
      </c>
      <c r="F22" s="59">
        <f t="shared" si="6"/>
        <v>61988811.160000004</v>
      </c>
      <c r="G22" s="59">
        <f t="shared" ref="G22:O22" si="11">G35*1000000</f>
        <v>65088251.71800001</v>
      </c>
      <c r="H22" s="59">
        <f t="shared" si="11"/>
        <v>62484721.649280004</v>
      </c>
      <c r="I22" s="59">
        <f t="shared" si="11"/>
        <v>69982888.24719362</v>
      </c>
      <c r="J22" s="59">
        <f t="shared" si="11"/>
        <v>70682717.129665554</v>
      </c>
      <c r="K22" s="59">
        <f t="shared" si="11"/>
        <v>81285124.699115366</v>
      </c>
      <c r="L22" s="59">
        <f t="shared" si="11"/>
        <v>80472273.452124208</v>
      </c>
      <c r="M22" s="59">
        <f t="shared" si="11"/>
        <v>89324223.531857878</v>
      </c>
      <c r="N22" s="59">
        <f t="shared" si="11"/>
        <v>84858012.355264992</v>
      </c>
      <c r="O22" s="59">
        <f t="shared" si="11"/>
        <v>86555172.602370292</v>
      </c>
    </row>
    <row r="24" spans="1:15" x14ac:dyDescent="0.35">
      <c r="B24">
        <v>1</v>
      </c>
      <c r="E24" t="s">
        <v>58</v>
      </c>
      <c r="F24" t="s">
        <v>59</v>
      </c>
      <c r="G24" s="61">
        <f>G25*(1+'LTI Model- draft'!$T$40)</f>
        <v>0.16047026655059971</v>
      </c>
      <c r="H24" s="61">
        <f>H25*(1+'LTI Model- draft'!$T$40)</f>
        <v>0.10475297619473106</v>
      </c>
      <c r="I24" s="61">
        <f>I25*(1+'LTI Model- draft'!$T$40)</f>
        <v>9.6653207296289179E-2</v>
      </c>
      <c r="J24" s="61">
        <f>J25*(1+'LTI Model- draft'!$T$40)</f>
        <v>8.9716126219999692E-2</v>
      </c>
      <c r="K24" s="61">
        <f>K25*(1+'LTI Model- draft'!$T$40)</f>
        <v>8.7500000000000008E-2</v>
      </c>
      <c r="L24" s="61">
        <f>L25*(1+'LTI Model- draft'!$T$40)</f>
        <v>8.8749999999999996E-2</v>
      </c>
      <c r="M24" s="61">
        <f>M25*(1+'LTI Model- draft'!$T$40)</f>
        <v>9.1249999999999998E-2</v>
      </c>
      <c r="N24" s="61">
        <f>N25*(1+'LTI Model- draft'!$T$40)</f>
        <v>9.375E-2</v>
      </c>
      <c r="O24" s="61">
        <f>O25*(1+'LTI Model- draft'!$T$40)</f>
        <v>9.7500000000000003E-2</v>
      </c>
    </row>
    <row r="25" spans="1:15" x14ac:dyDescent="0.35">
      <c r="B25">
        <v>2</v>
      </c>
      <c r="D25" s="54" t="s">
        <v>60</v>
      </c>
      <c r="F25" t="s">
        <v>55</v>
      </c>
      <c r="G25" s="61">
        <v>0.12837621324047976</v>
      </c>
      <c r="H25" s="61">
        <v>8.380238095578485E-2</v>
      </c>
      <c r="I25" s="61">
        <v>7.7322565837031343E-2</v>
      </c>
      <c r="J25" s="61">
        <v>7.1772900975999754E-2</v>
      </c>
      <c r="K25" s="61">
        <v>7.0000000000000007E-2</v>
      </c>
      <c r="L25" s="61">
        <v>7.0999999999999994E-2</v>
      </c>
      <c r="M25" s="61">
        <v>7.2999999999999995E-2</v>
      </c>
      <c r="N25" s="61">
        <v>7.4999999999999997E-2</v>
      </c>
      <c r="O25" s="61">
        <v>7.8E-2</v>
      </c>
    </row>
    <row r="26" spans="1:15" x14ac:dyDescent="0.35">
      <c r="B26">
        <v>3</v>
      </c>
      <c r="C26" s="62" t="s">
        <v>61</v>
      </c>
      <c r="D26" s="81">
        <v>1.0071664249752617</v>
      </c>
      <c r="E26" s="80">
        <v>0.75</v>
      </c>
      <c r="F26" t="s">
        <v>56</v>
      </c>
      <c r="G26" s="62">
        <f>G25*75%*D26</f>
        <v>9.6972158805956887E-2</v>
      </c>
      <c r="H26" s="61">
        <f t="shared" ref="H26:O26" si="12">H25*$E$26</f>
        <v>6.2851785716838637E-2</v>
      </c>
      <c r="I26" s="61">
        <f t="shared" si="12"/>
        <v>5.7991924377773507E-2</v>
      </c>
      <c r="J26" s="61">
        <f t="shared" si="12"/>
        <v>5.3829675731999815E-2</v>
      </c>
      <c r="K26" s="61">
        <f t="shared" si="12"/>
        <v>5.2500000000000005E-2</v>
      </c>
      <c r="L26" s="61">
        <f t="shared" si="12"/>
        <v>5.3249999999999992E-2</v>
      </c>
      <c r="M26" s="61">
        <f t="shared" si="12"/>
        <v>5.4749999999999993E-2</v>
      </c>
      <c r="N26" s="61">
        <f t="shared" si="12"/>
        <v>5.6249999999999994E-2</v>
      </c>
      <c r="O26" s="61">
        <f t="shared" si="12"/>
        <v>5.8499999999999996E-2</v>
      </c>
    </row>
    <row r="27" spans="1:15" x14ac:dyDescent="0.35">
      <c r="B27">
        <v>4</v>
      </c>
      <c r="D27" s="80">
        <v>-0.25</v>
      </c>
      <c r="F27" t="s">
        <v>62</v>
      </c>
      <c r="G27" s="61">
        <f>G26*(1+$D$27)</f>
        <v>7.2729119104467665E-2</v>
      </c>
      <c r="H27" s="61">
        <f t="shared" ref="H27:O27" si="13">H26*0.75</f>
        <v>4.7138839287628978E-2</v>
      </c>
      <c r="I27" s="61">
        <f t="shared" si="13"/>
        <v>4.349394328333013E-2</v>
      </c>
      <c r="J27" s="61">
        <f t="shared" si="13"/>
        <v>4.0372256798999862E-2</v>
      </c>
      <c r="K27" s="61">
        <f t="shared" si="13"/>
        <v>3.9375000000000007E-2</v>
      </c>
      <c r="L27" s="61">
        <f t="shared" si="13"/>
        <v>3.9937499999999994E-2</v>
      </c>
      <c r="M27" s="61">
        <f t="shared" si="13"/>
        <v>4.1062499999999995E-2</v>
      </c>
      <c r="N27" s="61">
        <f t="shared" si="13"/>
        <v>4.2187499999999996E-2</v>
      </c>
      <c r="O27" s="61">
        <f t="shared" si="13"/>
        <v>4.3874999999999997E-2</v>
      </c>
    </row>
    <row r="28" spans="1:15" x14ac:dyDescent="0.35">
      <c r="G28" s="63"/>
      <c r="H28" s="63"/>
      <c r="I28" s="63"/>
      <c r="J28" s="63"/>
      <c r="K28" s="63"/>
      <c r="L28" s="63"/>
      <c r="M28" s="63"/>
      <c r="N28" s="63"/>
      <c r="O28" s="63"/>
    </row>
    <row r="29" spans="1:15" x14ac:dyDescent="0.35">
      <c r="D29" s="25">
        <v>2022</v>
      </c>
      <c r="E29" s="25">
        <v>2023</v>
      </c>
      <c r="F29" s="25">
        <v>2024</v>
      </c>
      <c r="G29" s="25">
        <v>2025</v>
      </c>
      <c r="H29" s="25">
        <v>2026</v>
      </c>
      <c r="I29" s="25">
        <v>2027</v>
      </c>
      <c r="J29" s="25">
        <v>2028</v>
      </c>
      <c r="K29" s="25">
        <v>2029</v>
      </c>
      <c r="L29" s="25">
        <v>2030</v>
      </c>
      <c r="M29" s="25">
        <v>2031</v>
      </c>
      <c r="N29" s="25">
        <v>2032</v>
      </c>
      <c r="O29" s="25">
        <v>2033</v>
      </c>
    </row>
    <row r="30" spans="1:15" x14ac:dyDescent="0.35">
      <c r="A30" s="69" t="s">
        <v>63</v>
      </c>
      <c r="C30" s="74" t="s">
        <v>1106</v>
      </c>
      <c r="D30" s="64">
        <f>D17/1000000</f>
        <v>50.265316669999997</v>
      </c>
      <c r="E30" s="64">
        <f t="shared" ref="E30:K30" si="14">E17/1000000</f>
        <v>62.402645829999997</v>
      </c>
      <c r="F30" s="64">
        <f t="shared" si="14"/>
        <v>61.988811160000004</v>
      </c>
      <c r="G30" s="64">
        <f t="shared" si="14"/>
        <v>71.936172209999995</v>
      </c>
      <c r="H30" s="64">
        <f t="shared" si="14"/>
        <v>79.471700345054188</v>
      </c>
      <c r="I30" s="64">
        <f t="shared" si="14"/>
        <v>87.152895072693283</v>
      </c>
      <c r="J30" s="64">
        <f t="shared" si="14"/>
        <v>94.97191520747343</v>
      </c>
      <c r="K30" s="30">
        <f t="shared" si="14"/>
        <v>103.28195778812734</v>
      </c>
      <c r="L30" s="30">
        <f t="shared" ref="L30:M30" si="15">L17/1000000</f>
        <v>112.44823154182366</v>
      </c>
      <c r="M30" s="30">
        <f t="shared" si="15"/>
        <v>122.70913267001507</v>
      </c>
      <c r="N30" s="30">
        <f t="shared" ref="N30:O30" si="16">N17/1000000</f>
        <v>134.21311385782897</v>
      </c>
      <c r="O30" s="30">
        <f t="shared" si="16"/>
        <v>147.29889245896729</v>
      </c>
    </row>
    <row r="31" spans="1:15" x14ac:dyDescent="0.35">
      <c r="A31" s="69" t="s">
        <v>64</v>
      </c>
      <c r="C31" s="75" t="s">
        <v>55</v>
      </c>
      <c r="D31" s="64">
        <f t="shared" ref="D31:K33" si="17">D18/1000000</f>
        <v>50.265316669999997</v>
      </c>
      <c r="E31" s="64">
        <f t="shared" si="17"/>
        <v>62.402645829999997</v>
      </c>
      <c r="F31" s="64">
        <f t="shared" si="17"/>
        <v>61.988811160000004</v>
      </c>
      <c r="G31" s="64">
        <f t="shared" si="17"/>
        <v>69.946700000000007</v>
      </c>
      <c r="H31" s="64">
        <f t="shared" si="17"/>
        <v>75.808400000000006</v>
      </c>
      <c r="I31" s="64">
        <f t="shared" si="17"/>
        <v>81.670100000000005</v>
      </c>
      <c r="J31" s="64">
        <f t="shared" si="17"/>
        <v>87.531800000000004</v>
      </c>
      <c r="K31" s="30">
        <f t="shared" si="17"/>
        <v>93.659025999999997</v>
      </c>
      <c r="L31" s="30">
        <f t="shared" ref="L31:M31" si="18">L18/1000000</f>
        <v>100.308816846</v>
      </c>
      <c r="M31" s="30">
        <f t="shared" si="18"/>
        <v>107.631360475758</v>
      </c>
      <c r="N31" s="30">
        <f t="shared" ref="N31:O31" si="19">N18/1000000</f>
        <v>115.70371251143985</v>
      </c>
      <c r="O31" s="30">
        <f t="shared" si="19"/>
        <v>124.72860208733216</v>
      </c>
    </row>
    <row r="32" spans="1:15" x14ac:dyDescent="0.35">
      <c r="A32" s="69" t="s">
        <v>65</v>
      </c>
      <c r="C32" s="76" t="s">
        <v>56</v>
      </c>
      <c r="D32" s="64">
        <f t="shared" si="17"/>
        <v>50.265316669999997</v>
      </c>
      <c r="E32" s="64">
        <f t="shared" si="17"/>
        <v>62.402645829999997</v>
      </c>
      <c r="F32" s="64">
        <f t="shared" si="17"/>
        <v>61.988811160000004</v>
      </c>
      <c r="G32" s="64">
        <f t="shared" si="17"/>
        <v>68</v>
      </c>
      <c r="H32" s="64">
        <f t="shared" si="17"/>
        <v>72.273921428745027</v>
      </c>
      <c r="I32" s="64">
        <f t="shared" si="17"/>
        <v>76.465225214725962</v>
      </c>
      <c r="J32" s="64">
        <f t="shared" si="17"/>
        <v>80.581323492808991</v>
      </c>
      <c r="K32" s="30">
        <f t="shared" si="17"/>
        <v>84.811842976181467</v>
      </c>
      <c r="L32" s="30">
        <f t="shared" ref="L32:M32" si="20">L19/1000000</f>
        <v>89.328073614663126</v>
      </c>
      <c r="M32" s="30">
        <f t="shared" si="20"/>
        <v>94.218785645065935</v>
      </c>
      <c r="N32" s="30">
        <f t="shared" ref="N32:O32" si="21">N19/1000000</f>
        <v>99.518592337600893</v>
      </c>
      <c r="O32" s="30">
        <f t="shared" si="21"/>
        <v>105.34042998935054</v>
      </c>
    </row>
    <row r="33" spans="1:15" x14ac:dyDescent="0.35">
      <c r="A33" s="69" t="s">
        <v>66</v>
      </c>
      <c r="C33" s="77" t="s">
        <v>57</v>
      </c>
      <c r="D33" s="64">
        <f t="shared" si="17"/>
        <v>50.265316669999997</v>
      </c>
      <c r="E33" s="64">
        <f t="shared" si="17"/>
        <v>62.402645829999997</v>
      </c>
      <c r="F33" s="64">
        <f t="shared" si="17"/>
        <v>61.988811160000004</v>
      </c>
      <c r="G33" s="64">
        <f t="shared" si="17"/>
        <v>66.497202790000003</v>
      </c>
      <c r="H33" s="64">
        <f t="shared" si="17"/>
        <v>69.631803745394691</v>
      </c>
      <c r="I33" s="64">
        <f t="shared" si="17"/>
        <v>72.660365468212859</v>
      </c>
      <c r="J33" s="64">
        <f t="shared" si="17"/>
        <v>75.593828402004732</v>
      </c>
      <c r="K33" s="30">
        <f t="shared" si="17"/>
        <v>78.570335395333657</v>
      </c>
      <c r="L33" s="30">
        <f t="shared" ref="L33:M33" si="22">L20/1000000</f>
        <v>81.708238165184795</v>
      </c>
      <c r="M33" s="30">
        <f t="shared" si="22"/>
        <v>85.063382694842701</v>
      </c>
      <c r="N33" s="30">
        <f t="shared" ref="N33:O33" si="23">N20/1000000</f>
        <v>88.651994152281375</v>
      </c>
      <c r="O33" s="30">
        <f t="shared" si="23"/>
        <v>92.541600395712706</v>
      </c>
    </row>
    <row r="34" spans="1:15" x14ac:dyDescent="0.35">
      <c r="A34" s="69" t="s">
        <v>67</v>
      </c>
      <c r="C34" s="78" t="s">
        <v>68</v>
      </c>
      <c r="D34" s="64">
        <f t="shared" ref="D34:F35" si="24">D33</f>
        <v>50.265316669999997</v>
      </c>
      <c r="E34" s="64">
        <f t="shared" si="24"/>
        <v>62.402645829999997</v>
      </c>
      <c r="F34" s="64">
        <f t="shared" si="24"/>
        <v>61.988811160000004</v>
      </c>
      <c r="G34" s="65">
        <f>F34*(1+'LTI Model- draft'!$T$44)</f>
        <v>65.708139829600015</v>
      </c>
      <c r="H34" s="64">
        <f>G34*(1+'LTI Model- draft'!$T$44)</f>
        <v>69.650628219376017</v>
      </c>
      <c r="I34" s="64">
        <f>H34*(1+'LTI Model- draft'!$T$44)</f>
        <v>73.829665912538587</v>
      </c>
      <c r="J34" s="64">
        <f>I34*(1+'LTI Model- draft'!$T$44)</f>
        <v>78.259445867290907</v>
      </c>
      <c r="K34" s="64">
        <f>J34*(1+'LTI Model- draft'!$T$44)</f>
        <v>82.955012619328372</v>
      </c>
      <c r="L34" s="64">
        <f>K34*(1+'LTI Model- draft'!$T$44)</f>
        <v>87.932313376488082</v>
      </c>
      <c r="M34" s="64">
        <f>L34*(1+'LTI Model- draft'!$T$44)</f>
        <v>93.208252179077377</v>
      </c>
      <c r="N34" s="64">
        <f>M34*(1+'LTI Model- draft'!$T$44)</f>
        <v>98.800747309822029</v>
      </c>
      <c r="O34" s="64">
        <f>N34*(1+'LTI Model- draft'!$T$44)</f>
        <v>104.72879214841136</v>
      </c>
    </row>
    <row r="35" spans="1:15" x14ac:dyDescent="0.35">
      <c r="A35" s="69" t="s">
        <v>69</v>
      </c>
      <c r="C35" s="79" t="s">
        <v>70</v>
      </c>
      <c r="D35" s="64">
        <f t="shared" si="24"/>
        <v>50.265316669999997</v>
      </c>
      <c r="E35" s="64">
        <f t="shared" si="24"/>
        <v>62.402645829999997</v>
      </c>
      <c r="F35" s="64">
        <f t="shared" si="24"/>
        <v>61.988811160000004</v>
      </c>
      <c r="G35" s="66">
        <f t="shared" ref="G35:O35" si="25">F35*(1+G36)</f>
        <v>65.088251718000009</v>
      </c>
      <c r="H35" s="66">
        <f t="shared" si="25"/>
        <v>62.484721649280004</v>
      </c>
      <c r="I35" s="66">
        <f t="shared" si="25"/>
        <v>69.982888247193614</v>
      </c>
      <c r="J35" s="66">
        <f t="shared" si="25"/>
        <v>70.682717129665548</v>
      </c>
      <c r="K35" s="66">
        <f t="shared" si="25"/>
        <v>81.285124699115372</v>
      </c>
      <c r="L35" s="66">
        <f t="shared" si="25"/>
        <v>80.472273452124213</v>
      </c>
      <c r="M35" s="66">
        <f t="shared" si="25"/>
        <v>89.324223531857882</v>
      </c>
      <c r="N35" s="66">
        <f t="shared" si="25"/>
        <v>84.858012355264989</v>
      </c>
      <c r="O35" s="66">
        <f t="shared" si="25"/>
        <v>86.555172602370291</v>
      </c>
    </row>
    <row r="36" spans="1:15" x14ac:dyDescent="0.35">
      <c r="F36" s="69" t="s">
        <v>71</v>
      </c>
      <c r="G36" s="67">
        <f>IF('LTI Model- draft'!$P$8=1,'LTI Model- draft'!R48,IF('LTI Model- draft'!$P$8=2,'LTI Model- draft'!R49,'LTI Model- draft'!R50))</f>
        <v>0.05</v>
      </c>
      <c r="H36" s="67">
        <f>IF('LTI Model- draft'!$P$8=1,'LTI Model- draft'!S48,IF('LTI Model- draft'!$P$8=2,'LTI Model- draft'!S49,'LTI Model- draft'!S50))</f>
        <v>-0.04</v>
      </c>
      <c r="I36" s="67">
        <f>IF('LTI Model- draft'!$P$8=1,'LTI Model- draft'!T48,IF('LTI Model- draft'!$P$8=2,'LTI Model- draft'!T49,'LTI Model- draft'!T50))</f>
        <v>0.12</v>
      </c>
      <c r="J36" s="67">
        <f>IF('LTI Model- draft'!$P$8=1,'LTI Model- draft'!U48,IF('LTI Model- draft'!$P$8=2,'LTI Model- draft'!U49,'LTI Model- draft'!U50))</f>
        <v>0.01</v>
      </c>
      <c r="K36" s="67">
        <f>IF('LTI Model- draft'!$P$8=1,'LTI Model- draft'!V48,IF('LTI Model- draft'!$P$8=2,'LTI Model- draft'!V49,'LTI Model- draft'!V50))</f>
        <v>0.15</v>
      </c>
      <c r="L36" s="67">
        <f>IF('LTI Model- draft'!$P$8=1,'LTI Model- draft'!W48,IF('LTI Model- draft'!$P$8=2,'LTI Model- draft'!W49,'LTI Model- draft'!W50))</f>
        <v>-0.01</v>
      </c>
      <c r="M36" s="67">
        <f>IF('LTI Model- draft'!$P$8=1,'LTI Model- draft'!X48,IF('LTI Model- draft'!$P$8=2,'LTI Model- draft'!X49,'LTI Model- draft'!X50))</f>
        <v>0.11</v>
      </c>
      <c r="N36" s="67">
        <f>IF('LTI Model- draft'!$P$8=1,'LTI Model- draft'!Y48,IF('LTI Model- draft'!$P$8=2,'LTI Model- draft'!Y49,'LTI Model- draft'!Y50))</f>
        <v>-0.05</v>
      </c>
      <c r="O36" s="67">
        <f>IF('LTI Model- draft'!$P$8=1,'LTI Model- draft'!Z48,IF('LTI Model- draft'!$P$8=2,'LTI Model- draft'!Z49,'LTI Model- draft'!Z50))</f>
        <v>0.02</v>
      </c>
    </row>
    <row r="37" spans="1:15" x14ac:dyDescent="0.35">
      <c r="E37" s="82" t="s">
        <v>76</v>
      </c>
      <c r="F37" s="73">
        <f>'LTI Model- draft'!P8</f>
        <v>1</v>
      </c>
    </row>
    <row r="39" spans="1:15" x14ac:dyDescent="0.35">
      <c r="C39" s="63">
        <v>0.1105099196108881</v>
      </c>
    </row>
    <row r="42" spans="1:15" x14ac:dyDescent="0.35">
      <c r="B42" t="s">
        <v>1096</v>
      </c>
      <c r="C42" t="s">
        <v>1095</v>
      </c>
      <c r="D42" s="91">
        <f>AVERAGE(E42:G42)</f>
        <v>9.8277867734492583E-2</v>
      </c>
      <c r="E42" s="54">
        <f>E6/D6-1</f>
        <v>0.2414652878779926</v>
      </c>
      <c r="F42" s="54">
        <f>F6/E6-1</f>
        <v>-6.6316846745149149E-3</v>
      </c>
      <c r="G42" s="54">
        <f>G6/F6-1</f>
        <v>6.0000000000000053E-2</v>
      </c>
    </row>
    <row r="43" spans="1:15" x14ac:dyDescent="0.35">
      <c r="D43" s="52">
        <f>_xlfn.STDEV.S(D6:G6)/C45</f>
        <v>0.11247465489737711</v>
      </c>
    </row>
    <row r="45" spans="1:15" x14ac:dyDescent="0.35">
      <c r="C45" s="32">
        <f>AVERAGE(D6:G6)</f>
        <v>60091228.372400001</v>
      </c>
    </row>
    <row r="75" spans="3:15" x14ac:dyDescent="0.35">
      <c r="D75" s="25">
        <v>2022</v>
      </c>
      <c r="E75" s="25">
        <v>2023</v>
      </c>
      <c r="F75" s="25">
        <v>2024</v>
      </c>
      <c r="G75" s="25">
        <v>2025</v>
      </c>
      <c r="H75" s="25">
        <v>2026</v>
      </c>
      <c r="I75" s="25">
        <v>2027</v>
      </c>
      <c r="J75" s="25">
        <v>2028</v>
      </c>
      <c r="K75" s="25">
        <v>2029</v>
      </c>
      <c r="L75" s="25">
        <v>2030</v>
      </c>
      <c r="M75" s="25">
        <v>2031</v>
      </c>
      <c r="N75" s="25">
        <v>2032</v>
      </c>
      <c r="O75" s="25">
        <v>2033</v>
      </c>
    </row>
    <row r="76" spans="3:15" x14ac:dyDescent="0.35">
      <c r="C76" t="s">
        <v>54</v>
      </c>
      <c r="D76" s="64">
        <f>$D$13/1000000</f>
        <v>3.31805516699999</v>
      </c>
      <c r="E76" s="64">
        <f>$E$13/1000000</f>
        <v>12.162553177199996</v>
      </c>
      <c r="F76" s="64">
        <f>$F$13/1000000</f>
        <v>12.265799578099999</v>
      </c>
      <c r="G76" s="64">
        <f>(G17*19.8%)/1000000</f>
        <v>14.243362097579999</v>
      </c>
      <c r="H76" s="64">
        <f t="shared" ref="H76:O76" si="26">(H17*19.8%)/1000000</f>
        <v>15.73539666832073</v>
      </c>
      <c r="I76" s="64">
        <f t="shared" si="26"/>
        <v>17.256273224393272</v>
      </c>
      <c r="J76" s="64">
        <f t="shared" si="26"/>
        <v>18.804439211079739</v>
      </c>
      <c r="K76" s="64">
        <f t="shared" si="26"/>
        <v>20.449827642049215</v>
      </c>
      <c r="L76" s="64">
        <f t="shared" si="26"/>
        <v>22.264749845281084</v>
      </c>
      <c r="M76" s="64">
        <f t="shared" si="26"/>
        <v>24.296408268662987</v>
      </c>
      <c r="N76" s="64">
        <f t="shared" si="26"/>
        <v>26.574196543850139</v>
      </c>
      <c r="O76" s="64">
        <f t="shared" si="26"/>
        <v>29.165180706875525</v>
      </c>
    </row>
    <row r="77" spans="3:15" x14ac:dyDescent="0.35">
      <c r="C77" t="s">
        <v>55</v>
      </c>
      <c r="D77" s="64">
        <f t="shared" ref="D77:D81" si="27">$D$13/1000000</f>
        <v>3.31805516699999</v>
      </c>
      <c r="E77" s="64">
        <f t="shared" ref="E77:E81" si="28">$E$13/1000000</f>
        <v>12.162553177199996</v>
      </c>
      <c r="F77" s="64">
        <f t="shared" ref="F77:F81" si="29">$F$13/1000000</f>
        <v>12.265799578099999</v>
      </c>
      <c r="G77" s="64">
        <f t="shared" ref="G77:O77" si="30">(G18*19.8%)/1000000</f>
        <v>13.849446600000002</v>
      </c>
      <c r="H77" s="64">
        <f t="shared" si="30"/>
        <v>15.010063200000001</v>
      </c>
      <c r="I77" s="64">
        <f t="shared" si="30"/>
        <v>16.170679800000002</v>
      </c>
      <c r="J77" s="64">
        <f t="shared" si="30"/>
        <v>17.331296400000003</v>
      </c>
      <c r="K77" s="64">
        <f t="shared" si="30"/>
        <v>18.544487148000002</v>
      </c>
      <c r="L77" s="64">
        <f t="shared" si="30"/>
        <v>19.861145735508003</v>
      </c>
      <c r="M77" s="64">
        <f t="shared" si="30"/>
        <v>21.311009374200086</v>
      </c>
      <c r="N77" s="64">
        <f t="shared" si="30"/>
        <v>22.909335077265091</v>
      </c>
      <c r="O77" s="64">
        <f t="shared" si="30"/>
        <v>24.696263213291768</v>
      </c>
    </row>
    <row r="78" spans="3:15" x14ac:dyDescent="0.35">
      <c r="C78" t="s">
        <v>56</v>
      </c>
      <c r="D78" s="64">
        <f t="shared" si="27"/>
        <v>3.31805516699999</v>
      </c>
      <c r="E78" s="64">
        <f t="shared" si="28"/>
        <v>12.162553177199996</v>
      </c>
      <c r="F78" s="64">
        <f t="shared" si="29"/>
        <v>12.265799578099999</v>
      </c>
      <c r="G78" s="64">
        <f t="shared" ref="G78:O78" si="31">(G19*19.8%)/1000000</f>
        <v>13.464</v>
      </c>
      <c r="H78" s="64">
        <f t="shared" si="31"/>
        <v>14.310236442891517</v>
      </c>
      <c r="I78" s="64">
        <f t="shared" si="31"/>
        <v>15.14011459251574</v>
      </c>
      <c r="J78" s="64">
        <f t="shared" si="31"/>
        <v>15.955102051576182</v>
      </c>
      <c r="K78" s="64">
        <f t="shared" si="31"/>
        <v>16.792744909283929</v>
      </c>
      <c r="L78" s="64">
        <f t="shared" si="31"/>
        <v>17.686958575703301</v>
      </c>
      <c r="M78" s="64">
        <f t="shared" si="31"/>
        <v>18.655319557723057</v>
      </c>
      <c r="N78" s="64">
        <f t="shared" si="31"/>
        <v>19.704681282844977</v>
      </c>
      <c r="O78" s="64">
        <f t="shared" si="31"/>
        <v>20.857405137891408</v>
      </c>
    </row>
    <row r="79" spans="3:15" x14ac:dyDescent="0.35">
      <c r="C79" t="s">
        <v>57</v>
      </c>
      <c r="D79" s="64">
        <f t="shared" si="27"/>
        <v>3.31805516699999</v>
      </c>
      <c r="E79" s="64">
        <f t="shared" si="28"/>
        <v>12.162553177199996</v>
      </c>
      <c r="F79" s="64">
        <f t="shared" si="29"/>
        <v>12.265799578099999</v>
      </c>
      <c r="G79" s="64">
        <f t="shared" ref="G79:O79" si="32">(G20*19.8%)/1000000</f>
        <v>13.166446152420001</v>
      </c>
      <c r="H79" s="64">
        <f t="shared" si="32"/>
        <v>13.78709714158815</v>
      </c>
      <c r="I79" s="64">
        <f t="shared" si="32"/>
        <v>14.386752362706147</v>
      </c>
      <c r="J79" s="64">
        <f t="shared" si="32"/>
        <v>14.967578023596939</v>
      </c>
      <c r="K79" s="64">
        <f t="shared" si="32"/>
        <v>15.556926408276066</v>
      </c>
      <c r="L79" s="64">
        <f t="shared" si="32"/>
        <v>16.178231156706591</v>
      </c>
      <c r="M79" s="64">
        <f t="shared" si="32"/>
        <v>16.842549773578856</v>
      </c>
      <c r="N79" s="64">
        <f t="shared" si="32"/>
        <v>17.553094842151712</v>
      </c>
      <c r="O79" s="64">
        <f t="shared" si="32"/>
        <v>18.323236878351114</v>
      </c>
    </row>
    <row r="80" spans="3:15" x14ac:dyDescent="0.35">
      <c r="C80" t="s">
        <v>68</v>
      </c>
      <c r="D80" s="64">
        <f t="shared" si="27"/>
        <v>3.31805516699999</v>
      </c>
      <c r="E80" s="64">
        <f t="shared" si="28"/>
        <v>12.162553177199996</v>
      </c>
      <c r="F80" s="64">
        <f t="shared" si="29"/>
        <v>12.265799578099999</v>
      </c>
      <c r="G80" s="64">
        <f t="shared" ref="G80:O80" si="33">(G21*19.8%)/1000000</f>
        <v>13.010211686260803</v>
      </c>
      <c r="H80" s="64">
        <f t="shared" si="33"/>
        <v>13.790824387436452</v>
      </c>
      <c r="I80" s="64">
        <f t="shared" si="33"/>
        <v>14.618273850682641</v>
      </c>
      <c r="J80" s="64">
        <f t="shared" si="33"/>
        <v>15.495370281723602</v>
      </c>
      <c r="K80" s="64">
        <f t="shared" si="33"/>
        <v>16.425092498627016</v>
      </c>
      <c r="L80" s="64">
        <f t="shared" si="33"/>
        <v>17.410598048544642</v>
      </c>
      <c r="M80" s="64">
        <f t="shared" si="33"/>
        <v>18.455233931457322</v>
      </c>
      <c r="N80" s="64">
        <f t="shared" si="33"/>
        <v>19.562547967344759</v>
      </c>
      <c r="O80" s="64">
        <f t="shared" si="33"/>
        <v>20.73630084538545</v>
      </c>
    </row>
    <row r="81" spans="3:15" x14ac:dyDescent="0.35">
      <c r="C81" t="s">
        <v>70</v>
      </c>
      <c r="D81" s="64">
        <f t="shared" si="27"/>
        <v>3.31805516699999</v>
      </c>
      <c r="E81" s="64">
        <f t="shared" si="28"/>
        <v>12.162553177199996</v>
      </c>
      <c r="F81" s="64">
        <f t="shared" si="29"/>
        <v>12.265799578099999</v>
      </c>
      <c r="G81" s="64">
        <f t="shared" ref="G81:O81" si="34">(G22*19.8%)/1000000</f>
        <v>12.887473840164002</v>
      </c>
      <c r="H81" s="64">
        <f t="shared" si="34"/>
        <v>12.371974886557441</v>
      </c>
      <c r="I81" s="64">
        <f t="shared" si="34"/>
        <v>13.856611872944338</v>
      </c>
      <c r="J81" s="64">
        <f t="shared" si="34"/>
        <v>13.995177991673781</v>
      </c>
      <c r="K81" s="64">
        <f t="shared" si="34"/>
        <v>16.094454690424843</v>
      </c>
      <c r="L81" s="64">
        <f t="shared" si="34"/>
        <v>15.933510143520593</v>
      </c>
      <c r="M81" s="64">
        <f t="shared" si="34"/>
        <v>17.686196259307863</v>
      </c>
      <c r="N81" s="64">
        <f t="shared" si="34"/>
        <v>16.801886446342468</v>
      </c>
      <c r="O81" s="64">
        <f t="shared" si="34"/>
        <v>17.137924175269315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1612-C60C-48F9-BD04-518D777105CC}">
  <sheetPr codeName="Sheet4"/>
  <dimension ref="C2:ALQ27"/>
  <sheetViews>
    <sheetView zoomScale="80" zoomScaleNormal="80" workbookViewId="0">
      <selection activeCell="H38" sqref="H38"/>
    </sheetView>
  </sheetViews>
  <sheetFormatPr defaultRowHeight="14.5" x14ac:dyDescent="0.35"/>
  <cols>
    <col min="3" max="3" width="22" customWidth="1"/>
    <col min="4" max="4" width="24.26953125" customWidth="1"/>
    <col min="6" max="6" width="14.26953125" bestFit="1" customWidth="1"/>
    <col min="11" max="11" width="13.54296875" customWidth="1"/>
  </cols>
  <sheetData>
    <row r="2" spans="3:1005" x14ac:dyDescent="0.35">
      <c r="C2" s="16" t="s">
        <v>1088</v>
      </c>
      <c r="D2" s="16" t="s">
        <v>1086</v>
      </c>
    </row>
    <row r="3" spans="3:1005" x14ac:dyDescent="0.35">
      <c r="C3" s="88" t="s">
        <v>1089</v>
      </c>
      <c r="D3" s="54">
        <v>61.988810999999998</v>
      </c>
    </row>
    <row r="4" spans="3:1005" x14ac:dyDescent="0.35">
      <c r="C4" s="88" t="s">
        <v>1094</v>
      </c>
      <c r="D4" s="89">
        <v>0.1</v>
      </c>
    </row>
    <row r="5" spans="3:1005" x14ac:dyDescent="0.35">
      <c r="C5" s="88" t="s">
        <v>1090</v>
      </c>
      <c r="D5" s="89">
        <v>0.4</v>
      </c>
    </row>
    <row r="6" spans="3:1005" x14ac:dyDescent="0.35">
      <c r="C6" s="88" t="s">
        <v>1091</v>
      </c>
      <c r="D6" s="4" t="s">
        <v>1092</v>
      </c>
    </row>
    <row r="7" spans="3:1005" x14ac:dyDescent="0.35">
      <c r="C7" s="88" t="s">
        <v>1093</v>
      </c>
      <c r="D7" s="88">
        <v>1000</v>
      </c>
    </row>
    <row r="9" spans="3:1005" x14ac:dyDescent="0.35">
      <c r="C9" t="s">
        <v>1087</v>
      </c>
      <c r="D9" t="s">
        <v>1086</v>
      </c>
    </row>
    <row r="10" spans="3:1005" x14ac:dyDescent="0.35">
      <c r="C10" t="s">
        <v>1085</v>
      </c>
      <c r="D10" s="59">
        <f ca="1">AVERAGE(Simulations!F27:ALQ27)</f>
        <v>169.26836188320658</v>
      </c>
    </row>
    <row r="11" spans="3:1005" x14ac:dyDescent="0.35">
      <c r="C11" t="s">
        <v>1084</v>
      </c>
      <c r="D11" s="59">
        <f ca="1">MEDIAN(Simulations!F27:ALQ27)</f>
        <v>77.255793108493123</v>
      </c>
    </row>
    <row r="12" spans="3:1005" x14ac:dyDescent="0.35">
      <c r="C12" t="s">
        <v>1083</v>
      </c>
      <c r="D12" s="59">
        <f ca="1">_xlfn.PERCENTILE.INC(Simulations!F27:ALQ27, 0.1)</f>
        <v>7.7223061216625144</v>
      </c>
    </row>
    <row r="13" spans="3:1005" x14ac:dyDescent="0.35">
      <c r="C13" t="s">
        <v>1082</v>
      </c>
      <c r="D13" s="59">
        <f ca="1">_xlfn.PERCENTILE.INC(Simulations!F27:ALQ27, 0.9)</f>
        <v>403.48265733070474</v>
      </c>
    </row>
    <row r="16" spans="3:1005" x14ac:dyDescent="0.35">
      <c r="D16" t="s">
        <v>1098</v>
      </c>
      <c r="E16" t="s">
        <v>1081</v>
      </c>
      <c r="F16" t="s">
        <v>1080</v>
      </c>
      <c r="G16" t="s">
        <v>1079</v>
      </c>
      <c r="H16" t="s">
        <v>1078</v>
      </c>
      <c r="I16" t="s">
        <v>1077</v>
      </c>
      <c r="J16" t="s">
        <v>1076</v>
      </c>
      <c r="K16" t="s">
        <v>1075</v>
      </c>
      <c r="L16" t="s">
        <v>1074</v>
      </c>
      <c r="M16" t="s">
        <v>1073</v>
      </c>
      <c r="N16" t="s">
        <v>1072</v>
      </c>
      <c r="O16" t="s">
        <v>1071</v>
      </c>
      <c r="P16" t="s">
        <v>1070</v>
      </c>
      <c r="Q16" t="s">
        <v>1069</v>
      </c>
      <c r="R16" t="s">
        <v>1068</v>
      </c>
      <c r="S16" t="s">
        <v>1067</v>
      </c>
      <c r="T16" t="s">
        <v>1066</v>
      </c>
      <c r="U16" t="s">
        <v>1065</v>
      </c>
      <c r="V16" t="s">
        <v>1064</v>
      </c>
      <c r="W16" t="s">
        <v>1063</v>
      </c>
      <c r="X16" t="s">
        <v>1062</v>
      </c>
      <c r="Y16" t="s">
        <v>1061</v>
      </c>
      <c r="Z16" t="s">
        <v>1060</v>
      </c>
      <c r="AA16" t="s">
        <v>1059</v>
      </c>
      <c r="AB16" t="s">
        <v>1058</v>
      </c>
      <c r="AC16" t="s">
        <v>1057</v>
      </c>
      <c r="AD16" t="s">
        <v>1056</v>
      </c>
      <c r="AE16" t="s">
        <v>1055</v>
      </c>
      <c r="AF16" t="s">
        <v>1054</v>
      </c>
      <c r="AG16" t="s">
        <v>1053</v>
      </c>
      <c r="AH16" t="s">
        <v>1052</v>
      </c>
      <c r="AI16" t="s">
        <v>1051</v>
      </c>
      <c r="AJ16" t="s">
        <v>1050</v>
      </c>
      <c r="AK16" t="s">
        <v>1049</v>
      </c>
      <c r="AL16" t="s">
        <v>1048</v>
      </c>
      <c r="AM16" t="s">
        <v>1047</v>
      </c>
      <c r="AN16" t="s">
        <v>1046</v>
      </c>
      <c r="AO16" t="s">
        <v>1045</v>
      </c>
      <c r="AP16" t="s">
        <v>1044</v>
      </c>
      <c r="AQ16" t="s">
        <v>1043</v>
      </c>
      <c r="AR16" t="s">
        <v>1042</v>
      </c>
      <c r="AS16" t="s">
        <v>1041</v>
      </c>
      <c r="AT16" t="s">
        <v>1040</v>
      </c>
      <c r="AU16" t="s">
        <v>1039</v>
      </c>
      <c r="AV16" t="s">
        <v>1038</v>
      </c>
      <c r="AW16" t="s">
        <v>1037</v>
      </c>
      <c r="AX16" t="s">
        <v>1036</v>
      </c>
      <c r="AY16" t="s">
        <v>1035</v>
      </c>
      <c r="AZ16" t="s">
        <v>1034</v>
      </c>
      <c r="BA16" t="s">
        <v>1033</v>
      </c>
      <c r="BB16" t="s">
        <v>1032</v>
      </c>
      <c r="BC16" t="s">
        <v>1031</v>
      </c>
      <c r="BD16" t="s">
        <v>1030</v>
      </c>
      <c r="BE16" t="s">
        <v>1029</v>
      </c>
      <c r="BF16" t="s">
        <v>1028</v>
      </c>
      <c r="BG16" t="s">
        <v>1027</v>
      </c>
      <c r="BH16" t="s">
        <v>1026</v>
      </c>
      <c r="BI16" t="s">
        <v>1025</v>
      </c>
      <c r="BJ16" t="s">
        <v>1024</v>
      </c>
      <c r="BK16" t="s">
        <v>1023</v>
      </c>
      <c r="BL16" t="s">
        <v>1022</v>
      </c>
      <c r="BM16" t="s">
        <v>1021</v>
      </c>
      <c r="BN16" t="s">
        <v>1020</v>
      </c>
      <c r="BO16" t="s">
        <v>1019</v>
      </c>
      <c r="BP16" t="s">
        <v>1018</v>
      </c>
      <c r="BQ16" t="s">
        <v>1017</v>
      </c>
      <c r="BR16" t="s">
        <v>1016</v>
      </c>
      <c r="BS16" t="s">
        <v>1015</v>
      </c>
      <c r="BT16" t="s">
        <v>1014</v>
      </c>
      <c r="BU16" t="s">
        <v>1013</v>
      </c>
      <c r="BV16" t="s">
        <v>1012</v>
      </c>
      <c r="BW16" t="s">
        <v>1011</v>
      </c>
      <c r="BX16" t="s">
        <v>1010</v>
      </c>
      <c r="BY16" t="s">
        <v>1009</v>
      </c>
      <c r="BZ16" t="s">
        <v>1008</v>
      </c>
      <c r="CA16" t="s">
        <v>1007</v>
      </c>
      <c r="CB16" t="s">
        <v>1006</v>
      </c>
      <c r="CC16" t="s">
        <v>1005</v>
      </c>
      <c r="CD16" t="s">
        <v>1004</v>
      </c>
      <c r="CE16" t="s">
        <v>1003</v>
      </c>
      <c r="CF16" t="s">
        <v>1002</v>
      </c>
      <c r="CG16" t="s">
        <v>1001</v>
      </c>
      <c r="CH16" t="s">
        <v>1000</v>
      </c>
      <c r="CI16" t="s">
        <v>999</v>
      </c>
      <c r="CJ16" t="s">
        <v>998</v>
      </c>
      <c r="CK16" t="s">
        <v>997</v>
      </c>
      <c r="CL16" t="s">
        <v>996</v>
      </c>
      <c r="CM16" t="s">
        <v>995</v>
      </c>
      <c r="CN16" t="s">
        <v>994</v>
      </c>
      <c r="CO16" t="s">
        <v>993</v>
      </c>
      <c r="CP16" t="s">
        <v>992</v>
      </c>
      <c r="CQ16" t="s">
        <v>991</v>
      </c>
      <c r="CR16" t="s">
        <v>990</v>
      </c>
      <c r="CS16" t="s">
        <v>989</v>
      </c>
      <c r="CT16" t="s">
        <v>988</v>
      </c>
      <c r="CU16" t="s">
        <v>987</v>
      </c>
      <c r="CV16" t="s">
        <v>986</v>
      </c>
      <c r="CW16" t="s">
        <v>985</v>
      </c>
      <c r="CX16" t="s">
        <v>984</v>
      </c>
      <c r="CY16" t="s">
        <v>983</v>
      </c>
      <c r="CZ16" t="s">
        <v>982</v>
      </c>
      <c r="DA16" t="s">
        <v>981</v>
      </c>
      <c r="DB16" t="s">
        <v>980</v>
      </c>
      <c r="DC16" t="s">
        <v>979</v>
      </c>
      <c r="DD16" t="s">
        <v>978</v>
      </c>
      <c r="DE16" t="s">
        <v>977</v>
      </c>
      <c r="DF16" t="s">
        <v>976</v>
      </c>
      <c r="DG16" t="s">
        <v>975</v>
      </c>
      <c r="DH16" t="s">
        <v>974</v>
      </c>
      <c r="DI16" t="s">
        <v>973</v>
      </c>
      <c r="DJ16" t="s">
        <v>972</v>
      </c>
      <c r="DK16" t="s">
        <v>971</v>
      </c>
      <c r="DL16" t="s">
        <v>970</v>
      </c>
      <c r="DM16" t="s">
        <v>969</v>
      </c>
      <c r="DN16" t="s">
        <v>968</v>
      </c>
      <c r="DO16" t="s">
        <v>967</v>
      </c>
      <c r="DP16" t="s">
        <v>966</v>
      </c>
      <c r="DQ16" t="s">
        <v>965</v>
      </c>
      <c r="DR16" t="s">
        <v>964</v>
      </c>
      <c r="DS16" t="s">
        <v>963</v>
      </c>
      <c r="DT16" t="s">
        <v>962</v>
      </c>
      <c r="DU16" t="s">
        <v>961</v>
      </c>
      <c r="DV16" t="s">
        <v>960</v>
      </c>
      <c r="DW16" t="s">
        <v>959</v>
      </c>
      <c r="DX16" t="s">
        <v>958</v>
      </c>
      <c r="DY16" t="s">
        <v>957</v>
      </c>
      <c r="DZ16" t="s">
        <v>956</v>
      </c>
      <c r="EA16" t="s">
        <v>955</v>
      </c>
      <c r="EB16" t="s">
        <v>954</v>
      </c>
      <c r="EC16" t="s">
        <v>953</v>
      </c>
      <c r="ED16" t="s">
        <v>952</v>
      </c>
      <c r="EE16" t="s">
        <v>951</v>
      </c>
      <c r="EF16" t="s">
        <v>950</v>
      </c>
      <c r="EG16" t="s">
        <v>949</v>
      </c>
      <c r="EH16" t="s">
        <v>948</v>
      </c>
      <c r="EI16" t="s">
        <v>947</v>
      </c>
      <c r="EJ16" t="s">
        <v>946</v>
      </c>
      <c r="EK16" t="s">
        <v>945</v>
      </c>
      <c r="EL16" t="s">
        <v>944</v>
      </c>
      <c r="EM16" t="s">
        <v>943</v>
      </c>
      <c r="EN16" t="s">
        <v>942</v>
      </c>
      <c r="EO16" t="s">
        <v>941</v>
      </c>
      <c r="EP16" t="s">
        <v>940</v>
      </c>
      <c r="EQ16" t="s">
        <v>939</v>
      </c>
      <c r="ER16" t="s">
        <v>938</v>
      </c>
      <c r="ES16" t="s">
        <v>937</v>
      </c>
      <c r="ET16" t="s">
        <v>936</v>
      </c>
      <c r="EU16" t="s">
        <v>935</v>
      </c>
      <c r="EV16" t="s">
        <v>934</v>
      </c>
      <c r="EW16" t="s">
        <v>933</v>
      </c>
      <c r="EX16" t="s">
        <v>932</v>
      </c>
      <c r="EY16" t="s">
        <v>931</v>
      </c>
      <c r="EZ16" t="s">
        <v>930</v>
      </c>
      <c r="FA16" t="s">
        <v>929</v>
      </c>
      <c r="FB16" t="s">
        <v>928</v>
      </c>
      <c r="FC16" t="s">
        <v>927</v>
      </c>
      <c r="FD16" t="s">
        <v>926</v>
      </c>
      <c r="FE16" t="s">
        <v>925</v>
      </c>
      <c r="FF16" t="s">
        <v>924</v>
      </c>
      <c r="FG16" t="s">
        <v>923</v>
      </c>
      <c r="FH16" t="s">
        <v>922</v>
      </c>
      <c r="FI16" t="s">
        <v>921</v>
      </c>
      <c r="FJ16" t="s">
        <v>920</v>
      </c>
      <c r="FK16" t="s">
        <v>919</v>
      </c>
      <c r="FL16" t="s">
        <v>918</v>
      </c>
      <c r="FM16" t="s">
        <v>917</v>
      </c>
      <c r="FN16" t="s">
        <v>916</v>
      </c>
      <c r="FO16" t="s">
        <v>915</v>
      </c>
      <c r="FP16" t="s">
        <v>914</v>
      </c>
      <c r="FQ16" t="s">
        <v>913</v>
      </c>
      <c r="FR16" t="s">
        <v>912</v>
      </c>
      <c r="FS16" t="s">
        <v>911</v>
      </c>
      <c r="FT16" t="s">
        <v>910</v>
      </c>
      <c r="FU16" t="s">
        <v>909</v>
      </c>
      <c r="FV16" t="s">
        <v>908</v>
      </c>
      <c r="FW16" t="s">
        <v>907</v>
      </c>
      <c r="FX16" t="s">
        <v>906</v>
      </c>
      <c r="FY16" t="s">
        <v>905</v>
      </c>
      <c r="FZ16" t="s">
        <v>904</v>
      </c>
      <c r="GA16" t="s">
        <v>903</v>
      </c>
      <c r="GB16" t="s">
        <v>902</v>
      </c>
      <c r="GC16" t="s">
        <v>901</v>
      </c>
      <c r="GD16" t="s">
        <v>900</v>
      </c>
      <c r="GE16" t="s">
        <v>899</v>
      </c>
      <c r="GF16" t="s">
        <v>898</v>
      </c>
      <c r="GG16" t="s">
        <v>897</v>
      </c>
      <c r="GH16" t="s">
        <v>896</v>
      </c>
      <c r="GI16" t="s">
        <v>895</v>
      </c>
      <c r="GJ16" t="s">
        <v>894</v>
      </c>
      <c r="GK16" t="s">
        <v>893</v>
      </c>
      <c r="GL16" t="s">
        <v>892</v>
      </c>
      <c r="GM16" t="s">
        <v>891</v>
      </c>
      <c r="GN16" t="s">
        <v>890</v>
      </c>
      <c r="GO16" t="s">
        <v>889</v>
      </c>
      <c r="GP16" t="s">
        <v>888</v>
      </c>
      <c r="GQ16" t="s">
        <v>887</v>
      </c>
      <c r="GR16" t="s">
        <v>886</v>
      </c>
      <c r="GS16" t="s">
        <v>885</v>
      </c>
      <c r="GT16" t="s">
        <v>884</v>
      </c>
      <c r="GU16" t="s">
        <v>883</v>
      </c>
      <c r="GV16" t="s">
        <v>882</v>
      </c>
      <c r="GW16" t="s">
        <v>881</v>
      </c>
      <c r="GX16" t="s">
        <v>880</v>
      </c>
      <c r="GY16" t="s">
        <v>879</v>
      </c>
      <c r="GZ16" t="s">
        <v>878</v>
      </c>
      <c r="HA16" t="s">
        <v>877</v>
      </c>
      <c r="HB16" t="s">
        <v>876</v>
      </c>
      <c r="HC16" t="s">
        <v>875</v>
      </c>
      <c r="HD16" t="s">
        <v>874</v>
      </c>
      <c r="HE16" t="s">
        <v>873</v>
      </c>
      <c r="HF16" t="s">
        <v>872</v>
      </c>
      <c r="HG16" t="s">
        <v>871</v>
      </c>
      <c r="HH16" t="s">
        <v>870</v>
      </c>
      <c r="HI16" t="s">
        <v>869</v>
      </c>
      <c r="HJ16" t="s">
        <v>868</v>
      </c>
      <c r="HK16" t="s">
        <v>867</v>
      </c>
      <c r="HL16" t="s">
        <v>866</v>
      </c>
      <c r="HM16" t="s">
        <v>865</v>
      </c>
      <c r="HN16" t="s">
        <v>864</v>
      </c>
      <c r="HO16" t="s">
        <v>863</v>
      </c>
      <c r="HP16" t="s">
        <v>862</v>
      </c>
      <c r="HQ16" t="s">
        <v>861</v>
      </c>
      <c r="HR16" t="s">
        <v>860</v>
      </c>
      <c r="HS16" t="s">
        <v>859</v>
      </c>
      <c r="HT16" t="s">
        <v>858</v>
      </c>
      <c r="HU16" t="s">
        <v>857</v>
      </c>
      <c r="HV16" t="s">
        <v>856</v>
      </c>
      <c r="HW16" t="s">
        <v>855</v>
      </c>
      <c r="HX16" t="s">
        <v>854</v>
      </c>
      <c r="HY16" t="s">
        <v>853</v>
      </c>
      <c r="HZ16" t="s">
        <v>852</v>
      </c>
      <c r="IA16" t="s">
        <v>851</v>
      </c>
      <c r="IB16" t="s">
        <v>850</v>
      </c>
      <c r="IC16" t="s">
        <v>849</v>
      </c>
      <c r="ID16" t="s">
        <v>848</v>
      </c>
      <c r="IE16" t="s">
        <v>847</v>
      </c>
      <c r="IF16" t="s">
        <v>846</v>
      </c>
      <c r="IG16" t="s">
        <v>845</v>
      </c>
      <c r="IH16" t="s">
        <v>844</v>
      </c>
      <c r="II16" t="s">
        <v>843</v>
      </c>
      <c r="IJ16" t="s">
        <v>842</v>
      </c>
      <c r="IK16" t="s">
        <v>841</v>
      </c>
      <c r="IL16" t="s">
        <v>840</v>
      </c>
      <c r="IM16" t="s">
        <v>839</v>
      </c>
      <c r="IN16" t="s">
        <v>838</v>
      </c>
      <c r="IO16" t="s">
        <v>837</v>
      </c>
      <c r="IP16" t="s">
        <v>836</v>
      </c>
      <c r="IQ16" t="s">
        <v>835</v>
      </c>
      <c r="IR16" t="s">
        <v>834</v>
      </c>
      <c r="IS16" t="s">
        <v>833</v>
      </c>
      <c r="IT16" t="s">
        <v>832</v>
      </c>
      <c r="IU16" t="s">
        <v>831</v>
      </c>
      <c r="IV16" t="s">
        <v>830</v>
      </c>
      <c r="IW16" t="s">
        <v>829</v>
      </c>
      <c r="IX16" t="s">
        <v>828</v>
      </c>
      <c r="IY16" t="s">
        <v>827</v>
      </c>
      <c r="IZ16" t="s">
        <v>826</v>
      </c>
      <c r="JA16" t="s">
        <v>825</v>
      </c>
      <c r="JB16" t="s">
        <v>824</v>
      </c>
      <c r="JC16" t="s">
        <v>823</v>
      </c>
      <c r="JD16" t="s">
        <v>822</v>
      </c>
      <c r="JE16" t="s">
        <v>821</v>
      </c>
      <c r="JF16" t="s">
        <v>820</v>
      </c>
      <c r="JG16" t="s">
        <v>819</v>
      </c>
      <c r="JH16" t="s">
        <v>818</v>
      </c>
      <c r="JI16" t="s">
        <v>817</v>
      </c>
      <c r="JJ16" t="s">
        <v>816</v>
      </c>
      <c r="JK16" t="s">
        <v>815</v>
      </c>
      <c r="JL16" t="s">
        <v>814</v>
      </c>
      <c r="JM16" t="s">
        <v>813</v>
      </c>
      <c r="JN16" t="s">
        <v>812</v>
      </c>
      <c r="JO16" t="s">
        <v>811</v>
      </c>
      <c r="JP16" t="s">
        <v>810</v>
      </c>
      <c r="JQ16" t="s">
        <v>809</v>
      </c>
      <c r="JR16" t="s">
        <v>808</v>
      </c>
      <c r="JS16" t="s">
        <v>807</v>
      </c>
      <c r="JT16" t="s">
        <v>806</v>
      </c>
      <c r="JU16" t="s">
        <v>805</v>
      </c>
      <c r="JV16" t="s">
        <v>804</v>
      </c>
      <c r="JW16" t="s">
        <v>803</v>
      </c>
      <c r="JX16" t="s">
        <v>802</v>
      </c>
      <c r="JY16" t="s">
        <v>801</v>
      </c>
      <c r="JZ16" t="s">
        <v>800</v>
      </c>
      <c r="KA16" t="s">
        <v>799</v>
      </c>
      <c r="KB16" t="s">
        <v>798</v>
      </c>
      <c r="KC16" t="s">
        <v>797</v>
      </c>
      <c r="KD16" t="s">
        <v>796</v>
      </c>
      <c r="KE16" t="s">
        <v>795</v>
      </c>
      <c r="KF16" t="s">
        <v>794</v>
      </c>
      <c r="KG16" t="s">
        <v>793</v>
      </c>
      <c r="KH16" t="s">
        <v>792</v>
      </c>
      <c r="KI16" t="s">
        <v>791</v>
      </c>
      <c r="KJ16" t="s">
        <v>790</v>
      </c>
      <c r="KK16" t="s">
        <v>789</v>
      </c>
      <c r="KL16" t="s">
        <v>788</v>
      </c>
      <c r="KM16" t="s">
        <v>787</v>
      </c>
      <c r="KN16" t="s">
        <v>786</v>
      </c>
      <c r="KO16" t="s">
        <v>785</v>
      </c>
      <c r="KP16" t="s">
        <v>784</v>
      </c>
      <c r="KQ16" t="s">
        <v>783</v>
      </c>
      <c r="KR16" t="s">
        <v>782</v>
      </c>
      <c r="KS16" t="s">
        <v>781</v>
      </c>
      <c r="KT16" t="s">
        <v>780</v>
      </c>
      <c r="KU16" t="s">
        <v>779</v>
      </c>
      <c r="KV16" t="s">
        <v>778</v>
      </c>
      <c r="KW16" t="s">
        <v>777</v>
      </c>
      <c r="KX16" t="s">
        <v>776</v>
      </c>
      <c r="KY16" t="s">
        <v>775</v>
      </c>
      <c r="KZ16" t="s">
        <v>774</v>
      </c>
      <c r="LA16" t="s">
        <v>773</v>
      </c>
      <c r="LB16" t="s">
        <v>772</v>
      </c>
      <c r="LC16" t="s">
        <v>771</v>
      </c>
      <c r="LD16" t="s">
        <v>770</v>
      </c>
      <c r="LE16" t="s">
        <v>769</v>
      </c>
      <c r="LF16" t="s">
        <v>768</v>
      </c>
      <c r="LG16" t="s">
        <v>767</v>
      </c>
      <c r="LH16" t="s">
        <v>766</v>
      </c>
      <c r="LI16" t="s">
        <v>765</v>
      </c>
      <c r="LJ16" t="s">
        <v>764</v>
      </c>
      <c r="LK16" t="s">
        <v>763</v>
      </c>
      <c r="LL16" t="s">
        <v>762</v>
      </c>
      <c r="LM16" t="s">
        <v>761</v>
      </c>
      <c r="LN16" t="s">
        <v>760</v>
      </c>
      <c r="LO16" t="s">
        <v>759</v>
      </c>
      <c r="LP16" t="s">
        <v>758</v>
      </c>
      <c r="LQ16" t="s">
        <v>757</v>
      </c>
      <c r="LR16" t="s">
        <v>756</v>
      </c>
      <c r="LS16" t="s">
        <v>755</v>
      </c>
      <c r="LT16" t="s">
        <v>754</v>
      </c>
      <c r="LU16" t="s">
        <v>753</v>
      </c>
      <c r="LV16" t="s">
        <v>752</v>
      </c>
      <c r="LW16" t="s">
        <v>751</v>
      </c>
      <c r="LX16" t="s">
        <v>750</v>
      </c>
      <c r="LY16" t="s">
        <v>749</v>
      </c>
      <c r="LZ16" t="s">
        <v>748</v>
      </c>
      <c r="MA16" t="s">
        <v>747</v>
      </c>
      <c r="MB16" t="s">
        <v>746</v>
      </c>
      <c r="MC16" t="s">
        <v>745</v>
      </c>
      <c r="MD16" t="s">
        <v>744</v>
      </c>
      <c r="ME16" t="s">
        <v>743</v>
      </c>
      <c r="MF16" t="s">
        <v>742</v>
      </c>
      <c r="MG16" t="s">
        <v>741</v>
      </c>
      <c r="MH16" t="s">
        <v>740</v>
      </c>
      <c r="MI16" t="s">
        <v>739</v>
      </c>
      <c r="MJ16" t="s">
        <v>738</v>
      </c>
      <c r="MK16" t="s">
        <v>737</v>
      </c>
      <c r="ML16" t="s">
        <v>736</v>
      </c>
      <c r="MM16" t="s">
        <v>735</v>
      </c>
      <c r="MN16" t="s">
        <v>734</v>
      </c>
      <c r="MO16" t="s">
        <v>733</v>
      </c>
      <c r="MP16" t="s">
        <v>732</v>
      </c>
      <c r="MQ16" t="s">
        <v>731</v>
      </c>
      <c r="MR16" t="s">
        <v>730</v>
      </c>
      <c r="MS16" t="s">
        <v>729</v>
      </c>
      <c r="MT16" t="s">
        <v>728</v>
      </c>
      <c r="MU16" t="s">
        <v>727</v>
      </c>
      <c r="MV16" t="s">
        <v>726</v>
      </c>
      <c r="MW16" t="s">
        <v>725</v>
      </c>
      <c r="MX16" t="s">
        <v>724</v>
      </c>
      <c r="MY16" t="s">
        <v>723</v>
      </c>
      <c r="MZ16" t="s">
        <v>722</v>
      </c>
      <c r="NA16" t="s">
        <v>721</v>
      </c>
      <c r="NB16" t="s">
        <v>720</v>
      </c>
      <c r="NC16" t="s">
        <v>719</v>
      </c>
      <c r="ND16" t="s">
        <v>718</v>
      </c>
      <c r="NE16" t="s">
        <v>717</v>
      </c>
      <c r="NF16" t="s">
        <v>716</v>
      </c>
      <c r="NG16" t="s">
        <v>715</v>
      </c>
      <c r="NH16" t="s">
        <v>714</v>
      </c>
      <c r="NI16" t="s">
        <v>713</v>
      </c>
      <c r="NJ16" t="s">
        <v>712</v>
      </c>
      <c r="NK16" t="s">
        <v>711</v>
      </c>
      <c r="NL16" t="s">
        <v>710</v>
      </c>
      <c r="NM16" t="s">
        <v>709</v>
      </c>
      <c r="NN16" t="s">
        <v>708</v>
      </c>
      <c r="NO16" t="s">
        <v>707</v>
      </c>
      <c r="NP16" t="s">
        <v>706</v>
      </c>
      <c r="NQ16" t="s">
        <v>705</v>
      </c>
      <c r="NR16" t="s">
        <v>704</v>
      </c>
      <c r="NS16" t="s">
        <v>703</v>
      </c>
      <c r="NT16" t="s">
        <v>702</v>
      </c>
      <c r="NU16" t="s">
        <v>701</v>
      </c>
      <c r="NV16" t="s">
        <v>700</v>
      </c>
      <c r="NW16" t="s">
        <v>699</v>
      </c>
      <c r="NX16" t="s">
        <v>698</v>
      </c>
      <c r="NY16" t="s">
        <v>697</v>
      </c>
      <c r="NZ16" t="s">
        <v>696</v>
      </c>
      <c r="OA16" t="s">
        <v>695</v>
      </c>
      <c r="OB16" t="s">
        <v>694</v>
      </c>
      <c r="OC16" t="s">
        <v>693</v>
      </c>
      <c r="OD16" t="s">
        <v>692</v>
      </c>
      <c r="OE16" t="s">
        <v>691</v>
      </c>
      <c r="OF16" t="s">
        <v>690</v>
      </c>
      <c r="OG16" t="s">
        <v>689</v>
      </c>
      <c r="OH16" t="s">
        <v>688</v>
      </c>
      <c r="OI16" t="s">
        <v>687</v>
      </c>
      <c r="OJ16" t="s">
        <v>686</v>
      </c>
      <c r="OK16" t="s">
        <v>685</v>
      </c>
      <c r="OL16" t="s">
        <v>684</v>
      </c>
      <c r="OM16" t="s">
        <v>683</v>
      </c>
      <c r="ON16" t="s">
        <v>682</v>
      </c>
      <c r="OO16" t="s">
        <v>681</v>
      </c>
      <c r="OP16" t="s">
        <v>680</v>
      </c>
      <c r="OQ16" t="s">
        <v>679</v>
      </c>
      <c r="OR16" t="s">
        <v>678</v>
      </c>
      <c r="OS16" t="s">
        <v>677</v>
      </c>
      <c r="OT16" t="s">
        <v>676</v>
      </c>
      <c r="OU16" t="s">
        <v>675</v>
      </c>
      <c r="OV16" t="s">
        <v>674</v>
      </c>
      <c r="OW16" t="s">
        <v>673</v>
      </c>
      <c r="OX16" t="s">
        <v>672</v>
      </c>
      <c r="OY16" t="s">
        <v>671</v>
      </c>
      <c r="OZ16" t="s">
        <v>670</v>
      </c>
      <c r="PA16" t="s">
        <v>669</v>
      </c>
      <c r="PB16" t="s">
        <v>668</v>
      </c>
      <c r="PC16" t="s">
        <v>667</v>
      </c>
      <c r="PD16" t="s">
        <v>666</v>
      </c>
      <c r="PE16" t="s">
        <v>665</v>
      </c>
      <c r="PF16" t="s">
        <v>664</v>
      </c>
      <c r="PG16" t="s">
        <v>663</v>
      </c>
      <c r="PH16" t="s">
        <v>662</v>
      </c>
      <c r="PI16" t="s">
        <v>661</v>
      </c>
      <c r="PJ16" t="s">
        <v>660</v>
      </c>
      <c r="PK16" t="s">
        <v>659</v>
      </c>
      <c r="PL16" t="s">
        <v>658</v>
      </c>
      <c r="PM16" t="s">
        <v>657</v>
      </c>
      <c r="PN16" t="s">
        <v>656</v>
      </c>
      <c r="PO16" t="s">
        <v>655</v>
      </c>
      <c r="PP16" t="s">
        <v>654</v>
      </c>
      <c r="PQ16" t="s">
        <v>653</v>
      </c>
      <c r="PR16" t="s">
        <v>652</v>
      </c>
      <c r="PS16" t="s">
        <v>651</v>
      </c>
      <c r="PT16" t="s">
        <v>650</v>
      </c>
      <c r="PU16" t="s">
        <v>649</v>
      </c>
      <c r="PV16" t="s">
        <v>648</v>
      </c>
      <c r="PW16" t="s">
        <v>647</v>
      </c>
      <c r="PX16" t="s">
        <v>646</v>
      </c>
      <c r="PY16" t="s">
        <v>645</v>
      </c>
      <c r="PZ16" t="s">
        <v>644</v>
      </c>
      <c r="QA16" t="s">
        <v>643</v>
      </c>
      <c r="QB16" t="s">
        <v>642</v>
      </c>
      <c r="QC16" t="s">
        <v>641</v>
      </c>
      <c r="QD16" t="s">
        <v>640</v>
      </c>
      <c r="QE16" t="s">
        <v>639</v>
      </c>
      <c r="QF16" t="s">
        <v>638</v>
      </c>
      <c r="QG16" t="s">
        <v>637</v>
      </c>
      <c r="QH16" t="s">
        <v>636</v>
      </c>
      <c r="QI16" t="s">
        <v>635</v>
      </c>
      <c r="QJ16" t="s">
        <v>634</v>
      </c>
      <c r="QK16" t="s">
        <v>633</v>
      </c>
      <c r="QL16" t="s">
        <v>632</v>
      </c>
      <c r="QM16" t="s">
        <v>631</v>
      </c>
      <c r="QN16" t="s">
        <v>630</v>
      </c>
      <c r="QO16" t="s">
        <v>629</v>
      </c>
      <c r="QP16" t="s">
        <v>628</v>
      </c>
      <c r="QQ16" t="s">
        <v>627</v>
      </c>
      <c r="QR16" t="s">
        <v>626</v>
      </c>
      <c r="QS16" t="s">
        <v>625</v>
      </c>
      <c r="QT16" t="s">
        <v>624</v>
      </c>
      <c r="QU16" t="s">
        <v>623</v>
      </c>
      <c r="QV16" t="s">
        <v>622</v>
      </c>
      <c r="QW16" t="s">
        <v>621</v>
      </c>
      <c r="QX16" t="s">
        <v>620</v>
      </c>
      <c r="QY16" t="s">
        <v>619</v>
      </c>
      <c r="QZ16" t="s">
        <v>618</v>
      </c>
      <c r="RA16" t="s">
        <v>617</v>
      </c>
      <c r="RB16" t="s">
        <v>616</v>
      </c>
      <c r="RC16" t="s">
        <v>615</v>
      </c>
      <c r="RD16" t="s">
        <v>614</v>
      </c>
      <c r="RE16" t="s">
        <v>613</v>
      </c>
      <c r="RF16" t="s">
        <v>612</v>
      </c>
      <c r="RG16" t="s">
        <v>611</v>
      </c>
      <c r="RH16" t="s">
        <v>610</v>
      </c>
      <c r="RI16" t="s">
        <v>609</v>
      </c>
      <c r="RJ16" t="s">
        <v>608</v>
      </c>
      <c r="RK16" t="s">
        <v>607</v>
      </c>
      <c r="RL16" t="s">
        <v>606</v>
      </c>
      <c r="RM16" t="s">
        <v>605</v>
      </c>
      <c r="RN16" t="s">
        <v>604</v>
      </c>
      <c r="RO16" t="s">
        <v>603</v>
      </c>
      <c r="RP16" t="s">
        <v>602</v>
      </c>
      <c r="RQ16" t="s">
        <v>601</v>
      </c>
      <c r="RR16" t="s">
        <v>600</v>
      </c>
      <c r="RS16" t="s">
        <v>599</v>
      </c>
      <c r="RT16" t="s">
        <v>598</v>
      </c>
      <c r="RU16" t="s">
        <v>597</v>
      </c>
      <c r="RV16" t="s">
        <v>596</v>
      </c>
      <c r="RW16" t="s">
        <v>595</v>
      </c>
      <c r="RX16" t="s">
        <v>594</v>
      </c>
      <c r="RY16" t="s">
        <v>593</v>
      </c>
      <c r="RZ16" t="s">
        <v>592</v>
      </c>
      <c r="SA16" t="s">
        <v>591</v>
      </c>
      <c r="SB16" t="s">
        <v>590</v>
      </c>
      <c r="SC16" t="s">
        <v>589</v>
      </c>
      <c r="SD16" t="s">
        <v>588</v>
      </c>
      <c r="SE16" t="s">
        <v>587</v>
      </c>
      <c r="SF16" t="s">
        <v>586</v>
      </c>
      <c r="SG16" t="s">
        <v>585</v>
      </c>
      <c r="SH16" t="s">
        <v>584</v>
      </c>
      <c r="SI16" t="s">
        <v>583</v>
      </c>
      <c r="SJ16" t="s">
        <v>582</v>
      </c>
      <c r="SK16" t="s">
        <v>581</v>
      </c>
      <c r="SL16" t="s">
        <v>580</v>
      </c>
      <c r="SM16" t="s">
        <v>579</v>
      </c>
      <c r="SN16" t="s">
        <v>578</v>
      </c>
      <c r="SO16" t="s">
        <v>577</v>
      </c>
      <c r="SP16" t="s">
        <v>576</v>
      </c>
      <c r="SQ16" t="s">
        <v>575</v>
      </c>
      <c r="SR16" t="s">
        <v>574</v>
      </c>
      <c r="SS16" t="s">
        <v>573</v>
      </c>
      <c r="ST16" t="s">
        <v>572</v>
      </c>
      <c r="SU16" t="s">
        <v>571</v>
      </c>
      <c r="SV16" t="s">
        <v>570</v>
      </c>
      <c r="SW16" t="s">
        <v>569</v>
      </c>
      <c r="SX16" t="s">
        <v>568</v>
      </c>
      <c r="SY16" t="s">
        <v>567</v>
      </c>
      <c r="SZ16" t="s">
        <v>566</v>
      </c>
      <c r="TA16" t="s">
        <v>565</v>
      </c>
      <c r="TB16" t="s">
        <v>564</v>
      </c>
      <c r="TC16" t="s">
        <v>563</v>
      </c>
      <c r="TD16" t="s">
        <v>562</v>
      </c>
      <c r="TE16" t="s">
        <v>561</v>
      </c>
      <c r="TF16" t="s">
        <v>560</v>
      </c>
      <c r="TG16" t="s">
        <v>559</v>
      </c>
      <c r="TH16" t="s">
        <v>558</v>
      </c>
      <c r="TI16" t="s">
        <v>557</v>
      </c>
      <c r="TJ16" t="s">
        <v>556</v>
      </c>
      <c r="TK16" t="s">
        <v>555</v>
      </c>
      <c r="TL16" t="s">
        <v>554</v>
      </c>
      <c r="TM16" t="s">
        <v>553</v>
      </c>
      <c r="TN16" t="s">
        <v>552</v>
      </c>
      <c r="TO16" t="s">
        <v>551</v>
      </c>
      <c r="TP16" t="s">
        <v>550</v>
      </c>
      <c r="TQ16" t="s">
        <v>549</v>
      </c>
      <c r="TR16" t="s">
        <v>548</v>
      </c>
      <c r="TS16" t="s">
        <v>547</v>
      </c>
      <c r="TT16" t="s">
        <v>546</v>
      </c>
      <c r="TU16" t="s">
        <v>545</v>
      </c>
      <c r="TV16" t="s">
        <v>544</v>
      </c>
      <c r="TW16" t="s">
        <v>543</v>
      </c>
      <c r="TX16" t="s">
        <v>542</v>
      </c>
      <c r="TY16" t="s">
        <v>541</v>
      </c>
      <c r="TZ16" t="s">
        <v>540</v>
      </c>
      <c r="UA16" t="s">
        <v>539</v>
      </c>
      <c r="UB16" t="s">
        <v>538</v>
      </c>
      <c r="UC16" t="s">
        <v>537</v>
      </c>
      <c r="UD16" t="s">
        <v>536</v>
      </c>
      <c r="UE16" t="s">
        <v>535</v>
      </c>
      <c r="UF16" t="s">
        <v>534</v>
      </c>
      <c r="UG16" t="s">
        <v>533</v>
      </c>
      <c r="UH16" t="s">
        <v>532</v>
      </c>
      <c r="UI16" t="s">
        <v>531</v>
      </c>
      <c r="UJ16" t="s">
        <v>530</v>
      </c>
      <c r="UK16" t="s">
        <v>529</v>
      </c>
      <c r="UL16" t="s">
        <v>528</v>
      </c>
      <c r="UM16" t="s">
        <v>527</v>
      </c>
      <c r="UN16" t="s">
        <v>526</v>
      </c>
      <c r="UO16" t="s">
        <v>525</v>
      </c>
      <c r="UP16" t="s">
        <v>524</v>
      </c>
      <c r="UQ16" t="s">
        <v>523</v>
      </c>
      <c r="UR16" t="s">
        <v>522</v>
      </c>
      <c r="US16" t="s">
        <v>521</v>
      </c>
      <c r="UT16" t="s">
        <v>520</v>
      </c>
      <c r="UU16" t="s">
        <v>519</v>
      </c>
      <c r="UV16" t="s">
        <v>518</v>
      </c>
      <c r="UW16" t="s">
        <v>517</v>
      </c>
      <c r="UX16" t="s">
        <v>516</v>
      </c>
      <c r="UY16" t="s">
        <v>515</v>
      </c>
      <c r="UZ16" t="s">
        <v>514</v>
      </c>
      <c r="VA16" t="s">
        <v>513</v>
      </c>
      <c r="VB16" t="s">
        <v>512</v>
      </c>
      <c r="VC16" t="s">
        <v>511</v>
      </c>
      <c r="VD16" t="s">
        <v>510</v>
      </c>
      <c r="VE16" t="s">
        <v>509</v>
      </c>
      <c r="VF16" t="s">
        <v>508</v>
      </c>
      <c r="VG16" t="s">
        <v>507</v>
      </c>
      <c r="VH16" t="s">
        <v>506</v>
      </c>
      <c r="VI16" t="s">
        <v>505</v>
      </c>
      <c r="VJ16" t="s">
        <v>504</v>
      </c>
      <c r="VK16" t="s">
        <v>503</v>
      </c>
      <c r="VL16" t="s">
        <v>502</v>
      </c>
      <c r="VM16" t="s">
        <v>501</v>
      </c>
      <c r="VN16" t="s">
        <v>500</v>
      </c>
      <c r="VO16" t="s">
        <v>499</v>
      </c>
      <c r="VP16" t="s">
        <v>498</v>
      </c>
      <c r="VQ16" t="s">
        <v>497</v>
      </c>
      <c r="VR16" t="s">
        <v>496</v>
      </c>
      <c r="VS16" t="s">
        <v>495</v>
      </c>
      <c r="VT16" t="s">
        <v>494</v>
      </c>
      <c r="VU16" t="s">
        <v>493</v>
      </c>
      <c r="VV16" t="s">
        <v>492</v>
      </c>
      <c r="VW16" t="s">
        <v>491</v>
      </c>
      <c r="VX16" t="s">
        <v>490</v>
      </c>
      <c r="VY16" t="s">
        <v>489</v>
      </c>
      <c r="VZ16" t="s">
        <v>488</v>
      </c>
      <c r="WA16" t="s">
        <v>487</v>
      </c>
      <c r="WB16" t="s">
        <v>486</v>
      </c>
      <c r="WC16" t="s">
        <v>485</v>
      </c>
      <c r="WD16" t="s">
        <v>484</v>
      </c>
      <c r="WE16" t="s">
        <v>483</v>
      </c>
      <c r="WF16" t="s">
        <v>482</v>
      </c>
      <c r="WG16" t="s">
        <v>481</v>
      </c>
      <c r="WH16" t="s">
        <v>480</v>
      </c>
      <c r="WI16" t="s">
        <v>479</v>
      </c>
      <c r="WJ16" t="s">
        <v>478</v>
      </c>
      <c r="WK16" t="s">
        <v>477</v>
      </c>
      <c r="WL16" t="s">
        <v>476</v>
      </c>
      <c r="WM16" t="s">
        <v>475</v>
      </c>
      <c r="WN16" t="s">
        <v>474</v>
      </c>
      <c r="WO16" t="s">
        <v>473</v>
      </c>
      <c r="WP16" t="s">
        <v>472</v>
      </c>
      <c r="WQ16" t="s">
        <v>471</v>
      </c>
      <c r="WR16" t="s">
        <v>470</v>
      </c>
      <c r="WS16" t="s">
        <v>469</v>
      </c>
      <c r="WT16" t="s">
        <v>468</v>
      </c>
      <c r="WU16" t="s">
        <v>467</v>
      </c>
      <c r="WV16" t="s">
        <v>466</v>
      </c>
      <c r="WW16" t="s">
        <v>465</v>
      </c>
      <c r="WX16" t="s">
        <v>464</v>
      </c>
      <c r="WY16" t="s">
        <v>463</v>
      </c>
      <c r="WZ16" t="s">
        <v>462</v>
      </c>
      <c r="XA16" t="s">
        <v>461</v>
      </c>
      <c r="XB16" t="s">
        <v>460</v>
      </c>
      <c r="XC16" t="s">
        <v>459</v>
      </c>
      <c r="XD16" t="s">
        <v>458</v>
      </c>
      <c r="XE16" t="s">
        <v>457</v>
      </c>
      <c r="XF16" t="s">
        <v>456</v>
      </c>
      <c r="XG16" t="s">
        <v>455</v>
      </c>
      <c r="XH16" t="s">
        <v>454</v>
      </c>
      <c r="XI16" t="s">
        <v>453</v>
      </c>
      <c r="XJ16" t="s">
        <v>452</v>
      </c>
      <c r="XK16" t="s">
        <v>451</v>
      </c>
      <c r="XL16" t="s">
        <v>450</v>
      </c>
      <c r="XM16" t="s">
        <v>449</v>
      </c>
      <c r="XN16" t="s">
        <v>448</v>
      </c>
      <c r="XO16" t="s">
        <v>447</v>
      </c>
      <c r="XP16" t="s">
        <v>446</v>
      </c>
      <c r="XQ16" t="s">
        <v>445</v>
      </c>
      <c r="XR16" t="s">
        <v>444</v>
      </c>
      <c r="XS16" t="s">
        <v>443</v>
      </c>
      <c r="XT16" t="s">
        <v>442</v>
      </c>
      <c r="XU16" t="s">
        <v>441</v>
      </c>
      <c r="XV16" t="s">
        <v>440</v>
      </c>
      <c r="XW16" t="s">
        <v>439</v>
      </c>
      <c r="XX16" t="s">
        <v>438</v>
      </c>
      <c r="XY16" t="s">
        <v>437</v>
      </c>
      <c r="XZ16" t="s">
        <v>436</v>
      </c>
      <c r="YA16" t="s">
        <v>435</v>
      </c>
      <c r="YB16" t="s">
        <v>434</v>
      </c>
      <c r="YC16" t="s">
        <v>433</v>
      </c>
      <c r="YD16" t="s">
        <v>432</v>
      </c>
      <c r="YE16" t="s">
        <v>431</v>
      </c>
      <c r="YF16" t="s">
        <v>430</v>
      </c>
      <c r="YG16" t="s">
        <v>429</v>
      </c>
      <c r="YH16" t="s">
        <v>428</v>
      </c>
      <c r="YI16" t="s">
        <v>427</v>
      </c>
      <c r="YJ16" t="s">
        <v>426</v>
      </c>
      <c r="YK16" t="s">
        <v>425</v>
      </c>
      <c r="YL16" t="s">
        <v>424</v>
      </c>
      <c r="YM16" t="s">
        <v>423</v>
      </c>
      <c r="YN16" t="s">
        <v>422</v>
      </c>
      <c r="YO16" t="s">
        <v>421</v>
      </c>
      <c r="YP16" t="s">
        <v>420</v>
      </c>
      <c r="YQ16" t="s">
        <v>419</v>
      </c>
      <c r="YR16" t="s">
        <v>418</v>
      </c>
      <c r="YS16" t="s">
        <v>417</v>
      </c>
      <c r="YT16" t="s">
        <v>416</v>
      </c>
      <c r="YU16" t="s">
        <v>415</v>
      </c>
      <c r="YV16" t="s">
        <v>414</v>
      </c>
      <c r="YW16" t="s">
        <v>413</v>
      </c>
      <c r="YX16" t="s">
        <v>412</v>
      </c>
      <c r="YY16" t="s">
        <v>411</v>
      </c>
      <c r="YZ16" t="s">
        <v>410</v>
      </c>
      <c r="ZA16" t="s">
        <v>409</v>
      </c>
      <c r="ZB16" t="s">
        <v>408</v>
      </c>
      <c r="ZC16" t="s">
        <v>407</v>
      </c>
      <c r="ZD16" t="s">
        <v>406</v>
      </c>
      <c r="ZE16" t="s">
        <v>405</v>
      </c>
      <c r="ZF16" t="s">
        <v>404</v>
      </c>
      <c r="ZG16" t="s">
        <v>403</v>
      </c>
      <c r="ZH16" t="s">
        <v>402</v>
      </c>
      <c r="ZI16" t="s">
        <v>401</v>
      </c>
      <c r="ZJ16" t="s">
        <v>400</v>
      </c>
      <c r="ZK16" t="s">
        <v>399</v>
      </c>
      <c r="ZL16" t="s">
        <v>398</v>
      </c>
      <c r="ZM16" t="s">
        <v>397</v>
      </c>
      <c r="ZN16" t="s">
        <v>396</v>
      </c>
      <c r="ZO16" t="s">
        <v>395</v>
      </c>
      <c r="ZP16" t="s">
        <v>394</v>
      </c>
      <c r="ZQ16" t="s">
        <v>393</v>
      </c>
      <c r="ZR16" t="s">
        <v>392</v>
      </c>
      <c r="ZS16" t="s">
        <v>391</v>
      </c>
      <c r="ZT16" t="s">
        <v>390</v>
      </c>
      <c r="ZU16" t="s">
        <v>389</v>
      </c>
      <c r="ZV16" t="s">
        <v>388</v>
      </c>
      <c r="ZW16" t="s">
        <v>387</v>
      </c>
      <c r="ZX16" t="s">
        <v>386</v>
      </c>
      <c r="ZY16" t="s">
        <v>385</v>
      </c>
      <c r="ZZ16" t="s">
        <v>384</v>
      </c>
      <c r="AAA16" t="s">
        <v>383</v>
      </c>
      <c r="AAB16" t="s">
        <v>382</v>
      </c>
      <c r="AAC16" t="s">
        <v>381</v>
      </c>
      <c r="AAD16" t="s">
        <v>380</v>
      </c>
      <c r="AAE16" t="s">
        <v>379</v>
      </c>
      <c r="AAF16" t="s">
        <v>378</v>
      </c>
      <c r="AAG16" t="s">
        <v>377</v>
      </c>
      <c r="AAH16" t="s">
        <v>376</v>
      </c>
      <c r="AAI16" t="s">
        <v>375</v>
      </c>
      <c r="AAJ16" t="s">
        <v>374</v>
      </c>
      <c r="AAK16" t="s">
        <v>373</v>
      </c>
      <c r="AAL16" t="s">
        <v>372</v>
      </c>
      <c r="AAM16" t="s">
        <v>371</v>
      </c>
      <c r="AAN16" t="s">
        <v>370</v>
      </c>
      <c r="AAO16" t="s">
        <v>369</v>
      </c>
      <c r="AAP16" t="s">
        <v>368</v>
      </c>
      <c r="AAQ16" t="s">
        <v>367</v>
      </c>
      <c r="AAR16" t="s">
        <v>366</v>
      </c>
      <c r="AAS16" t="s">
        <v>365</v>
      </c>
      <c r="AAT16" t="s">
        <v>364</v>
      </c>
      <c r="AAU16" t="s">
        <v>363</v>
      </c>
      <c r="AAV16" t="s">
        <v>362</v>
      </c>
      <c r="AAW16" t="s">
        <v>361</v>
      </c>
      <c r="AAX16" t="s">
        <v>360</v>
      </c>
      <c r="AAY16" t="s">
        <v>359</v>
      </c>
      <c r="AAZ16" t="s">
        <v>358</v>
      </c>
      <c r="ABA16" t="s">
        <v>357</v>
      </c>
      <c r="ABB16" t="s">
        <v>356</v>
      </c>
      <c r="ABC16" t="s">
        <v>355</v>
      </c>
      <c r="ABD16" t="s">
        <v>354</v>
      </c>
      <c r="ABE16" t="s">
        <v>353</v>
      </c>
      <c r="ABF16" t="s">
        <v>352</v>
      </c>
      <c r="ABG16" t="s">
        <v>351</v>
      </c>
      <c r="ABH16" t="s">
        <v>350</v>
      </c>
      <c r="ABI16" t="s">
        <v>349</v>
      </c>
      <c r="ABJ16" t="s">
        <v>348</v>
      </c>
      <c r="ABK16" t="s">
        <v>347</v>
      </c>
      <c r="ABL16" t="s">
        <v>346</v>
      </c>
      <c r="ABM16" t="s">
        <v>345</v>
      </c>
      <c r="ABN16" t="s">
        <v>344</v>
      </c>
      <c r="ABO16" t="s">
        <v>343</v>
      </c>
      <c r="ABP16" t="s">
        <v>342</v>
      </c>
      <c r="ABQ16" t="s">
        <v>341</v>
      </c>
      <c r="ABR16" t="s">
        <v>340</v>
      </c>
      <c r="ABS16" t="s">
        <v>339</v>
      </c>
      <c r="ABT16" t="s">
        <v>338</v>
      </c>
      <c r="ABU16" t="s">
        <v>337</v>
      </c>
      <c r="ABV16" t="s">
        <v>336</v>
      </c>
      <c r="ABW16" t="s">
        <v>335</v>
      </c>
      <c r="ABX16" t="s">
        <v>334</v>
      </c>
      <c r="ABY16" t="s">
        <v>333</v>
      </c>
      <c r="ABZ16" t="s">
        <v>332</v>
      </c>
      <c r="ACA16" t="s">
        <v>331</v>
      </c>
      <c r="ACB16" t="s">
        <v>330</v>
      </c>
      <c r="ACC16" t="s">
        <v>329</v>
      </c>
      <c r="ACD16" t="s">
        <v>328</v>
      </c>
      <c r="ACE16" t="s">
        <v>327</v>
      </c>
      <c r="ACF16" t="s">
        <v>326</v>
      </c>
      <c r="ACG16" t="s">
        <v>325</v>
      </c>
      <c r="ACH16" t="s">
        <v>324</v>
      </c>
      <c r="ACI16" t="s">
        <v>323</v>
      </c>
      <c r="ACJ16" t="s">
        <v>322</v>
      </c>
      <c r="ACK16" t="s">
        <v>321</v>
      </c>
      <c r="ACL16" t="s">
        <v>320</v>
      </c>
      <c r="ACM16" t="s">
        <v>319</v>
      </c>
      <c r="ACN16" t="s">
        <v>318</v>
      </c>
      <c r="ACO16" t="s">
        <v>317</v>
      </c>
      <c r="ACP16" t="s">
        <v>316</v>
      </c>
      <c r="ACQ16" t="s">
        <v>315</v>
      </c>
      <c r="ACR16" t="s">
        <v>314</v>
      </c>
      <c r="ACS16" t="s">
        <v>313</v>
      </c>
      <c r="ACT16" t="s">
        <v>312</v>
      </c>
      <c r="ACU16" t="s">
        <v>311</v>
      </c>
      <c r="ACV16" t="s">
        <v>310</v>
      </c>
      <c r="ACW16" t="s">
        <v>309</v>
      </c>
      <c r="ACX16" t="s">
        <v>308</v>
      </c>
      <c r="ACY16" t="s">
        <v>307</v>
      </c>
      <c r="ACZ16" t="s">
        <v>306</v>
      </c>
      <c r="ADA16" t="s">
        <v>305</v>
      </c>
      <c r="ADB16" t="s">
        <v>304</v>
      </c>
      <c r="ADC16" t="s">
        <v>303</v>
      </c>
      <c r="ADD16" t="s">
        <v>302</v>
      </c>
      <c r="ADE16" t="s">
        <v>301</v>
      </c>
      <c r="ADF16" t="s">
        <v>300</v>
      </c>
      <c r="ADG16" t="s">
        <v>299</v>
      </c>
      <c r="ADH16" t="s">
        <v>298</v>
      </c>
      <c r="ADI16" t="s">
        <v>297</v>
      </c>
      <c r="ADJ16" t="s">
        <v>296</v>
      </c>
      <c r="ADK16" t="s">
        <v>295</v>
      </c>
      <c r="ADL16" t="s">
        <v>294</v>
      </c>
      <c r="ADM16" t="s">
        <v>293</v>
      </c>
      <c r="ADN16" t="s">
        <v>292</v>
      </c>
      <c r="ADO16" t="s">
        <v>291</v>
      </c>
      <c r="ADP16" t="s">
        <v>290</v>
      </c>
      <c r="ADQ16" t="s">
        <v>289</v>
      </c>
      <c r="ADR16" t="s">
        <v>288</v>
      </c>
      <c r="ADS16" t="s">
        <v>287</v>
      </c>
      <c r="ADT16" t="s">
        <v>286</v>
      </c>
      <c r="ADU16" t="s">
        <v>285</v>
      </c>
      <c r="ADV16" t="s">
        <v>284</v>
      </c>
      <c r="ADW16" t="s">
        <v>283</v>
      </c>
      <c r="ADX16" t="s">
        <v>282</v>
      </c>
      <c r="ADY16" t="s">
        <v>281</v>
      </c>
      <c r="ADZ16" t="s">
        <v>280</v>
      </c>
      <c r="AEA16" t="s">
        <v>279</v>
      </c>
      <c r="AEB16" t="s">
        <v>278</v>
      </c>
      <c r="AEC16" t="s">
        <v>277</v>
      </c>
      <c r="AED16" t="s">
        <v>276</v>
      </c>
      <c r="AEE16" t="s">
        <v>275</v>
      </c>
      <c r="AEF16" t="s">
        <v>274</v>
      </c>
      <c r="AEG16" t="s">
        <v>273</v>
      </c>
      <c r="AEH16" t="s">
        <v>272</v>
      </c>
      <c r="AEI16" t="s">
        <v>271</v>
      </c>
      <c r="AEJ16" t="s">
        <v>270</v>
      </c>
      <c r="AEK16" t="s">
        <v>269</v>
      </c>
      <c r="AEL16" t="s">
        <v>268</v>
      </c>
      <c r="AEM16" t="s">
        <v>267</v>
      </c>
      <c r="AEN16" t="s">
        <v>266</v>
      </c>
      <c r="AEO16" t="s">
        <v>265</v>
      </c>
      <c r="AEP16" t="s">
        <v>264</v>
      </c>
      <c r="AEQ16" t="s">
        <v>263</v>
      </c>
      <c r="AER16" t="s">
        <v>262</v>
      </c>
      <c r="AES16" t="s">
        <v>261</v>
      </c>
      <c r="AET16" t="s">
        <v>260</v>
      </c>
      <c r="AEU16" t="s">
        <v>259</v>
      </c>
      <c r="AEV16" t="s">
        <v>258</v>
      </c>
      <c r="AEW16" t="s">
        <v>257</v>
      </c>
      <c r="AEX16" t="s">
        <v>256</v>
      </c>
      <c r="AEY16" t="s">
        <v>255</v>
      </c>
      <c r="AEZ16" t="s">
        <v>254</v>
      </c>
      <c r="AFA16" t="s">
        <v>253</v>
      </c>
      <c r="AFB16" t="s">
        <v>252</v>
      </c>
      <c r="AFC16" t="s">
        <v>251</v>
      </c>
      <c r="AFD16" t="s">
        <v>250</v>
      </c>
      <c r="AFE16" t="s">
        <v>249</v>
      </c>
      <c r="AFF16" t="s">
        <v>248</v>
      </c>
      <c r="AFG16" t="s">
        <v>247</v>
      </c>
      <c r="AFH16" t="s">
        <v>246</v>
      </c>
      <c r="AFI16" t="s">
        <v>245</v>
      </c>
      <c r="AFJ16" t="s">
        <v>244</v>
      </c>
      <c r="AFK16" t="s">
        <v>243</v>
      </c>
      <c r="AFL16" t="s">
        <v>242</v>
      </c>
      <c r="AFM16" t="s">
        <v>241</v>
      </c>
      <c r="AFN16" t="s">
        <v>240</v>
      </c>
      <c r="AFO16" t="s">
        <v>239</v>
      </c>
      <c r="AFP16" t="s">
        <v>238</v>
      </c>
      <c r="AFQ16" t="s">
        <v>237</v>
      </c>
      <c r="AFR16" t="s">
        <v>236</v>
      </c>
      <c r="AFS16" t="s">
        <v>235</v>
      </c>
      <c r="AFT16" t="s">
        <v>234</v>
      </c>
      <c r="AFU16" t="s">
        <v>233</v>
      </c>
      <c r="AFV16" t="s">
        <v>232</v>
      </c>
      <c r="AFW16" t="s">
        <v>231</v>
      </c>
      <c r="AFX16" t="s">
        <v>230</v>
      </c>
      <c r="AFY16" t="s">
        <v>229</v>
      </c>
      <c r="AFZ16" t="s">
        <v>228</v>
      </c>
      <c r="AGA16" t="s">
        <v>227</v>
      </c>
      <c r="AGB16" t="s">
        <v>226</v>
      </c>
      <c r="AGC16" t="s">
        <v>225</v>
      </c>
      <c r="AGD16" t="s">
        <v>224</v>
      </c>
      <c r="AGE16" t="s">
        <v>223</v>
      </c>
      <c r="AGF16" t="s">
        <v>222</v>
      </c>
      <c r="AGG16" t="s">
        <v>221</v>
      </c>
      <c r="AGH16" t="s">
        <v>220</v>
      </c>
      <c r="AGI16" t="s">
        <v>219</v>
      </c>
      <c r="AGJ16" t="s">
        <v>218</v>
      </c>
      <c r="AGK16" t="s">
        <v>217</v>
      </c>
      <c r="AGL16" t="s">
        <v>216</v>
      </c>
      <c r="AGM16" t="s">
        <v>215</v>
      </c>
      <c r="AGN16" t="s">
        <v>214</v>
      </c>
      <c r="AGO16" t="s">
        <v>213</v>
      </c>
      <c r="AGP16" t="s">
        <v>212</v>
      </c>
      <c r="AGQ16" t="s">
        <v>211</v>
      </c>
      <c r="AGR16" t="s">
        <v>210</v>
      </c>
      <c r="AGS16" t="s">
        <v>209</v>
      </c>
      <c r="AGT16" t="s">
        <v>208</v>
      </c>
      <c r="AGU16" t="s">
        <v>207</v>
      </c>
      <c r="AGV16" t="s">
        <v>206</v>
      </c>
      <c r="AGW16" t="s">
        <v>205</v>
      </c>
      <c r="AGX16" t="s">
        <v>204</v>
      </c>
      <c r="AGY16" t="s">
        <v>203</v>
      </c>
      <c r="AGZ16" t="s">
        <v>202</v>
      </c>
      <c r="AHA16" t="s">
        <v>201</v>
      </c>
      <c r="AHB16" t="s">
        <v>200</v>
      </c>
      <c r="AHC16" t="s">
        <v>199</v>
      </c>
      <c r="AHD16" t="s">
        <v>198</v>
      </c>
      <c r="AHE16" t="s">
        <v>197</v>
      </c>
      <c r="AHF16" t="s">
        <v>196</v>
      </c>
      <c r="AHG16" t="s">
        <v>195</v>
      </c>
      <c r="AHH16" t="s">
        <v>194</v>
      </c>
      <c r="AHI16" t="s">
        <v>193</v>
      </c>
      <c r="AHJ16" t="s">
        <v>192</v>
      </c>
      <c r="AHK16" t="s">
        <v>191</v>
      </c>
      <c r="AHL16" t="s">
        <v>190</v>
      </c>
      <c r="AHM16" t="s">
        <v>189</v>
      </c>
      <c r="AHN16" t="s">
        <v>188</v>
      </c>
      <c r="AHO16" t="s">
        <v>187</v>
      </c>
      <c r="AHP16" t="s">
        <v>186</v>
      </c>
      <c r="AHQ16" t="s">
        <v>185</v>
      </c>
      <c r="AHR16" t="s">
        <v>184</v>
      </c>
      <c r="AHS16" t="s">
        <v>183</v>
      </c>
      <c r="AHT16" t="s">
        <v>182</v>
      </c>
      <c r="AHU16" t="s">
        <v>181</v>
      </c>
      <c r="AHV16" t="s">
        <v>180</v>
      </c>
      <c r="AHW16" t="s">
        <v>179</v>
      </c>
      <c r="AHX16" t="s">
        <v>178</v>
      </c>
      <c r="AHY16" t="s">
        <v>177</v>
      </c>
      <c r="AHZ16" t="s">
        <v>176</v>
      </c>
      <c r="AIA16" t="s">
        <v>175</v>
      </c>
      <c r="AIB16" t="s">
        <v>174</v>
      </c>
      <c r="AIC16" t="s">
        <v>173</v>
      </c>
      <c r="AID16" t="s">
        <v>172</v>
      </c>
      <c r="AIE16" t="s">
        <v>171</v>
      </c>
      <c r="AIF16" t="s">
        <v>170</v>
      </c>
      <c r="AIG16" t="s">
        <v>169</v>
      </c>
      <c r="AIH16" t="s">
        <v>168</v>
      </c>
      <c r="AII16" t="s">
        <v>167</v>
      </c>
      <c r="AIJ16" t="s">
        <v>166</v>
      </c>
      <c r="AIK16" t="s">
        <v>165</v>
      </c>
      <c r="AIL16" t="s">
        <v>164</v>
      </c>
      <c r="AIM16" t="s">
        <v>163</v>
      </c>
      <c r="AIN16" t="s">
        <v>162</v>
      </c>
      <c r="AIO16" t="s">
        <v>161</v>
      </c>
      <c r="AIP16" t="s">
        <v>160</v>
      </c>
      <c r="AIQ16" t="s">
        <v>159</v>
      </c>
      <c r="AIR16" t="s">
        <v>158</v>
      </c>
      <c r="AIS16" t="s">
        <v>157</v>
      </c>
      <c r="AIT16" t="s">
        <v>156</v>
      </c>
      <c r="AIU16" t="s">
        <v>155</v>
      </c>
      <c r="AIV16" t="s">
        <v>154</v>
      </c>
      <c r="AIW16" t="s">
        <v>153</v>
      </c>
      <c r="AIX16" t="s">
        <v>152</v>
      </c>
      <c r="AIY16" t="s">
        <v>151</v>
      </c>
      <c r="AIZ16" t="s">
        <v>150</v>
      </c>
      <c r="AJA16" t="s">
        <v>149</v>
      </c>
      <c r="AJB16" t="s">
        <v>148</v>
      </c>
      <c r="AJC16" t="s">
        <v>147</v>
      </c>
      <c r="AJD16" t="s">
        <v>146</v>
      </c>
      <c r="AJE16" t="s">
        <v>145</v>
      </c>
      <c r="AJF16" t="s">
        <v>144</v>
      </c>
      <c r="AJG16" t="s">
        <v>143</v>
      </c>
      <c r="AJH16" t="s">
        <v>142</v>
      </c>
      <c r="AJI16" t="s">
        <v>141</v>
      </c>
      <c r="AJJ16" t="s">
        <v>140</v>
      </c>
      <c r="AJK16" t="s">
        <v>139</v>
      </c>
      <c r="AJL16" t="s">
        <v>138</v>
      </c>
      <c r="AJM16" t="s">
        <v>137</v>
      </c>
      <c r="AJN16" t="s">
        <v>136</v>
      </c>
      <c r="AJO16" t="s">
        <v>135</v>
      </c>
      <c r="AJP16" t="s">
        <v>134</v>
      </c>
      <c r="AJQ16" t="s">
        <v>133</v>
      </c>
      <c r="AJR16" t="s">
        <v>132</v>
      </c>
      <c r="AJS16" t="s">
        <v>131</v>
      </c>
      <c r="AJT16" t="s">
        <v>130</v>
      </c>
      <c r="AJU16" t="s">
        <v>129</v>
      </c>
      <c r="AJV16" t="s">
        <v>128</v>
      </c>
      <c r="AJW16" t="s">
        <v>127</v>
      </c>
      <c r="AJX16" t="s">
        <v>126</v>
      </c>
      <c r="AJY16" t="s">
        <v>125</v>
      </c>
      <c r="AJZ16" t="s">
        <v>124</v>
      </c>
      <c r="AKA16" t="s">
        <v>123</v>
      </c>
      <c r="AKB16" t="s">
        <v>122</v>
      </c>
      <c r="AKC16" t="s">
        <v>121</v>
      </c>
      <c r="AKD16" t="s">
        <v>120</v>
      </c>
      <c r="AKE16" t="s">
        <v>119</v>
      </c>
      <c r="AKF16" t="s">
        <v>118</v>
      </c>
      <c r="AKG16" t="s">
        <v>117</v>
      </c>
      <c r="AKH16" t="s">
        <v>116</v>
      </c>
      <c r="AKI16" t="s">
        <v>115</v>
      </c>
      <c r="AKJ16" t="s">
        <v>114</v>
      </c>
      <c r="AKK16" t="s">
        <v>113</v>
      </c>
      <c r="AKL16" t="s">
        <v>112</v>
      </c>
      <c r="AKM16" t="s">
        <v>111</v>
      </c>
      <c r="AKN16" t="s">
        <v>110</v>
      </c>
      <c r="AKO16" t="s">
        <v>109</v>
      </c>
      <c r="AKP16" t="s">
        <v>108</v>
      </c>
      <c r="AKQ16" t="s">
        <v>107</v>
      </c>
      <c r="AKR16" t="s">
        <v>106</v>
      </c>
      <c r="AKS16" t="s">
        <v>105</v>
      </c>
      <c r="AKT16" t="s">
        <v>104</v>
      </c>
      <c r="AKU16" t="s">
        <v>103</v>
      </c>
      <c r="AKV16" t="s">
        <v>102</v>
      </c>
      <c r="AKW16" t="s">
        <v>101</v>
      </c>
      <c r="AKX16" t="s">
        <v>100</v>
      </c>
      <c r="AKY16" t="s">
        <v>99</v>
      </c>
      <c r="AKZ16" t="s">
        <v>98</v>
      </c>
      <c r="ALA16" t="s">
        <v>97</v>
      </c>
      <c r="ALB16" t="s">
        <v>96</v>
      </c>
      <c r="ALC16" t="s">
        <v>95</v>
      </c>
      <c r="ALD16" t="s">
        <v>94</v>
      </c>
      <c r="ALE16" t="s">
        <v>93</v>
      </c>
      <c r="ALF16" t="s">
        <v>92</v>
      </c>
      <c r="ALG16" t="s">
        <v>91</v>
      </c>
      <c r="ALH16" t="s">
        <v>90</v>
      </c>
      <c r="ALI16" t="s">
        <v>89</v>
      </c>
      <c r="ALJ16" t="s">
        <v>88</v>
      </c>
      <c r="ALK16" t="s">
        <v>87</v>
      </c>
      <c r="ALL16" t="s">
        <v>86</v>
      </c>
      <c r="ALM16" t="s">
        <v>85</v>
      </c>
      <c r="ALN16" t="s">
        <v>84</v>
      </c>
      <c r="ALO16" t="s">
        <v>83</v>
      </c>
      <c r="ALP16" t="s">
        <v>82</v>
      </c>
      <c r="ALQ16" t="s">
        <v>81</v>
      </c>
    </row>
    <row r="17" spans="3:1005" x14ac:dyDescent="0.35">
      <c r="D17" s="90">
        <f t="shared" ref="D17:D27" si="0">AVERAGE(F17:ALQ17)</f>
        <v>61.988811000001085</v>
      </c>
      <c r="E17">
        <v>0</v>
      </c>
      <c r="F17" s="64">
        <f>$D$3</f>
        <v>61.988810999999998</v>
      </c>
      <c r="G17" s="64">
        <f t="shared" ref="G17:BR17" si="1">$D$3</f>
        <v>61.988810999999998</v>
      </c>
      <c r="H17" s="64">
        <f t="shared" si="1"/>
        <v>61.988810999999998</v>
      </c>
      <c r="I17" s="64">
        <f t="shared" si="1"/>
        <v>61.988810999999998</v>
      </c>
      <c r="J17" s="64">
        <f t="shared" si="1"/>
        <v>61.988810999999998</v>
      </c>
      <c r="K17" s="64">
        <f t="shared" si="1"/>
        <v>61.988810999999998</v>
      </c>
      <c r="L17" s="64">
        <f t="shared" si="1"/>
        <v>61.988810999999998</v>
      </c>
      <c r="M17" s="64">
        <f t="shared" si="1"/>
        <v>61.988810999999998</v>
      </c>
      <c r="N17" s="64">
        <f t="shared" si="1"/>
        <v>61.988810999999998</v>
      </c>
      <c r="O17" s="64">
        <f t="shared" si="1"/>
        <v>61.988810999999998</v>
      </c>
      <c r="P17" s="64">
        <f t="shared" si="1"/>
        <v>61.988810999999998</v>
      </c>
      <c r="Q17" s="64">
        <f t="shared" si="1"/>
        <v>61.988810999999998</v>
      </c>
      <c r="R17" s="64">
        <f t="shared" si="1"/>
        <v>61.988810999999998</v>
      </c>
      <c r="S17" s="64">
        <f t="shared" si="1"/>
        <v>61.988810999999998</v>
      </c>
      <c r="T17" s="64">
        <f t="shared" si="1"/>
        <v>61.988810999999998</v>
      </c>
      <c r="U17" s="64">
        <f t="shared" si="1"/>
        <v>61.988810999999998</v>
      </c>
      <c r="V17" s="64">
        <f t="shared" si="1"/>
        <v>61.988810999999998</v>
      </c>
      <c r="W17" s="64">
        <f t="shared" si="1"/>
        <v>61.988810999999998</v>
      </c>
      <c r="X17" s="64">
        <f t="shared" si="1"/>
        <v>61.988810999999998</v>
      </c>
      <c r="Y17" s="64">
        <f t="shared" si="1"/>
        <v>61.988810999999998</v>
      </c>
      <c r="Z17" s="64">
        <f t="shared" si="1"/>
        <v>61.988810999999998</v>
      </c>
      <c r="AA17" s="64">
        <f t="shared" si="1"/>
        <v>61.988810999999998</v>
      </c>
      <c r="AB17" s="64">
        <f t="shared" si="1"/>
        <v>61.988810999999998</v>
      </c>
      <c r="AC17" s="64">
        <f t="shared" si="1"/>
        <v>61.988810999999998</v>
      </c>
      <c r="AD17" s="64">
        <f t="shared" si="1"/>
        <v>61.988810999999998</v>
      </c>
      <c r="AE17" s="64">
        <f t="shared" si="1"/>
        <v>61.988810999999998</v>
      </c>
      <c r="AF17" s="64">
        <f t="shared" si="1"/>
        <v>61.988810999999998</v>
      </c>
      <c r="AG17" s="64">
        <f t="shared" si="1"/>
        <v>61.988810999999998</v>
      </c>
      <c r="AH17" s="64">
        <f t="shared" si="1"/>
        <v>61.988810999999998</v>
      </c>
      <c r="AI17" s="64">
        <f t="shared" si="1"/>
        <v>61.988810999999998</v>
      </c>
      <c r="AJ17" s="64">
        <f t="shared" si="1"/>
        <v>61.988810999999998</v>
      </c>
      <c r="AK17" s="64">
        <f t="shared" si="1"/>
        <v>61.988810999999998</v>
      </c>
      <c r="AL17" s="64">
        <f t="shared" si="1"/>
        <v>61.988810999999998</v>
      </c>
      <c r="AM17" s="64">
        <f t="shared" si="1"/>
        <v>61.988810999999998</v>
      </c>
      <c r="AN17" s="64">
        <f t="shared" si="1"/>
        <v>61.988810999999998</v>
      </c>
      <c r="AO17" s="64">
        <f t="shared" si="1"/>
        <v>61.988810999999998</v>
      </c>
      <c r="AP17" s="64">
        <f t="shared" si="1"/>
        <v>61.988810999999998</v>
      </c>
      <c r="AQ17" s="64">
        <f t="shared" si="1"/>
        <v>61.988810999999998</v>
      </c>
      <c r="AR17" s="64">
        <f t="shared" si="1"/>
        <v>61.988810999999998</v>
      </c>
      <c r="AS17" s="64">
        <f t="shared" si="1"/>
        <v>61.988810999999998</v>
      </c>
      <c r="AT17" s="64">
        <f t="shared" si="1"/>
        <v>61.988810999999998</v>
      </c>
      <c r="AU17" s="64">
        <f t="shared" si="1"/>
        <v>61.988810999999998</v>
      </c>
      <c r="AV17" s="64">
        <f t="shared" si="1"/>
        <v>61.988810999999998</v>
      </c>
      <c r="AW17" s="64">
        <f t="shared" si="1"/>
        <v>61.988810999999998</v>
      </c>
      <c r="AX17" s="64">
        <f t="shared" si="1"/>
        <v>61.988810999999998</v>
      </c>
      <c r="AY17" s="64">
        <f t="shared" si="1"/>
        <v>61.988810999999998</v>
      </c>
      <c r="AZ17" s="64">
        <f t="shared" si="1"/>
        <v>61.988810999999998</v>
      </c>
      <c r="BA17" s="64">
        <f t="shared" si="1"/>
        <v>61.988810999999998</v>
      </c>
      <c r="BB17" s="64">
        <f t="shared" si="1"/>
        <v>61.988810999999998</v>
      </c>
      <c r="BC17" s="64">
        <f t="shared" si="1"/>
        <v>61.988810999999998</v>
      </c>
      <c r="BD17" s="64">
        <f t="shared" si="1"/>
        <v>61.988810999999998</v>
      </c>
      <c r="BE17" s="64">
        <f t="shared" si="1"/>
        <v>61.988810999999998</v>
      </c>
      <c r="BF17" s="64">
        <f t="shared" si="1"/>
        <v>61.988810999999998</v>
      </c>
      <c r="BG17" s="64">
        <f t="shared" si="1"/>
        <v>61.988810999999998</v>
      </c>
      <c r="BH17" s="64">
        <f t="shared" si="1"/>
        <v>61.988810999999998</v>
      </c>
      <c r="BI17" s="64">
        <f t="shared" si="1"/>
        <v>61.988810999999998</v>
      </c>
      <c r="BJ17" s="64">
        <f t="shared" si="1"/>
        <v>61.988810999999998</v>
      </c>
      <c r="BK17" s="64">
        <f t="shared" si="1"/>
        <v>61.988810999999998</v>
      </c>
      <c r="BL17" s="64">
        <f t="shared" si="1"/>
        <v>61.988810999999998</v>
      </c>
      <c r="BM17" s="64">
        <f t="shared" si="1"/>
        <v>61.988810999999998</v>
      </c>
      <c r="BN17" s="64">
        <f t="shared" si="1"/>
        <v>61.988810999999998</v>
      </c>
      <c r="BO17" s="64">
        <f t="shared" si="1"/>
        <v>61.988810999999998</v>
      </c>
      <c r="BP17" s="64">
        <f t="shared" si="1"/>
        <v>61.988810999999998</v>
      </c>
      <c r="BQ17" s="64">
        <f t="shared" si="1"/>
        <v>61.988810999999998</v>
      </c>
      <c r="BR17" s="64">
        <f t="shared" si="1"/>
        <v>61.988810999999998</v>
      </c>
      <c r="BS17" s="64">
        <f t="shared" ref="BS17:ED17" si="2">$D$3</f>
        <v>61.988810999999998</v>
      </c>
      <c r="BT17" s="64">
        <f t="shared" si="2"/>
        <v>61.988810999999998</v>
      </c>
      <c r="BU17" s="64">
        <f t="shared" si="2"/>
        <v>61.988810999999998</v>
      </c>
      <c r="BV17" s="64">
        <f t="shared" si="2"/>
        <v>61.988810999999998</v>
      </c>
      <c r="BW17" s="64">
        <f t="shared" si="2"/>
        <v>61.988810999999998</v>
      </c>
      <c r="BX17" s="64">
        <f t="shared" si="2"/>
        <v>61.988810999999998</v>
      </c>
      <c r="BY17" s="64">
        <f t="shared" si="2"/>
        <v>61.988810999999998</v>
      </c>
      <c r="BZ17" s="64">
        <f t="shared" si="2"/>
        <v>61.988810999999998</v>
      </c>
      <c r="CA17" s="64">
        <f t="shared" si="2"/>
        <v>61.988810999999998</v>
      </c>
      <c r="CB17" s="64">
        <f t="shared" si="2"/>
        <v>61.988810999999998</v>
      </c>
      <c r="CC17" s="64">
        <f t="shared" si="2"/>
        <v>61.988810999999998</v>
      </c>
      <c r="CD17" s="64">
        <f t="shared" si="2"/>
        <v>61.988810999999998</v>
      </c>
      <c r="CE17" s="64">
        <f t="shared" si="2"/>
        <v>61.988810999999998</v>
      </c>
      <c r="CF17" s="64">
        <f t="shared" si="2"/>
        <v>61.988810999999998</v>
      </c>
      <c r="CG17" s="64">
        <f t="shared" si="2"/>
        <v>61.988810999999998</v>
      </c>
      <c r="CH17" s="64">
        <f t="shared" si="2"/>
        <v>61.988810999999998</v>
      </c>
      <c r="CI17" s="64">
        <f t="shared" si="2"/>
        <v>61.988810999999998</v>
      </c>
      <c r="CJ17" s="64">
        <f t="shared" si="2"/>
        <v>61.988810999999998</v>
      </c>
      <c r="CK17" s="64">
        <f t="shared" si="2"/>
        <v>61.988810999999998</v>
      </c>
      <c r="CL17" s="64">
        <f t="shared" si="2"/>
        <v>61.988810999999998</v>
      </c>
      <c r="CM17" s="64">
        <f t="shared" si="2"/>
        <v>61.988810999999998</v>
      </c>
      <c r="CN17" s="64">
        <f t="shared" si="2"/>
        <v>61.988810999999998</v>
      </c>
      <c r="CO17" s="64">
        <f t="shared" si="2"/>
        <v>61.988810999999998</v>
      </c>
      <c r="CP17" s="64">
        <f t="shared" si="2"/>
        <v>61.988810999999998</v>
      </c>
      <c r="CQ17" s="64">
        <f t="shared" si="2"/>
        <v>61.988810999999998</v>
      </c>
      <c r="CR17" s="64">
        <f t="shared" si="2"/>
        <v>61.988810999999998</v>
      </c>
      <c r="CS17" s="64">
        <f t="shared" si="2"/>
        <v>61.988810999999998</v>
      </c>
      <c r="CT17" s="64">
        <f t="shared" si="2"/>
        <v>61.988810999999998</v>
      </c>
      <c r="CU17" s="64">
        <f t="shared" si="2"/>
        <v>61.988810999999998</v>
      </c>
      <c r="CV17" s="64">
        <f t="shared" si="2"/>
        <v>61.988810999999998</v>
      </c>
      <c r="CW17" s="64">
        <f t="shared" si="2"/>
        <v>61.988810999999998</v>
      </c>
      <c r="CX17" s="64">
        <f t="shared" si="2"/>
        <v>61.988810999999998</v>
      </c>
      <c r="CY17" s="64">
        <f t="shared" si="2"/>
        <v>61.988810999999998</v>
      </c>
      <c r="CZ17" s="64">
        <f t="shared" si="2"/>
        <v>61.988810999999998</v>
      </c>
      <c r="DA17" s="64">
        <f t="shared" si="2"/>
        <v>61.988810999999998</v>
      </c>
      <c r="DB17" s="64">
        <f t="shared" si="2"/>
        <v>61.988810999999998</v>
      </c>
      <c r="DC17" s="64">
        <f t="shared" si="2"/>
        <v>61.988810999999998</v>
      </c>
      <c r="DD17" s="64">
        <f t="shared" si="2"/>
        <v>61.988810999999998</v>
      </c>
      <c r="DE17" s="64">
        <f t="shared" si="2"/>
        <v>61.988810999999998</v>
      </c>
      <c r="DF17" s="64">
        <f t="shared" si="2"/>
        <v>61.988810999999998</v>
      </c>
      <c r="DG17" s="64">
        <f t="shared" si="2"/>
        <v>61.988810999999998</v>
      </c>
      <c r="DH17" s="64">
        <f t="shared" si="2"/>
        <v>61.988810999999998</v>
      </c>
      <c r="DI17" s="64">
        <f t="shared" si="2"/>
        <v>61.988810999999998</v>
      </c>
      <c r="DJ17" s="64">
        <f t="shared" si="2"/>
        <v>61.988810999999998</v>
      </c>
      <c r="DK17" s="64">
        <f t="shared" si="2"/>
        <v>61.988810999999998</v>
      </c>
      <c r="DL17" s="64">
        <f t="shared" si="2"/>
        <v>61.988810999999998</v>
      </c>
      <c r="DM17" s="64">
        <f t="shared" si="2"/>
        <v>61.988810999999998</v>
      </c>
      <c r="DN17" s="64">
        <f t="shared" si="2"/>
        <v>61.988810999999998</v>
      </c>
      <c r="DO17" s="64">
        <f t="shared" si="2"/>
        <v>61.988810999999998</v>
      </c>
      <c r="DP17" s="64">
        <f t="shared" si="2"/>
        <v>61.988810999999998</v>
      </c>
      <c r="DQ17" s="64">
        <f t="shared" si="2"/>
        <v>61.988810999999998</v>
      </c>
      <c r="DR17" s="64">
        <f t="shared" si="2"/>
        <v>61.988810999999998</v>
      </c>
      <c r="DS17" s="64">
        <f t="shared" si="2"/>
        <v>61.988810999999998</v>
      </c>
      <c r="DT17" s="64">
        <f t="shared" si="2"/>
        <v>61.988810999999998</v>
      </c>
      <c r="DU17" s="64">
        <f t="shared" si="2"/>
        <v>61.988810999999998</v>
      </c>
      <c r="DV17" s="64">
        <f t="shared" si="2"/>
        <v>61.988810999999998</v>
      </c>
      <c r="DW17" s="64">
        <f t="shared" si="2"/>
        <v>61.988810999999998</v>
      </c>
      <c r="DX17" s="64">
        <f t="shared" si="2"/>
        <v>61.988810999999998</v>
      </c>
      <c r="DY17" s="64">
        <f t="shared" si="2"/>
        <v>61.988810999999998</v>
      </c>
      <c r="DZ17" s="64">
        <f t="shared" si="2"/>
        <v>61.988810999999998</v>
      </c>
      <c r="EA17" s="64">
        <f t="shared" si="2"/>
        <v>61.988810999999998</v>
      </c>
      <c r="EB17" s="64">
        <f t="shared" si="2"/>
        <v>61.988810999999998</v>
      </c>
      <c r="EC17" s="64">
        <f t="shared" si="2"/>
        <v>61.988810999999998</v>
      </c>
      <c r="ED17" s="64">
        <f t="shared" si="2"/>
        <v>61.988810999999998</v>
      </c>
      <c r="EE17" s="64">
        <f t="shared" ref="EE17:GP17" si="3">$D$3</f>
        <v>61.988810999999998</v>
      </c>
      <c r="EF17" s="64">
        <f t="shared" si="3"/>
        <v>61.988810999999998</v>
      </c>
      <c r="EG17" s="64">
        <f t="shared" si="3"/>
        <v>61.988810999999998</v>
      </c>
      <c r="EH17" s="64">
        <f t="shared" si="3"/>
        <v>61.988810999999998</v>
      </c>
      <c r="EI17" s="64">
        <f t="shared" si="3"/>
        <v>61.988810999999998</v>
      </c>
      <c r="EJ17" s="64">
        <f t="shared" si="3"/>
        <v>61.988810999999998</v>
      </c>
      <c r="EK17" s="64">
        <f t="shared" si="3"/>
        <v>61.988810999999998</v>
      </c>
      <c r="EL17" s="64">
        <f t="shared" si="3"/>
        <v>61.988810999999998</v>
      </c>
      <c r="EM17" s="64">
        <f t="shared" si="3"/>
        <v>61.988810999999998</v>
      </c>
      <c r="EN17" s="64">
        <f t="shared" si="3"/>
        <v>61.988810999999998</v>
      </c>
      <c r="EO17" s="64">
        <f t="shared" si="3"/>
        <v>61.988810999999998</v>
      </c>
      <c r="EP17" s="64">
        <f t="shared" si="3"/>
        <v>61.988810999999998</v>
      </c>
      <c r="EQ17" s="64">
        <f t="shared" si="3"/>
        <v>61.988810999999998</v>
      </c>
      <c r="ER17" s="64">
        <f t="shared" si="3"/>
        <v>61.988810999999998</v>
      </c>
      <c r="ES17" s="64">
        <f t="shared" si="3"/>
        <v>61.988810999999998</v>
      </c>
      <c r="ET17" s="64">
        <f t="shared" si="3"/>
        <v>61.988810999999998</v>
      </c>
      <c r="EU17" s="64">
        <f t="shared" si="3"/>
        <v>61.988810999999998</v>
      </c>
      <c r="EV17" s="64">
        <f t="shared" si="3"/>
        <v>61.988810999999998</v>
      </c>
      <c r="EW17" s="64">
        <f t="shared" si="3"/>
        <v>61.988810999999998</v>
      </c>
      <c r="EX17" s="64">
        <f t="shared" si="3"/>
        <v>61.988810999999998</v>
      </c>
      <c r="EY17" s="64">
        <f t="shared" si="3"/>
        <v>61.988810999999998</v>
      </c>
      <c r="EZ17" s="64">
        <f t="shared" si="3"/>
        <v>61.988810999999998</v>
      </c>
      <c r="FA17" s="64">
        <f t="shared" si="3"/>
        <v>61.988810999999998</v>
      </c>
      <c r="FB17" s="64">
        <f t="shared" si="3"/>
        <v>61.988810999999998</v>
      </c>
      <c r="FC17" s="64">
        <f t="shared" si="3"/>
        <v>61.988810999999998</v>
      </c>
      <c r="FD17" s="64">
        <f t="shared" si="3"/>
        <v>61.988810999999998</v>
      </c>
      <c r="FE17" s="64">
        <f t="shared" si="3"/>
        <v>61.988810999999998</v>
      </c>
      <c r="FF17" s="64">
        <f t="shared" si="3"/>
        <v>61.988810999999998</v>
      </c>
      <c r="FG17" s="64">
        <f t="shared" si="3"/>
        <v>61.988810999999998</v>
      </c>
      <c r="FH17" s="64">
        <f t="shared" si="3"/>
        <v>61.988810999999998</v>
      </c>
      <c r="FI17" s="64">
        <f t="shared" si="3"/>
        <v>61.988810999999998</v>
      </c>
      <c r="FJ17" s="64">
        <f t="shared" si="3"/>
        <v>61.988810999999998</v>
      </c>
      <c r="FK17" s="64">
        <f t="shared" si="3"/>
        <v>61.988810999999998</v>
      </c>
      <c r="FL17" s="64">
        <f t="shared" si="3"/>
        <v>61.988810999999998</v>
      </c>
      <c r="FM17" s="64">
        <f t="shared" si="3"/>
        <v>61.988810999999998</v>
      </c>
      <c r="FN17" s="64">
        <f t="shared" si="3"/>
        <v>61.988810999999998</v>
      </c>
      <c r="FO17" s="64">
        <f t="shared" si="3"/>
        <v>61.988810999999998</v>
      </c>
      <c r="FP17" s="64">
        <f t="shared" si="3"/>
        <v>61.988810999999998</v>
      </c>
      <c r="FQ17" s="64">
        <f t="shared" si="3"/>
        <v>61.988810999999998</v>
      </c>
      <c r="FR17" s="64">
        <f t="shared" si="3"/>
        <v>61.988810999999998</v>
      </c>
      <c r="FS17" s="64">
        <f t="shared" si="3"/>
        <v>61.988810999999998</v>
      </c>
      <c r="FT17" s="64">
        <f t="shared" si="3"/>
        <v>61.988810999999998</v>
      </c>
      <c r="FU17" s="64">
        <f t="shared" si="3"/>
        <v>61.988810999999998</v>
      </c>
      <c r="FV17" s="64">
        <f t="shared" si="3"/>
        <v>61.988810999999998</v>
      </c>
      <c r="FW17" s="64">
        <f t="shared" si="3"/>
        <v>61.988810999999998</v>
      </c>
      <c r="FX17" s="64">
        <f t="shared" si="3"/>
        <v>61.988810999999998</v>
      </c>
      <c r="FY17" s="64">
        <f t="shared" si="3"/>
        <v>61.988810999999998</v>
      </c>
      <c r="FZ17" s="64">
        <f t="shared" si="3"/>
        <v>61.988810999999998</v>
      </c>
      <c r="GA17" s="64">
        <f t="shared" si="3"/>
        <v>61.988810999999998</v>
      </c>
      <c r="GB17" s="64">
        <f t="shared" si="3"/>
        <v>61.988810999999998</v>
      </c>
      <c r="GC17" s="64">
        <f t="shared" si="3"/>
        <v>61.988810999999998</v>
      </c>
      <c r="GD17" s="64">
        <f t="shared" si="3"/>
        <v>61.988810999999998</v>
      </c>
      <c r="GE17" s="64">
        <f t="shared" si="3"/>
        <v>61.988810999999998</v>
      </c>
      <c r="GF17" s="64">
        <f t="shared" si="3"/>
        <v>61.988810999999998</v>
      </c>
      <c r="GG17" s="64">
        <f t="shared" si="3"/>
        <v>61.988810999999998</v>
      </c>
      <c r="GH17" s="64">
        <f t="shared" si="3"/>
        <v>61.988810999999998</v>
      </c>
      <c r="GI17" s="64">
        <f t="shared" si="3"/>
        <v>61.988810999999998</v>
      </c>
      <c r="GJ17" s="64">
        <f t="shared" si="3"/>
        <v>61.988810999999998</v>
      </c>
      <c r="GK17" s="64">
        <f t="shared" si="3"/>
        <v>61.988810999999998</v>
      </c>
      <c r="GL17" s="64">
        <f t="shared" si="3"/>
        <v>61.988810999999998</v>
      </c>
      <c r="GM17" s="64">
        <f t="shared" si="3"/>
        <v>61.988810999999998</v>
      </c>
      <c r="GN17" s="64">
        <f t="shared" si="3"/>
        <v>61.988810999999998</v>
      </c>
      <c r="GO17" s="64">
        <f t="shared" si="3"/>
        <v>61.988810999999998</v>
      </c>
      <c r="GP17" s="64">
        <f t="shared" si="3"/>
        <v>61.988810999999998</v>
      </c>
      <c r="GQ17" s="64">
        <f t="shared" ref="GQ17:JB17" si="4">$D$3</f>
        <v>61.988810999999998</v>
      </c>
      <c r="GR17" s="64">
        <f t="shared" si="4"/>
        <v>61.988810999999998</v>
      </c>
      <c r="GS17" s="64">
        <f t="shared" si="4"/>
        <v>61.988810999999998</v>
      </c>
      <c r="GT17" s="64">
        <f t="shared" si="4"/>
        <v>61.988810999999998</v>
      </c>
      <c r="GU17" s="64">
        <f t="shared" si="4"/>
        <v>61.988810999999998</v>
      </c>
      <c r="GV17" s="64">
        <f t="shared" si="4"/>
        <v>61.988810999999998</v>
      </c>
      <c r="GW17" s="64">
        <f t="shared" si="4"/>
        <v>61.988810999999998</v>
      </c>
      <c r="GX17" s="64">
        <f t="shared" si="4"/>
        <v>61.988810999999998</v>
      </c>
      <c r="GY17" s="64">
        <f t="shared" si="4"/>
        <v>61.988810999999998</v>
      </c>
      <c r="GZ17" s="64">
        <f t="shared" si="4"/>
        <v>61.988810999999998</v>
      </c>
      <c r="HA17" s="64">
        <f t="shared" si="4"/>
        <v>61.988810999999998</v>
      </c>
      <c r="HB17" s="64">
        <f t="shared" si="4"/>
        <v>61.988810999999998</v>
      </c>
      <c r="HC17" s="64">
        <f t="shared" si="4"/>
        <v>61.988810999999998</v>
      </c>
      <c r="HD17" s="64">
        <f t="shared" si="4"/>
        <v>61.988810999999998</v>
      </c>
      <c r="HE17" s="64">
        <f t="shared" si="4"/>
        <v>61.988810999999998</v>
      </c>
      <c r="HF17" s="64">
        <f t="shared" si="4"/>
        <v>61.988810999999998</v>
      </c>
      <c r="HG17" s="64">
        <f t="shared" si="4"/>
        <v>61.988810999999998</v>
      </c>
      <c r="HH17" s="64">
        <f t="shared" si="4"/>
        <v>61.988810999999998</v>
      </c>
      <c r="HI17" s="64">
        <f t="shared" si="4"/>
        <v>61.988810999999998</v>
      </c>
      <c r="HJ17" s="64">
        <f t="shared" si="4"/>
        <v>61.988810999999998</v>
      </c>
      <c r="HK17" s="64">
        <f t="shared" si="4"/>
        <v>61.988810999999998</v>
      </c>
      <c r="HL17" s="64">
        <f t="shared" si="4"/>
        <v>61.988810999999998</v>
      </c>
      <c r="HM17" s="64">
        <f t="shared" si="4"/>
        <v>61.988810999999998</v>
      </c>
      <c r="HN17" s="64">
        <f t="shared" si="4"/>
        <v>61.988810999999998</v>
      </c>
      <c r="HO17" s="64">
        <f t="shared" si="4"/>
        <v>61.988810999999998</v>
      </c>
      <c r="HP17" s="64">
        <f t="shared" si="4"/>
        <v>61.988810999999998</v>
      </c>
      <c r="HQ17" s="64">
        <f t="shared" si="4"/>
        <v>61.988810999999998</v>
      </c>
      <c r="HR17" s="64">
        <f t="shared" si="4"/>
        <v>61.988810999999998</v>
      </c>
      <c r="HS17" s="64">
        <f t="shared" si="4"/>
        <v>61.988810999999998</v>
      </c>
      <c r="HT17" s="64">
        <f t="shared" si="4"/>
        <v>61.988810999999998</v>
      </c>
      <c r="HU17" s="64">
        <f t="shared" si="4"/>
        <v>61.988810999999998</v>
      </c>
      <c r="HV17" s="64">
        <f t="shared" si="4"/>
        <v>61.988810999999998</v>
      </c>
      <c r="HW17" s="64">
        <f t="shared" si="4"/>
        <v>61.988810999999998</v>
      </c>
      <c r="HX17" s="64">
        <f t="shared" si="4"/>
        <v>61.988810999999998</v>
      </c>
      <c r="HY17" s="64">
        <f t="shared" si="4"/>
        <v>61.988810999999998</v>
      </c>
      <c r="HZ17" s="64">
        <f t="shared" si="4"/>
        <v>61.988810999999998</v>
      </c>
      <c r="IA17" s="64">
        <f t="shared" si="4"/>
        <v>61.988810999999998</v>
      </c>
      <c r="IB17" s="64">
        <f t="shared" si="4"/>
        <v>61.988810999999998</v>
      </c>
      <c r="IC17" s="64">
        <f t="shared" si="4"/>
        <v>61.988810999999998</v>
      </c>
      <c r="ID17" s="64">
        <f t="shared" si="4"/>
        <v>61.988810999999998</v>
      </c>
      <c r="IE17" s="64">
        <f t="shared" si="4"/>
        <v>61.988810999999998</v>
      </c>
      <c r="IF17" s="64">
        <f t="shared" si="4"/>
        <v>61.988810999999998</v>
      </c>
      <c r="IG17" s="64">
        <f t="shared" si="4"/>
        <v>61.988810999999998</v>
      </c>
      <c r="IH17" s="64">
        <f t="shared" si="4"/>
        <v>61.988810999999998</v>
      </c>
      <c r="II17" s="64">
        <f t="shared" si="4"/>
        <v>61.988810999999998</v>
      </c>
      <c r="IJ17" s="64">
        <f t="shared" si="4"/>
        <v>61.988810999999998</v>
      </c>
      <c r="IK17" s="64">
        <f t="shared" si="4"/>
        <v>61.988810999999998</v>
      </c>
      <c r="IL17" s="64">
        <f t="shared" si="4"/>
        <v>61.988810999999998</v>
      </c>
      <c r="IM17" s="64">
        <f t="shared" si="4"/>
        <v>61.988810999999998</v>
      </c>
      <c r="IN17" s="64">
        <f t="shared" si="4"/>
        <v>61.988810999999998</v>
      </c>
      <c r="IO17" s="64">
        <f t="shared" si="4"/>
        <v>61.988810999999998</v>
      </c>
      <c r="IP17" s="64">
        <f t="shared" si="4"/>
        <v>61.988810999999998</v>
      </c>
      <c r="IQ17" s="64">
        <f t="shared" si="4"/>
        <v>61.988810999999998</v>
      </c>
      <c r="IR17" s="64">
        <f t="shared" si="4"/>
        <v>61.988810999999998</v>
      </c>
      <c r="IS17" s="64">
        <f t="shared" si="4"/>
        <v>61.988810999999998</v>
      </c>
      <c r="IT17" s="64">
        <f t="shared" si="4"/>
        <v>61.988810999999998</v>
      </c>
      <c r="IU17" s="64">
        <f t="shared" si="4"/>
        <v>61.988810999999998</v>
      </c>
      <c r="IV17" s="64">
        <f t="shared" si="4"/>
        <v>61.988810999999998</v>
      </c>
      <c r="IW17" s="64">
        <f t="shared" si="4"/>
        <v>61.988810999999998</v>
      </c>
      <c r="IX17" s="64">
        <f t="shared" si="4"/>
        <v>61.988810999999998</v>
      </c>
      <c r="IY17" s="64">
        <f t="shared" si="4"/>
        <v>61.988810999999998</v>
      </c>
      <c r="IZ17" s="64">
        <f t="shared" si="4"/>
        <v>61.988810999999998</v>
      </c>
      <c r="JA17" s="64">
        <f t="shared" si="4"/>
        <v>61.988810999999998</v>
      </c>
      <c r="JB17" s="64">
        <f t="shared" si="4"/>
        <v>61.988810999999998</v>
      </c>
      <c r="JC17" s="64">
        <f t="shared" ref="JC17:LN17" si="5">$D$3</f>
        <v>61.988810999999998</v>
      </c>
      <c r="JD17" s="64">
        <f t="shared" si="5"/>
        <v>61.988810999999998</v>
      </c>
      <c r="JE17" s="64">
        <f t="shared" si="5"/>
        <v>61.988810999999998</v>
      </c>
      <c r="JF17" s="64">
        <f t="shared" si="5"/>
        <v>61.988810999999998</v>
      </c>
      <c r="JG17" s="64">
        <f t="shared" si="5"/>
        <v>61.988810999999998</v>
      </c>
      <c r="JH17" s="64">
        <f t="shared" si="5"/>
        <v>61.988810999999998</v>
      </c>
      <c r="JI17" s="64">
        <f t="shared" si="5"/>
        <v>61.988810999999998</v>
      </c>
      <c r="JJ17" s="64">
        <f t="shared" si="5"/>
        <v>61.988810999999998</v>
      </c>
      <c r="JK17" s="64">
        <f t="shared" si="5"/>
        <v>61.988810999999998</v>
      </c>
      <c r="JL17" s="64">
        <f t="shared" si="5"/>
        <v>61.988810999999998</v>
      </c>
      <c r="JM17" s="64">
        <f t="shared" si="5"/>
        <v>61.988810999999998</v>
      </c>
      <c r="JN17" s="64">
        <f t="shared" si="5"/>
        <v>61.988810999999998</v>
      </c>
      <c r="JO17" s="64">
        <f t="shared" si="5"/>
        <v>61.988810999999998</v>
      </c>
      <c r="JP17" s="64">
        <f t="shared" si="5"/>
        <v>61.988810999999998</v>
      </c>
      <c r="JQ17" s="64">
        <f t="shared" si="5"/>
        <v>61.988810999999998</v>
      </c>
      <c r="JR17" s="64">
        <f t="shared" si="5"/>
        <v>61.988810999999998</v>
      </c>
      <c r="JS17" s="64">
        <f t="shared" si="5"/>
        <v>61.988810999999998</v>
      </c>
      <c r="JT17" s="64">
        <f t="shared" si="5"/>
        <v>61.988810999999998</v>
      </c>
      <c r="JU17" s="64">
        <f t="shared" si="5"/>
        <v>61.988810999999998</v>
      </c>
      <c r="JV17" s="64">
        <f t="shared" si="5"/>
        <v>61.988810999999998</v>
      </c>
      <c r="JW17" s="64">
        <f t="shared" si="5"/>
        <v>61.988810999999998</v>
      </c>
      <c r="JX17" s="64">
        <f t="shared" si="5"/>
        <v>61.988810999999998</v>
      </c>
      <c r="JY17" s="64">
        <f t="shared" si="5"/>
        <v>61.988810999999998</v>
      </c>
      <c r="JZ17" s="64">
        <f t="shared" si="5"/>
        <v>61.988810999999998</v>
      </c>
      <c r="KA17" s="64">
        <f t="shared" si="5"/>
        <v>61.988810999999998</v>
      </c>
      <c r="KB17" s="64">
        <f t="shared" si="5"/>
        <v>61.988810999999998</v>
      </c>
      <c r="KC17" s="64">
        <f t="shared" si="5"/>
        <v>61.988810999999998</v>
      </c>
      <c r="KD17" s="64">
        <f t="shared" si="5"/>
        <v>61.988810999999998</v>
      </c>
      <c r="KE17" s="64">
        <f t="shared" si="5"/>
        <v>61.988810999999998</v>
      </c>
      <c r="KF17" s="64">
        <f t="shared" si="5"/>
        <v>61.988810999999998</v>
      </c>
      <c r="KG17" s="64">
        <f t="shared" si="5"/>
        <v>61.988810999999998</v>
      </c>
      <c r="KH17" s="64">
        <f t="shared" si="5"/>
        <v>61.988810999999998</v>
      </c>
      <c r="KI17" s="64">
        <f t="shared" si="5"/>
        <v>61.988810999999998</v>
      </c>
      <c r="KJ17" s="64">
        <f t="shared" si="5"/>
        <v>61.988810999999998</v>
      </c>
      <c r="KK17" s="64">
        <f t="shared" si="5"/>
        <v>61.988810999999998</v>
      </c>
      <c r="KL17" s="64">
        <f t="shared" si="5"/>
        <v>61.988810999999998</v>
      </c>
      <c r="KM17" s="64">
        <f t="shared" si="5"/>
        <v>61.988810999999998</v>
      </c>
      <c r="KN17" s="64">
        <f t="shared" si="5"/>
        <v>61.988810999999998</v>
      </c>
      <c r="KO17" s="64">
        <f t="shared" si="5"/>
        <v>61.988810999999998</v>
      </c>
      <c r="KP17" s="64">
        <f t="shared" si="5"/>
        <v>61.988810999999998</v>
      </c>
      <c r="KQ17" s="64">
        <f t="shared" si="5"/>
        <v>61.988810999999998</v>
      </c>
      <c r="KR17" s="64">
        <f t="shared" si="5"/>
        <v>61.988810999999998</v>
      </c>
      <c r="KS17" s="64">
        <f t="shared" si="5"/>
        <v>61.988810999999998</v>
      </c>
      <c r="KT17" s="64">
        <f t="shared" si="5"/>
        <v>61.988810999999998</v>
      </c>
      <c r="KU17" s="64">
        <f t="shared" si="5"/>
        <v>61.988810999999998</v>
      </c>
      <c r="KV17" s="64">
        <f t="shared" si="5"/>
        <v>61.988810999999998</v>
      </c>
      <c r="KW17" s="64">
        <f t="shared" si="5"/>
        <v>61.988810999999998</v>
      </c>
      <c r="KX17" s="64">
        <f t="shared" si="5"/>
        <v>61.988810999999998</v>
      </c>
      <c r="KY17" s="64">
        <f t="shared" si="5"/>
        <v>61.988810999999998</v>
      </c>
      <c r="KZ17" s="64">
        <f t="shared" si="5"/>
        <v>61.988810999999998</v>
      </c>
      <c r="LA17" s="64">
        <f t="shared" si="5"/>
        <v>61.988810999999998</v>
      </c>
      <c r="LB17" s="64">
        <f t="shared" si="5"/>
        <v>61.988810999999998</v>
      </c>
      <c r="LC17" s="64">
        <f t="shared" si="5"/>
        <v>61.988810999999998</v>
      </c>
      <c r="LD17" s="64">
        <f t="shared" si="5"/>
        <v>61.988810999999998</v>
      </c>
      <c r="LE17" s="64">
        <f t="shared" si="5"/>
        <v>61.988810999999998</v>
      </c>
      <c r="LF17" s="64">
        <f t="shared" si="5"/>
        <v>61.988810999999998</v>
      </c>
      <c r="LG17" s="64">
        <f t="shared" si="5"/>
        <v>61.988810999999998</v>
      </c>
      <c r="LH17" s="64">
        <f t="shared" si="5"/>
        <v>61.988810999999998</v>
      </c>
      <c r="LI17" s="64">
        <f t="shared" si="5"/>
        <v>61.988810999999998</v>
      </c>
      <c r="LJ17" s="64">
        <f t="shared" si="5"/>
        <v>61.988810999999998</v>
      </c>
      <c r="LK17" s="64">
        <f t="shared" si="5"/>
        <v>61.988810999999998</v>
      </c>
      <c r="LL17" s="64">
        <f t="shared" si="5"/>
        <v>61.988810999999998</v>
      </c>
      <c r="LM17" s="64">
        <f t="shared" si="5"/>
        <v>61.988810999999998</v>
      </c>
      <c r="LN17" s="64">
        <f t="shared" si="5"/>
        <v>61.988810999999998</v>
      </c>
      <c r="LO17" s="64">
        <f t="shared" ref="LO17:NZ17" si="6">$D$3</f>
        <v>61.988810999999998</v>
      </c>
      <c r="LP17" s="64">
        <f t="shared" si="6"/>
        <v>61.988810999999998</v>
      </c>
      <c r="LQ17" s="64">
        <f t="shared" si="6"/>
        <v>61.988810999999998</v>
      </c>
      <c r="LR17" s="64">
        <f t="shared" si="6"/>
        <v>61.988810999999998</v>
      </c>
      <c r="LS17" s="64">
        <f t="shared" si="6"/>
        <v>61.988810999999998</v>
      </c>
      <c r="LT17" s="64">
        <f t="shared" si="6"/>
        <v>61.988810999999998</v>
      </c>
      <c r="LU17" s="64">
        <f t="shared" si="6"/>
        <v>61.988810999999998</v>
      </c>
      <c r="LV17" s="64">
        <f t="shared" si="6"/>
        <v>61.988810999999998</v>
      </c>
      <c r="LW17" s="64">
        <f t="shared" si="6"/>
        <v>61.988810999999998</v>
      </c>
      <c r="LX17" s="64">
        <f t="shared" si="6"/>
        <v>61.988810999999998</v>
      </c>
      <c r="LY17" s="64">
        <f t="shared" si="6"/>
        <v>61.988810999999998</v>
      </c>
      <c r="LZ17" s="64">
        <f t="shared" si="6"/>
        <v>61.988810999999998</v>
      </c>
      <c r="MA17" s="64">
        <f t="shared" si="6"/>
        <v>61.988810999999998</v>
      </c>
      <c r="MB17" s="64">
        <f t="shared" si="6"/>
        <v>61.988810999999998</v>
      </c>
      <c r="MC17" s="64">
        <f t="shared" si="6"/>
        <v>61.988810999999998</v>
      </c>
      <c r="MD17" s="64">
        <f t="shared" si="6"/>
        <v>61.988810999999998</v>
      </c>
      <c r="ME17" s="64">
        <f t="shared" si="6"/>
        <v>61.988810999999998</v>
      </c>
      <c r="MF17" s="64">
        <f t="shared" si="6"/>
        <v>61.988810999999998</v>
      </c>
      <c r="MG17" s="64">
        <f t="shared" si="6"/>
        <v>61.988810999999998</v>
      </c>
      <c r="MH17" s="64">
        <f t="shared" si="6"/>
        <v>61.988810999999998</v>
      </c>
      <c r="MI17" s="64">
        <f t="shared" si="6"/>
        <v>61.988810999999998</v>
      </c>
      <c r="MJ17" s="64">
        <f t="shared" si="6"/>
        <v>61.988810999999998</v>
      </c>
      <c r="MK17" s="64">
        <f t="shared" si="6"/>
        <v>61.988810999999998</v>
      </c>
      <c r="ML17" s="64">
        <f t="shared" si="6"/>
        <v>61.988810999999998</v>
      </c>
      <c r="MM17" s="64">
        <f t="shared" si="6"/>
        <v>61.988810999999998</v>
      </c>
      <c r="MN17" s="64">
        <f t="shared" si="6"/>
        <v>61.988810999999998</v>
      </c>
      <c r="MO17" s="64">
        <f t="shared" si="6"/>
        <v>61.988810999999998</v>
      </c>
      <c r="MP17" s="64">
        <f t="shared" si="6"/>
        <v>61.988810999999998</v>
      </c>
      <c r="MQ17" s="64">
        <f t="shared" si="6"/>
        <v>61.988810999999998</v>
      </c>
      <c r="MR17" s="64">
        <f t="shared" si="6"/>
        <v>61.988810999999998</v>
      </c>
      <c r="MS17" s="64">
        <f t="shared" si="6"/>
        <v>61.988810999999998</v>
      </c>
      <c r="MT17" s="64">
        <f t="shared" si="6"/>
        <v>61.988810999999998</v>
      </c>
      <c r="MU17" s="64">
        <f t="shared" si="6"/>
        <v>61.988810999999998</v>
      </c>
      <c r="MV17" s="64">
        <f t="shared" si="6"/>
        <v>61.988810999999998</v>
      </c>
      <c r="MW17" s="64">
        <f t="shared" si="6"/>
        <v>61.988810999999998</v>
      </c>
      <c r="MX17" s="64">
        <f t="shared" si="6"/>
        <v>61.988810999999998</v>
      </c>
      <c r="MY17" s="64">
        <f t="shared" si="6"/>
        <v>61.988810999999998</v>
      </c>
      <c r="MZ17" s="64">
        <f t="shared" si="6"/>
        <v>61.988810999999998</v>
      </c>
      <c r="NA17" s="64">
        <f t="shared" si="6"/>
        <v>61.988810999999998</v>
      </c>
      <c r="NB17" s="64">
        <f t="shared" si="6"/>
        <v>61.988810999999998</v>
      </c>
      <c r="NC17" s="64">
        <f t="shared" si="6"/>
        <v>61.988810999999998</v>
      </c>
      <c r="ND17" s="64">
        <f t="shared" si="6"/>
        <v>61.988810999999998</v>
      </c>
      <c r="NE17" s="64">
        <f t="shared" si="6"/>
        <v>61.988810999999998</v>
      </c>
      <c r="NF17" s="64">
        <f t="shared" si="6"/>
        <v>61.988810999999998</v>
      </c>
      <c r="NG17" s="64">
        <f t="shared" si="6"/>
        <v>61.988810999999998</v>
      </c>
      <c r="NH17" s="64">
        <f t="shared" si="6"/>
        <v>61.988810999999998</v>
      </c>
      <c r="NI17" s="64">
        <f t="shared" si="6"/>
        <v>61.988810999999998</v>
      </c>
      <c r="NJ17" s="64">
        <f t="shared" si="6"/>
        <v>61.988810999999998</v>
      </c>
      <c r="NK17" s="64">
        <f t="shared" si="6"/>
        <v>61.988810999999998</v>
      </c>
      <c r="NL17" s="64">
        <f t="shared" si="6"/>
        <v>61.988810999999998</v>
      </c>
      <c r="NM17" s="64">
        <f t="shared" si="6"/>
        <v>61.988810999999998</v>
      </c>
      <c r="NN17" s="64">
        <f t="shared" si="6"/>
        <v>61.988810999999998</v>
      </c>
      <c r="NO17" s="64">
        <f t="shared" si="6"/>
        <v>61.988810999999998</v>
      </c>
      <c r="NP17" s="64">
        <f t="shared" si="6"/>
        <v>61.988810999999998</v>
      </c>
      <c r="NQ17" s="64">
        <f t="shared" si="6"/>
        <v>61.988810999999998</v>
      </c>
      <c r="NR17" s="64">
        <f t="shared" si="6"/>
        <v>61.988810999999998</v>
      </c>
      <c r="NS17" s="64">
        <f t="shared" si="6"/>
        <v>61.988810999999998</v>
      </c>
      <c r="NT17" s="64">
        <f t="shared" si="6"/>
        <v>61.988810999999998</v>
      </c>
      <c r="NU17" s="64">
        <f t="shared" si="6"/>
        <v>61.988810999999998</v>
      </c>
      <c r="NV17" s="64">
        <f t="shared" si="6"/>
        <v>61.988810999999998</v>
      </c>
      <c r="NW17" s="64">
        <f t="shared" si="6"/>
        <v>61.988810999999998</v>
      </c>
      <c r="NX17" s="64">
        <f t="shared" si="6"/>
        <v>61.988810999999998</v>
      </c>
      <c r="NY17" s="64">
        <f t="shared" si="6"/>
        <v>61.988810999999998</v>
      </c>
      <c r="NZ17" s="64">
        <f t="shared" si="6"/>
        <v>61.988810999999998</v>
      </c>
      <c r="OA17" s="64">
        <f t="shared" ref="OA17:QL17" si="7">$D$3</f>
        <v>61.988810999999998</v>
      </c>
      <c r="OB17" s="64">
        <f t="shared" si="7"/>
        <v>61.988810999999998</v>
      </c>
      <c r="OC17" s="64">
        <f t="shared" si="7"/>
        <v>61.988810999999998</v>
      </c>
      <c r="OD17" s="64">
        <f t="shared" si="7"/>
        <v>61.988810999999998</v>
      </c>
      <c r="OE17" s="64">
        <f t="shared" si="7"/>
        <v>61.988810999999998</v>
      </c>
      <c r="OF17" s="64">
        <f t="shared" si="7"/>
        <v>61.988810999999998</v>
      </c>
      <c r="OG17" s="64">
        <f t="shared" si="7"/>
        <v>61.988810999999998</v>
      </c>
      <c r="OH17" s="64">
        <f t="shared" si="7"/>
        <v>61.988810999999998</v>
      </c>
      <c r="OI17" s="64">
        <f t="shared" si="7"/>
        <v>61.988810999999998</v>
      </c>
      <c r="OJ17" s="64">
        <f t="shared" si="7"/>
        <v>61.988810999999998</v>
      </c>
      <c r="OK17" s="64">
        <f t="shared" si="7"/>
        <v>61.988810999999998</v>
      </c>
      <c r="OL17" s="64">
        <f t="shared" si="7"/>
        <v>61.988810999999998</v>
      </c>
      <c r="OM17" s="64">
        <f t="shared" si="7"/>
        <v>61.988810999999998</v>
      </c>
      <c r="ON17" s="64">
        <f t="shared" si="7"/>
        <v>61.988810999999998</v>
      </c>
      <c r="OO17" s="64">
        <f t="shared" si="7"/>
        <v>61.988810999999998</v>
      </c>
      <c r="OP17" s="64">
        <f t="shared" si="7"/>
        <v>61.988810999999998</v>
      </c>
      <c r="OQ17" s="64">
        <f t="shared" si="7"/>
        <v>61.988810999999998</v>
      </c>
      <c r="OR17" s="64">
        <f t="shared" si="7"/>
        <v>61.988810999999998</v>
      </c>
      <c r="OS17" s="64">
        <f t="shared" si="7"/>
        <v>61.988810999999998</v>
      </c>
      <c r="OT17" s="64">
        <f t="shared" si="7"/>
        <v>61.988810999999998</v>
      </c>
      <c r="OU17" s="64">
        <f t="shared" si="7"/>
        <v>61.988810999999998</v>
      </c>
      <c r="OV17" s="64">
        <f t="shared" si="7"/>
        <v>61.988810999999998</v>
      </c>
      <c r="OW17" s="64">
        <f t="shared" si="7"/>
        <v>61.988810999999998</v>
      </c>
      <c r="OX17" s="64">
        <f t="shared" si="7"/>
        <v>61.988810999999998</v>
      </c>
      <c r="OY17" s="64">
        <f t="shared" si="7"/>
        <v>61.988810999999998</v>
      </c>
      <c r="OZ17" s="64">
        <f t="shared" si="7"/>
        <v>61.988810999999998</v>
      </c>
      <c r="PA17" s="64">
        <f t="shared" si="7"/>
        <v>61.988810999999998</v>
      </c>
      <c r="PB17" s="64">
        <f t="shared" si="7"/>
        <v>61.988810999999998</v>
      </c>
      <c r="PC17" s="64">
        <f t="shared" si="7"/>
        <v>61.988810999999998</v>
      </c>
      <c r="PD17" s="64">
        <f t="shared" si="7"/>
        <v>61.988810999999998</v>
      </c>
      <c r="PE17" s="64">
        <f t="shared" si="7"/>
        <v>61.988810999999998</v>
      </c>
      <c r="PF17" s="64">
        <f t="shared" si="7"/>
        <v>61.988810999999998</v>
      </c>
      <c r="PG17" s="64">
        <f t="shared" si="7"/>
        <v>61.988810999999998</v>
      </c>
      <c r="PH17" s="64">
        <f t="shared" si="7"/>
        <v>61.988810999999998</v>
      </c>
      <c r="PI17" s="64">
        <f t="shared" si="7"/>
        <v>61.988810999999998</v>
      </c>
      <c r="PJ17" s="64">
        <f t="shared" si="7"/>
        <v>61.988810999999998</v>
      </c>
      <c r="PK17" s="64">
        <f t="shared" si="7"/>
        <v>61.988810999999998</v>
      </c>
      <c r="PL17" s="64">
        <f t="shared" si="7"/>
        <v>61.988810999999998</v>
      </c>
      <c r="PM17" s="64">
        <f t="shared" si="7"/>
        <v>61.988810999999998</v>
      </c>
      <c r="PN17" s="64">
        <f t="shared" si="7"/>
        <v>61.988810999999998</v>
      </c>
      <c r="PO17" s="64">
        <f t="shared" si="7"/>
        <v>61.988810999999998</v>
      </c>
      <c r="PP17" s="64">
        <f t="shared" si="7"/>
        <v>61.988810999999998</v>
      </c>
      <c r="PQ17" s="64">
        <f t="shared" si="7"/>
        <v>61.988810999999998</v>
      </c>
      <c r="PR17" s="64">
        <f t="shared" si="7"/>
        <v>61.988810999999998</v>
      </c>
      <c r="PS17" s="64">
        <f t="shared" si="7"/>
        <v>61.988810999999998</v>
      </c>
      <c r="PT17" s="64">
        <f t="shared" si="7"/>
        <v>61.988810999999998</v>
      </c>
      <c r="PU17" s="64">
        <f t="shared" si="7"/>
        <v>61.988810999999998</v>
      </c>
      <c r="PV17" s="64">
        <f t="shared" si="7"/>
        <v>61.988810999999998</v>
      </c>
      <c r="PW17" s="64">
        <f t="shared" si="7"/>
        <v>61.988810999999998</v>
      </c>
      <c r="PX17" s="64">
        <f t="shared" si="7"/>
        <v>61.988810999999998</v>
      </c>
      <c r="PY17" s="64">
        <f t="shared" si="7"/>
        <v>61.988810999999998</v>
      </c>
      <c r="PZ17" s="64">
        <f t="shared" si="7"/>
        <v>61.988810999999998</v>
      </c>
      <c r="QA17" s="64">
        <f t="shared" si="7"/>
        <v>61.988810999999998</v>
      </c>
      <c r="QB17" s="64">
        <f t="shared" si="7"/>
        <v>61.988810999999998</v>
      </c>
      <c r="QC17" s="64">
        <f t="shared" si="7"/>
        <v>61.988810999999998</v>
      </c>
      <c r="QD17" s="64">
        <f t="shared" si="7"/>
        <v>61.988810999999998</v>
      </c>
      <c r="QE17" s="64">
        <f t="shared" si="7"/>
        <v>61.988810999999998</v>
      </c>
      <c r="QF17" s="64">
        <f t="shared" si="7"/>
        <v>61.988810999999998</v>
      </c>
      <c r="QG17" s="64">
        <f t="shared" si="7"/>
        <v>61.988810999999998</v>
      </c>
      <c r="QH17" s="64">
        <f t="shared" si="7"/>
        <v>61.988810999999998</v>
      </c>
      <c r="QI17" s="64">
        <f t="shared" si="7"/>
        <v>61.988810999999998</v>
      </c>
      <c r="QJ17" s="64">
        <f t="shared" si="7"/>
        <v>61.988810999999998</v>
      </c>
      <c r="QK17" s="64">
        <f t="shared" si="7"/>
        <v>61.988810999999998</v>
      </c>
      <c r="QL17" s="64">
        <f t="shared" si="7"/>
        <v>61.988810999999998</v>
      </c>
      <c r="QM17" s="64">
        <f t="shared" ref="QM17:SX17" si="8">$D$3</f>
        <v>61.988810999999998</v>
      </c>
      <c r="QN17" s="64">
        <f t="shared" si="8"/>
        <v>61.988810999999998</v>
      </c>
      <c r="QO17" s="64">
        <f t="shared" si="8"/>
        <v>61.988810999999998</v>
      </c>
      <c r="QP17" s="64">
        <f t="shared" si="8"/>
        <v>61.988810999999998</v>
      </c>
      <c r="QQ17" s="64">
        <f t="shared" si="8"/>
        <v>61.988810999999998</v>
      </c>
      <c r="QR17" s="64">
        <f t="shared" si="8"/>
        <v>61.988810999999998</v>
      </c>
      <c r="QS17" s="64">
        <f t="shared" si="8"/>
        <v>61.988810999999998</v>
      </c>
      <c r="QT17" s="64">
        <f t="shared" si="8"/>
        <v>61.988810999999998</v>
      </c>
      <c r="QU17" s="64">
        <f t="shared" si="8"/>
        <v>61.988810999999998</v>
      </c>
      <c r="QV17" s="64">
        <f t="shared" si="8"/>
        <v>61.988810999999998</v>
      </c>
      <c r="QW17" s="64">
        <f t="shared" si="8"/>
        <v>61.988810999999998</v>
      </c>
      <c r="QX17" s="64">
        <f t="shared" si="8"/>
        <v>61.988810999999998</v>
      </c>
      <c r="QY17" s="64">
        <f t="shared" si="8"/>
        <v>61.988810999999998</v>
      </c>
      <c r="QZ17" s="64">
        <f t="shared" si="8"/>
        <v>61.988810999999998</v>
      </c>
      <c r="RA17" s="64">
        <f t="shared" si="8"/>
        <v>61.988810999999998</v>
      </c>
      <c r="RB17" s="64">
        <f t="shared" si="8"/>
        <v>61.988810999999998</v>
      </c>
      <c r="RC17" s="64">
        <f t="shared" si="8"/>
        <v>61.988810999999998</v>
      </c>
      <c r="RD17" s="64">
        <f t="shared" si="8"/>
        <v>61.988810999999998</v>
      </c>
      <c r="RE17" s="64">
        <f t="shared" si="8"/>
        <v>61.988810999999998</v>
      </c>
      <c r="RF17" s="64">
        <f t="shared" si="8"/>
        <v>61.988810999999998</v>
      </c>
      <c r="RG17" s="64">
        <f t="shared" si="8"/>
        <v>61.988810999999998</v>
      </c>
      <c r="RH17" s="64">
        <f t="shared" si="8"/>
        <v>61.988810999999998</v>
      </c>
      <c r="RI17" s="64">
        <f t="shared" si="8"/>
        <v>61.988810999999998</v>
      </c>
      <c r="RJ17" s="64">
        <f t="shared" si="8"/>
        <v>61.988810999999998</v>
      </c>
      <c r="RK17" s="64">
        <f t="shared" si="8"/>
        <v>61.988810999999998</v>
      </c>
      <c r="RL17" s="64">
        <f t="shared" si="8"/>
        <v>61.988810999999998</v>
      </c>
      <c r="RM17" s="64">
        <f t="shared" si="8"/>
        <v>61.988810999999998</v>
      </c>
      <c r="RN17" s="64">
        <f t="shared" si="8"/>
        <v>61.988810999999998</v>
      </c>
      <c r="RO17" s="64">
        <f t="shared" si="8"/>
        <v>61.988810999999998</v>
      </c>
      <c r="RP17" s="64">
        <f t="shared" si="8"/>
        <v>61.988810999999998</v>
      </c>
      <c r="RQ17" s="64">
        <f t="shared" si="8"/>
        <v>61.988810999999998</v>
      </c>
      <c r="RR17" s="64">
        <f t="shared" si="8"/>
        <v>61.988810999999998</v>
      </c>
      <c r="RS17" s="64">
        <f t="shared" si="8"/>
        <v>61.988810999999998</v>
      </c>
      <c r="RT17" s="64">
        <f t="shared" si="8"/>
        <v>61.988810999999998</v>
      </c>
      <c r="RU17" s="64">
        <f t="shared" si="8"/>
        <v>61.988810999999998</v>
      </c>
      <c r="RV17" s="64">
        <f t="shared" si="8"/>
        <v>61.988810999999998</v>
      </c>
      <c r="RW17" s="64">
        <f t="shared" si="8"/>
        <v>61.988810999999998</v>
      </c>
      <c r="RX17" s="64">
        <f t="shared" si="8"/>
        <v>61.988810999999998</v>
      </c>
      <c r="RY17" s="64">
        <f t="shared" si="8"/>
        <v>61.988810999999998</v>
      </c>
      <c r="RZ17" s="64">
        <f t="shared" si="8"/>
        <v>61.988810999999998</v>
      </c>
      <c r="SA17" s="64">
        <f t="shared" si="8"/>
        <v>61.988810999999998</v>
      </c>
      <c r="SB17" s="64">
        <f t="shared" si="8"/>
        <v>61.988810999999998</v>
      </c>
      <c r="SC17" s="64">
        <f t="shared" si="8"/>
        <v>61.988810999999998</v>
      </c>
      <c r="SD17" s="64">
        <f t="shared" si="8"/>
        <v>61.988810999999998</v>
      </c>
      <c r="SE17" s="64">
        <f t="shared" si="8"/>
        <v>61.988810999999998</v>
      </c>
      <c r="SF17" s="64">
        <f t="shared" si="8"/>
        <v>61.988810999999998</v>
      </c>
      <c r="SG17" s="64">
        <f t="shared" si="8"/>
        <v>61.988810999999998</v>
      </c>
      <c r="SH17" s="64">
        <f t="shared" si="8"/>
        <v>61.988810999999998</v>
      </c>
      <c r="SI17" s="64">
        <f t="shared" si="8"/>
        <v>61.988810999999998</v>
      </c>
      <c r="SJ17" s="64">
        <f t="shared" si="8"/>
        <v>61.988810999999998</v>
      </c>
      <c r="SK17" s="64">
        <f t="shared" si="8"/>
        <v>61.988810999999998</v>
      </c>
      <c r="SL17" s="64">
        <f t="shared" si="8"/>
        <v>61.988810999999998</v>
      </c>
      <c r="SM17" s="64">
        <f t="shared" si="8"/>
        <v>61.988810999999998</v>
      </c>
      <c r="SN17" s="64">
        <f t="shared" si="8"/>
        <v>61.988810999999998</v>
      </c>
      <c r="SO17" s="64">
        <f t="shared" si="8"/>
        <v>61.988810999999998</v>
      </c>
      <c r="SP17" s="64">
        <f t="shared" si="8"/>
        <v>61.988810999999998</v>
      </c>
      <c r="SQ17" s="64">
        <f t="shared" si="8"/>
        <v>61.988810999999998</v>
      </c>
      <c r="SR17" s="64">
        <f t="shared" si="8"/>
        <v>61.988810999999998</v>
      </c>
      <c r="SS17" s="64">
        <f t="shared" si="8"/>
        <v>61.988810999999998</v>
      </c>
      <c r="ST17" s="64">
        <f t="shared" si="8"/>
        <v>61.988810999999998</v>
      </c>
      <c r="SU17" s="64">
        <f t="shared" si="8"/>
        <v>61.988810999999998</v>
      </c>
      <c r="SV17" s="64">
        <f t="shared" si="8"/>
        <v>61.988810999999998</v>
      </c>
      <c r="SW17" s="64">
        <f t="shared" si="8"/>
        <v>61.988810999999998</v>
      </c>
      <c r="SX17" s="64">
        <f t="shared" si="8"/>
        <v>61.988810999999998</v>
      </c>
      <c r="SY17" s="64">
        <f t="shared" ref="SY17:VJ17" si="9">$D$3</f>
        <v>61.988810999999998</v>
      </c>
      <c r="SZ17" s="64">
        <f t="shared" si="9"/>
        <v>61.988810999999998</v>
      </c>
      <c r="TA17" s="64">
        <f t="shared" si="9"/>
        <v>61.988810999999998</v>
      </c>
      <c r="TB17" s="64">
        <f t="shared" si="9"/>
        <v>61.988810999999998</v>
      </c>
      <c r="TC17" s="64">
        <f t="shared" si="9"/>
        <v>61.988810999999998</v>
      </c>
      <c r="TD17" s="64">
        <f t="shared" si="9"/>
        <v>61.988810999999998</v>
      </c>
      <c r="TE17" s="64">
        <f t="shared" si="9"/>
        <v>61.988810999999998</v>
      </c>
      <c r="TF17" s="64">
        <f t="shared" si="9"/>
        <v>61.988810999999998</v>
      </c>
      <c r="TG17" s="64">
        <f t="shared" si="9"/>
        <v>61.988810999999998</v>
      </c>
      <c r="TH17" s="64">
        <f t="shared" si="9"/>
        <v>61.988810999999998</v>
      </c>
      <c r="TI17" s="64">
        <f t="shared" si="9"/>
        <v>61.988810999999998</v>
      </c>
      <c r="TJ17" s="64">
        <f t="shared" si="9"/>
        <v>61.988810999999998</v>
      </c>
      <c r="TK17" s="64">
        <f t="shared" si="9"/>
        <v>61.988810999999998</v>
      </c>
      <c r="TL17" s="64">
        <f t="shared" si="9"/>
        <v>61.988810999999998</v>
      </c>
      <c r="TM17" s="64">
        <f t="shared" si="9"/>
        <v>61.988810999999998</v>
      </c>
      <c r="TN17" s="64">
        <f t="shared" si="9"/>
        <v>61.988810999999998</v>
      </c>
      <c r="TO17" s="64">
        <f t="shared" si="9"/>
        <v>61.988810999999998</v>
      </c>
      <c r="TP17" s="64">
        <f t="shared" si="9"/>
        <v>61.988810999999998</v>
      </c>
      <c r="TQ17" s="64">
        <f t="shared" si="9"/>
        <v>61.988810999999998</v>
      </c>
      <c r="TR17" s="64">
        <f t="shared" si="9"/>
        <v>61.988810999999998</v>
      </c>
      <c r="TS17" s="64">
        <f t="shared" si="9"/>
        <v>61.988810999999998</v>
      </c>
      <c r="TT17" s="64">
        <f t="shared" si="9"/>
        <v>61.988810999999998</v>
      </c>
      <c r="TU17" s="64">
        <f t="shared" si="9"/>
        <v>61.988810999999998</v>
      </c>
      <c r="TV17" s="64">
        <f t="shared" si="9"/>
        <v>61.988810999999998</v>
      </c>
      <c r="TW17" s="64">
        <f t="shared" si="9"/>
        <v>61.988810999999998</v>
      </c>
      <c r="TX17" s="64">
        <f t="shared" si="9"/>
        <v>61.988810999999998</v>
      </c>
      <c r="TY17" s="64">
        <f t="shared" si="9"/>
        <v>61.988810999999998</v>
      </c>
      <c r="TZ17" s="64">
        <f t="shared" si="9"/>
        <v>61.988810999999998</v>
      </c>
      <c r="UA17" s="64">
        <f t="shared" si="9"/>
        <v>61.988810999999998</v>
      </c>
      <c r="UB17" s="64">
        <f t="shared" si="9"/>
        <v>61.988810999999998</v>
      </c>
      <c r="UC17" s="64">
        <f t="shared" si="9"/>
        <v>61.988810999999998</v>
      </c>
      <c r="UD17" s="64">
        <f t="shared" si="9"/>
        <v>61.988810999999998</v>
      </c>
      <c r="UE17" s="64">
        <f t="shared" si="9"/>
        <v>61.988810999999998</v>
      </c>
      <c r="UF17" s="64">
        <f t="shared" si="9"/>
        <v>61.988810999999998</v>
      </c>
      <c r="UG17" s="64">
        <f t="shared" si="9"/>
        <v>61.988810999999998</v>
      </c>
      <c r="UH17" s="64">
        <f t="shared" si="9"/>
        <v>61.988810999999998</v>
      </c>
      <c r="UI17" s="64">
        <f t="shared" si="9"/>
        <v>61.988810999999998</v>
      </c>
      <c r="UJ17" s="64">
        <f t="shared" si="9"/>
        <v>61.988810999999998</v>
      </c>
      <c r="UK17" s="64">
        <f t="shared" si="9"/>
        <v>61.988810999999998</v>
      </c>
      <c r="UL17" s="64">
        <f t="shared" si="9"/>
        <v>61.988810999999998</v>
      </c>
      <c r="UM17" s="64">
        <f t="shared" si="9"/>
        <v>61.988810999999998</v>
      </c>
      <c r="UN17" s="64">
        <f t="shared" si="9"/>
        <v>61.988810999999998</v>
      </c>
      <c r="UO17" s="64">
        <f t="shared" si="9"/>
        <v>61.988810999999998</v>
      </c>
      <c r="UP17" s="64">
        <f t="shared" si="9"/>
        <v>61.988810999999998</v>
      </c>
      <c r="UQ17" s="64">
        <f t="shared" si="9"/>
        <v>61.988810999999998</v>
      </c>
      <c r="UR17" s="64">
        <f t="shared" si="9"/>
        <v>61.988810999999998</v>
      </c>
      <c r="US17" s="64">
        <f t="shared" si="9"/>
        <v>61.988810999999998</v>
      </c>
      <c r="UT17" s="64">
        <f t="shared" si="9"/>
        <v>61.988810999999998</v>
      </c>
      <c r="UU17" s="64">
        <f t="shared" si="9"/>
        <v>61.988810999999998</v>
      </c>
      <c r="UV17" s="64">
        <f t="shared" si="9"/>
        <v>61.988810999999998</v>
      </c>
      <c r="UW17" s="64">
        <f t="shared" si="9"/>
        <v>61.988810999999998</v>
      </c>
      <c r="UX17" s="64">
        <f t="shared" si="9"/>
        <v>61.988810999999998</v>
      </c>
      <c r="UY17" s="64">
        <f t="shared" si="9"/>
        <v>61.988810999999998</v>
      </c>
      <c r="UZ17" s="64">
        <f t="shared" si="9"/>
        <v>61.988810999999998</v>
      </c>
      <c r="VA17" s="64">
        <f t="shared" si="9"/>
        <v>61.988810999999998</v>
      </c>
      <c r="VB17" s="64">
        <f t="shared" si="9"/>
        <v>61.988810999999998</v>
      </c>
      <c r="VC17" s="64">
        <f t="shared" si="9"/>
        <v>61.988810999999998</v>
      </c>
      <c r="VD17" s="64">
        <f t="shared" si="9"/>
        <v>61.988810999999998</v>
      </c>
      <c r="VE17" s="64">
        <f t="shared" si="9"/>
        <v>61.988810999999998</v>
      </c>
      <c r="VF17" s="64">
        <f t="shared" si="9"/>
        <v>61.988810999999998</v>
      </c>
      <c r="VG17" s="64">
        <f t="shared" si="9"/>
        <v>61.988810999999998</v>
      </c>
      <c r="VH17" s="64">
        <f t="shared" si="9"/>
        <v>61.988810999999998</v>
      </c>
      <c r="VI17" s="64">
        <f t="shared" si="9"/>
        <v>61.988810999999998</v>
      </c>
      <c r="VJ17" s="64">
        <f t="shared" si="9"/>
        <v>61.988810999999998</v>
      </c>
      <c r="VK17" s="64">
        <f t="shared" ref="VK17:XV17" si="10">$D$3</f>
        <v>61.988810999999998</v>
      </c>
      <c r="VL17" s="64">
        <f t="shared" si="10"/>
        <v>61.988810999999998</v>
      </c>
      <c r="VM17" s="64">
        <f t="shared" si="10"/>
        <v>61.988810999999998</v>
      </c>
      <c r="VN17" s="64">
        <f t="shared" si="10"/>
        <v>61.988810999999998</v>
      </c>
      <c r="VO17" s="64">
        <f t="shared" si="10"/>
        <v>61.988810999999998</v>
      </c>
      <c r="VP17" s="64">
        <f t="shared" si="10"/>
        <v>61.988810999999998</v>
      </c>
      <c r="VQ17" s="64">
        <f t="shared" si="10"/>
        <v>61.988810999999998</v>
      </c>
      <c r="VR17" s="64">
        <f t="shared" si="10"/>
        <v>61.988810999999998</v>
      </c>
      <c r="VS17" s="64">
        <f t="shared" si="10"/>
        <v>61.988810999999998</v>
      </c>
      <c r="VT17" s="64">
        <f t="shared" si="10"/>
        <v>61.988810999999998</v>
      </c>
      <c r="VU17" s="64">
        <f t="shared" si="10"/>
        <v>61.988810999999998</v>
      </c>
      <c r="VV17" s="64">
        <f t="shared" si="10"/>
        <v>61.988810999999998</v>
      </c>
      <c r="VW17" s="64">
        <f t="shared" si="10"/>
        <v>61.988810999999998</v>
      </c>
      <c r="VX17" s="64">
        <f t="shared" si="10"/>
        <v>61.988810999999998</v>
      </c>
      <c r="VY17" s="64">
        <f t="shared" si="10"/>
        <v>61.988810999999998</v>
      </c>
      <c r="VZ17" s="64">
        <f t="shared" si="10"/>
        <v>61.988810999999998</v>
      </c>
      <c r="WA17" s="64">
        <f t="shared" si="10"/>
        <v>61.988810999999998</v>
      </c>
      <c r="WB17" s="64">
        <f t="shared" si="10"/>
        <v>61.988810999999998</v>
      </c>
      <c r="WC17" s="64">
        <f t="shared" si="10"/>
        <v>61.988810999999998</v>
      </c>
      <c r="WD17" s="64">
        <f t="shared" si="10"/>
        <v>61.988810999999998</v>
      </c>
      <c r="WE17" s="64">
        <f t="shared" si="10"/>
        <v>61.988810999999998</v>
      </c>
      <c r="WF17" s="64">
        <f t="shared" si="10"/>
        <v>61.988810999999998</v>
      </c>
      <c r="WG17" s="64">
        <f t="shared" si="10"/>
        <v>61.988810999999998</v>
      </c>
      <c r="WH17" s="64">
        <f t="shared" si="10"/>
        <v>61.988810999999998</v>
      </c>
      <c r="WI17" s="64">
        <f t="shared" si="10"/>
        <v>61.988810999999998</v>
      </c>
      <c r="WJ17" s="64">
        <f t="shared" si="10"/>
        <v>61.988810999999998</v>
      </c>
      <c r="WK17" s="64">
        <f t="shared" si="10"/>
        <v>61.988810999999998</v>
      </c>
      <c r="WL17" s="64">
        <f t="shared" si="10"/>
        <v>61.988810999999998</v>
      </c>
      <c r="WM17" s="64">
        <f t="shared" si="10"/>
        <v>61.988810999999998</v>
      </c>
      <c r="WN17" s="64">
        <f t="shared" si="10"/>
        <v>61.988810999999998</v>
      </c>
      <c r="WO17" s="64">
        <f t="shared" si="10"/>
        <v>61.988810999999998</v>
      </c>
      <c r="WP17" s="64">
        <f t="shared" si="10"/>
        <v>61.988810999999998</v>
      </c>
      <c r="WQ17" s="64">
        <f t="shared" si="10"/>
        <v>61.988810999999998</v>
      </c>
      <c r="WR17" s="64">
        <f t="shared" si="10"/>
        <v>61.988810999999998</v>
      </c>
      <c r="WS17" s="64">
        <f t="shared" si="10"/>
        <v>61.988810999999998</v>
      </c>
      <c r="WT17" s="64">
        <f t="shared" si="10"/>
        <v>61.988810999999998</v>
      </c>
      <c r="WU17" s="64">
        <f t="shared" si="10"/>
        <v>61.988810999999998</v>
      </c>
      <c r="WV17" s="64">
        <f t="shared" si="10"/>
        <v>61.988810999999998</v>
      </c>
      <c r="WW17" s="64">
        <f t="shared" si="10"/>
        <v>61.988810999999998</v>
      </c>
      <c r="WX17" s="64">
        <f t="shared" si="10"/>
        <v>61.988810999999998</v>
      </c>
      <c r="WY17" s="64">
        <f t="shared" si="10"/>
        <v>61.988810999999998</v>
      </c>
      <c r="WZ17" s="64">
        <f t="shared" si="10"/>
        <v>61.988810999999998</v>
      </c>
      <c r="XA17" s="64">
        <f t="shared" si="10"/>
        <v>61.988810999999998</v>
      </c>
      <c r="XB17" s="64">
        <f t="shared" si="10"/>
        <v>61.988810999999998</v>
      </c>
      <c r="XC17" s="64">
        <f t="shared" si="10"/>
        <v>61.988810999999998</v>
      </c>
      <c r="XD17" s="64">
        <f t="shared" si="10"/>
        <v>61.988810999999998</v>
      </c>
      <c r="XE17" s="64">
        <f t="shared" si="10"/>
        <v>61.988810999999998</v>
      </c>
      <c r="XF17" s="64">
        <f t="shared" si="10"/>
        <v>61.988810999999998</v>
      </c>
      <c r="XG17" s="64">
        <f t="shared" si="10"/>
        <v>61.988810999999998</v>
      </c>
      <c r="XH17" s="64">
        <f t="shared" si="10"/>
        <v>61.988810999999998</v>
      </c>
      <c r="XI17" s="64">
        <f t="shared" si="10"/>
        <v>61.988810999999998</v>
      </c>
      <c r="XJ17" s="64">
        <f t="shared" si="10"/>
        <v>61.988810999999998</v>
      </c>
      <c r="XK17" s="64">
        <f t="shared" si="10"/>
        <v>61.988810999999998</v>
      </c>
      <c r="XL17" s="64">
        <f t="shared" si="10"/>
        <v>61.988810999999998</v>
      </c>
      <c r="XM17" s="64">
        <f t="shared" si="10"/>
        <v>61.988810999999998</v>
      </c>
      <c r="XN17" s="64">
        <f t="shared" si="10"/>
        <v>61.988810999999998</v>
      </c>
      <c r="XO17" s="64">
        <f t="shared" si="10"/>
        <v>61.988810999999998</v>
      </c>
      <c r="XP17" s="64">
        <f t="shared" si="10"/>
        <v>61.988810999999998</v>
      </c>
      <c r="XQ17" s="64">
        <f t="shared" si="10"/>
        <v>61.988810999999998</v>
      </c>
      <c r="XR17" s="64">
        <f t="shared" si="10"/>
        <v>61.988810999999998</v>
      </c>
      <c r="XS17" s="64">
        <f t="shared" si="10"/>
        <v>61.988810999999998</v>
      </c>
      <c r="XT17" s="64">
        <f t="shared" si="10"/>
        <v>61.988810999999998</v>
      </c>
      <c r="XU17" s="64">
        <f t="shared" si="10"/>
        <v>61.988810999999998</v>
      </c>
      <c r="XV17" s="64">
        <f t="shared" si="10"/>
        <v>61.988810999999998</v>
      </c>
      <c r="XW17" s="64">
        <f t="shared" ref="XW17:AAH17" si="11">$D$3</f>
        <v>61.988810999999998</v>
      </c>
      <c r="XX17" s="64">
        <f t="shared" si="11"/>
        <v>61.988810999999998</v>
      </c>
      <c r="XY17" s="64">
        <f t="shared" si="11"/>
        <v>61.988810999999998</v>
      </c>
      <c r="XZ17" s="64">
        <f t="shared" si="11"/>
        <v>61.988810999999998</v>
      </c>
      <c r="YA17" s="64">
        <f t="shared" si="11"/>
        <v>61.988810999999998</v>
      </c>
      <c r="YB17" s="64">
        <f t="shared" si="11"/>
        <v>61.988810999999998</v>
      </c>
      <c r="YC17" s="64">
        <f t="shared" si="11"/>
        <v>61.988810999999998</v>
      </c>
      <c r="YD17" s="64">
        <f t="shared" si="11"/>
        <v>61.988810999999998</v>
      </c>
      <c r="YE17" s="64">
        <f t="shared" si="11"/>
        <v>61.988810999999998</v>
      </c>
      <c r="YF17" s="64">
        <f t="shared" si="11"/>
        <v>61.988810999999998</v>
      </c>
      <c r="YG17" s="64">
        <f t="shared" si="11"/>
        <v>61.988810999999998</v>
      </c>
      <c r="YH17" s="64">
        <f t="shared" si="11"/>
        <v>61.988810999999998</v>
      </c>
      <c r="YI17" s="64">
        <f t="shared" si="11"/>
        <v>61.988810999999998</v>
      </c>
      <c r="YJ17" s="64">
        <f t="shared" si="11"/>
        <v>61.988810999999998</v>
      </c>
      <c r="YK17" s="64">
        <f t="shared" si="11"/>
        <v>61.988810999999998</v>
      </c>
      <c r="YL17" s="64">
        <f t="shared" si="11"/>
        <v>61.988810999999998</v>
      </c>
      <c r="YM17" s="64">
        <f t="shared" si="11"/>
        <v>61.988810999999998</v>
      </c>
      <c r="YN17" s="64">
        <f t="shared" si="11"/>
        <v>61.988810999999998</v>
      </c>
      <c r="YO17" s="64">
        <f t="shared" si="11"/>
        <v>61.988810999999998</v>
      </c>
      <c r="YP17" s="64">
        <f t="shared" si="11"/>
        <v>61.988810999999998</v>
      </c>
      <c r="YQ17" s="64">
        <f t="shared" si="11"/>
        <v>61.988810999999998</v>
      </c>
      <c r="YR17" s="64">
        <f t="shared" si="11"/>
        <v>61.988810999999998</v>
      </c>
      <c r="YS17" s="64">
        <f t="shared" si="11"/>
        <v>61.988810999999998</v>
      </c>
      <c r="YT17" s="64">
        <f t="shared" si="11"/>
        <v>61.988810999999998</v>
      </c>
      <c r="YU17" s="64">
        <f t="shared" si="11"/>
        <v>61.988810999999998</v>
      </c>
      <c r="YV17" s="64">
        <f t="shared" si="11"/>
        <v>61.988810999999998</v>
      </c>
      <c r="YW17" s="64">
        <f t="shared" si="11"/>
        <v>61.988810999999998</v>
      </c>
      <c r="YX17" s="64">
        <f t="shared" si="11"/>
        <v>61.988810999999998</v>
      </c>
      <c r="YY17" s="64">
        <f t="shared" si="11"/>
        <v>61.988810999999998</v>
      </c>
      <c r="YZ17" s="64">
        <f t="shared" si="11"/>
        <v>61.988810999999998</v>
      </c>
      <c r="ZA17" s="64">
        <f t="shared" si="11"/>
        <v>61.988810999999998</v>
      </c>
      <c r="ZB17" s="64">
        <f t="shared" si="11"/>
        <v>61.988810999999998</v>
      </c>
      <c r="ZC17" s="64">
        <f t="shared" si="11"/>
        <v>61.988810999999998</v>
      </c>
      <c r="ZD17" s="64">
        <f t="shared" si="11"/>
        <v>61.988810999999998</v>
      </c>
      <c r="ZE17" s="64">
        <f t="shared" si="11"/>
        <v>61.988810999999998</v>
      </c>
      <c r="ZF17" s="64">
        <f t="shared" si="11"/>
        <v>61.988810999999998</v>
      </c>
      <c r="ZG17" s="64">
        <f t="shared" si="11"/>
        <v>61.988810999999998</v>
      </c>
      <c r="ZH17" s="64">
        <f t="shared" si="11"/>
        <v>61.988810999999998</v>
      </c>
      <c r="ZI17" s="64">
        <f t="shared" si="11"/>
        <v>61.988810999999998</v>
      </c>
      <c r="ZJ17" s="64">
        <f t="shared" si="11"/>
        <v>61.988810999999998</v>
      </c>
      <c r="ZK17" s="64">
        <f t="shared" si="11"/>
        <v>61.988810999999998</v>
      </c>
      <c r="ZL17" s="64">
        <f t="shared" si="11"/>
        <v>61.988810999999998</v>
      </c>
      <c r="ZM17" s="64">
        <f t="shared" si="11"/>
        <v>61.988810999999998</v>
      </c>
      <c r="ZN17" s="64">
        <f t="shared" si="11"/>
        <v>61.988810999999998</v>
      </c>
      <c r="ZO17" s="64">
        <f t="shared" si="11"/>
        <v>61.988810999999998</v>
      </c>
      <c r="ZP17" s="64">
        <f t="shared" si="11"/>
        <v>61.988810999999998</v>
      </c>
      <c r="ZQ17" s="64">
        <f t="shared" si="11"/>
        <v>61.988810999999998</v>
      </c>
      <c r="ZR17" s="64">
        <f t="shared" si="11"/>
        <v>61.988810999999998</v>
      </c>
      <c r="ZS17" s="64">
        <f t="shared" si="11"/>
        <v>61.988810999999998</v>
      </c>
      <c r="ZT17" s="64">
        <f t="shared" si="11"/>
        <v>61.988810999999998</v>
      </c>
      <c r="ZU17" s="64">
        <f t="shared" si="11"/>
        <v>61.988810999999998</v>
      </c>
      <c r="ZV17" s="64">
        <f t="shared" si="11"/>
        <v>61.988810999999998</v>
      </c>
      <c r="ZW17" s="64">
        <f t="shared" si="11"/>
        <v>61.988810999999998</v>
      </c>
      <c r="ZX17" s="64">
        <f t="shared" si="11"/>
        <v>61.988810999999998</v>
      </c>
      <c r="ZY17" s="64">
        <f t="shared" si="11"/>
        <v>61.988810999999998</v>
      </c>
      <c r="ZZ17" s="64">
        <f t="shared" si="11"/>
        <v>61.988810999999998</v>
      </c>
      <c r="AAA17" s="64">
        <f t="shared" si="11"/>
        <v>61.988810999999998</v>
      </c>
      <c r="AAB17" s="64">
        <f t="shared" si="11"/>
        <v>61.988810999999998</v>
      </c>
      <c r="AAC17" s="64">
        <f t="shared" si="11"/>
        <v>61.988810999999998</v>
      </c>
      <c r="AAD17" s="64">
        <f t="shared" si="11"/>
        <v>61.988810999999998</v>
      </c>
      <c r="AAE17" s="64">
        <f t="shared" si="11"/>
        <v>61.988810999999998</v>
      </c>
      <c r="AAF17" s="64">
        <f t="shared" si="11"/>
        <v>61.988810999999998</v>
      </c>
      <c r="AAG17" s="64">
        <f t="shared" si="11"/>
        <v>61.988810999999998</v>
      </c>
      <c r="AAH17" s="64">
        <f t="shared" si="11"/>
        <v>61.988810999999998</v>
      </c>
      <c r="AAI17" s="64">
        <f t="shared" ref="AAI17:ACT17" si="12">$D$3</f>
        <v>61.988810999999998</v>
      </c>
      <c r="AAJ17" s="64">
        <f t="shared" si="12"/>
        <v>61.988810999999998</v>
      </c>
      <c r="AAK17" s="64">
        <f t="shared" si="12"/>
        <v>61.988810999999998</v>
      </c>
      <c r="AAL17" s="64">
        <f t="shared" si="12"/>
        <v>61.988810999999998</v>
      </c>
      <c r="AAM17" s="64">
        <f t="shared" si="12"/>
        <v>61.988810999999998</v>
      </c>
      <c r="AAN17" s="64">
        <f t="shared" si="12"/>
        <v>61.988810999999998</v>
      </c>
      <c r="AAO17" s="64">
        <f t="shared" si="12"/>
        <v>61.988810999999998</v>
      </c>
      <c r="AAP17" s="64">
        <f t="shared" si="12"/>
        <v>61.988810999999998</v>
      </c>
      <c r="AAQ17" s="64">
        <f t="shared" si="12"/>
        <v>61.988810999999998</v>
      </c>
      <c r="AAR17" s="64">
        <f t="shared" si="12"/>
        <v>61.988810999999998</v>
      </c>
      <c r="AAS17" s="64">
        <f t="shared" si="12"/>
        <v>61.988810999999998</v>
      </c>
      <c r="AAT17" s="64">
        <f t="shared" si="12"/>
        <v>61.988810999999998</v>
      </c>
      <c r="AAU17" s="64">
        <f t="shared" si="12"/>
        <v>61.988810999999998</v>
      </c>
      <c r="AAV17" s="64">
        <f t="shared" si="12"/>
        <v>61.988810999999998</v>
      </c>
      <c r="AAW17" s="64">
        <f t="shared" si="12"/>
        <v>61.988810999999998</v>
      </c>
      <c r="AAX17" s="64">
        <f t="shared" si="12"/>
        <v>61.988810999999998</v>
      </c>
      <c r="AAY17" s="64">
        <f t="shared" si="12"/>
        <v>61.988810999999998</v>
      </c>
      <c r="AAZ17" s="64">
        <f t="shared" si="12"/>
        <v>61.988810999999998</v>
      </c>
      <c r="ABA17" s="64">
        <f t="shared" si="12"/>
        <v>61.988810999999998</v>
      </c>
      <c r="ABB17" s="64">
        <f t="shared" si="12"/>
        <v>61.988810999999998</v>
      </c>
      <c r="ABC17" s="64">
        <f t="shared" si="12"/>
        <v>61.988810999999998</v>
      </c>
      <c r="ABD17" s="64">
        <f t="shared" si="12"/>
        <v>61.988810999999998</v>
      </c>
      <c r="ABE17" s="64">
        <f t="shared" si="12"/>
        <v>61.988810999999998</v>
      </c>
      <c r="ABF17" s="64">
        <f t="shared" si="12"/>
        <v>61.988810999999998</v>
      </c>
      <c r="ABG17" s="64">
        <f t="shared" si="12"/>
        <v>61.988810999999998</v>
      </c>
      <c r="ABH17" s="64">
        <f t="shared" si="12"/>
        <v>61.988810999999998</v>
      </c>
      <c r="ABI17" s="64">
        <f t="shared" si="12"/>
        <v>61.988810999999998</v>
      </c>
      <c r="ABJ17" s="64">
        <f t="shared" si="12"/>
        <v>61.988810999999998</v>
      </c>
      <c r="ABK17" s="64">
        <f t="shared" si="12"/>
        <v>61.988810999999998</v>
      </c>
      <c r="ABL17" s="64">
        <f t="shared" si="12"/>
        <v>61.988810999999998</v>
      </c>
      <c r="ABM17" s="64">
        <f t="shared" si="12"/>
        <v>61.988810999999998</v>
      </c>
      <c r="ABN17" s="64">
        <f t="shared" si="12"/>
        <v>61.988810999999998</v>
      </c>
      <c r="ABO17" s="64">
        <f t="shared" si="12"/>
        <v>61.988810999999998</v>
      </c>
      <c r="ABP17" s="64">
        <f t="shared" si="12"/>
        <v>61.988810999999998</v>
      </c>
      <c r="ABQ17" s="64">
        <f t="shared" si="12"/>
        <v>61.988810999999998</v>
      </c>
      <c r="ABR17" s="64">
        <f t="shared" si="12"/>
        <v>61.988810999999998</v>
      </c>
      <c r="ABS17" s="64">
        <f t="shared" si="12"/>
        <v>61.988810999999998</v>
      </c>
      <c r="ABT17" s="64">
        <f t="shared" si="12"/>
        <v>61.988810999999998</v>
      </c>
      <c r="ABU17" s="64">
        <f t="shared" si="12"/>
        <v>61.988810999999998</v>
      </c>
      <c r="ABV17" s="64">
        <f t="shared" si="12"/>
        <v>61.988810999999998</v>
      </c>
      <c r="ABW17" s="64">
        <f t="shared" si="12"/>
        <v>61.988810999999998</v>
      </c>
      <c r="ABX17" s="64">
        <f t="shared" si="12"/>
        <v>61.988810999999998</v>
      </c>
      <c r="ABY17" s="64">
        <f t="shared" si="12"/>
        <v>61.988810999999998</v>
      </c>
      <c r="ABZ17" s="64">
        <f t="shared" si="12"/>
        <v>61.988810999999998</v>
      </c>
      <c r="ACA17" s="64">
        <f t="shared" si="12"/>
        <v>61.988810999999998</v>
      </c>
      <c r="ACB17" s="64">
        <f t="shared" si="12"/>
        <v>61.988810999999998</v>
      </c>
      <c r="ACC17" s="64">
        <f t="shared" si="12"/>
        <v>61.988810999999998</v>
      </c>
      <c r="ACD17" s="64">
        <f t="shared" si="12"/>
        <v>61.988810999999998</v>
      </c>
      <c r="ACE17" s="64">
        <f t="shared" si="12"/>
        <v>61.988810999999998</v>
      </c>
      <c r="ACF17" s="64">
        <f t="shared" si="12"/>
        <v>61.988810999999998</v>
      </c>
      <c r="ACG17" s="64">
        <f t="shared" si="12"/>
        <v>61.988810999999998</v>
      </c>
      <c r="ACH17" s="64">
        <f t="shared" si="12"/>
        <v>61.988810999999998</v>
      </c>
      <c r="ACI17" s="64">
        <f t="shared" si="12"/>
        <v>61.988810999999998</v>
      </c>
      <c r="ACJ17" s="64">
        <f t="shared" si="12"/>
        <v>61.988810999999998</v>
      </c>
      <c r="ACK17" s="64">
        <f t="shared" si="12"/>
        <v>61.988810999999998</v>
      </c>
      <c r="ACL17" s="64">
        <f t="shared" si="12"/>
        <v>61.988810999999998</v>
      </c>
      <c r="ACM17" s="64">
        <f t="shared" si="12"/>
        <v>61.988810999999998</v>
      </c>
      <c r="ACN17" s="64">
        <f t="shared" si="12"/>
        <v>61.988810999999998</v>
      </c>
      <c r="ACO17" s="64">
        <f t="shared" si="12"/>
        <v>61.988810999999998</v>
      </c>
      <c r="ACP17" s="64">
        <f t="shared" si="12"/>
        <v>61.988810999999998</v>
      </c>
      <c r="ACQ17" s="64">
        <f t="shared" si="12"/>
        <v>61.988810999999998</v>
      </c>
      <c r="ACR17" s="64">
        <f t="shared" si="12"/>
        <v>61.988810999999998</v>
      </c>
      <c r="ACS17" s="64">
        <f t="shared" si="12"/>
        <v>61.988810999999998</v>
      </c>
      <c r="ACT17" s="64">
        <f t="shared" si="12"/>
        <v>61.988810999999998</v>
      </c>
      <c r="ACU17" s="64">
        <f t="shared" ref="ACU17:AFF17" si="13">$D$3</f>
        <v>61.988810999999998</v>
      </c>
      <c r="ACV17" s="64">
        <f t="shared" si="13"/>
        <v>61.988810999999998</v>
      </c>
      <c r="ACW17" s="64">
        <f t="shared" si="13"/>
        <v>61.988810999999998</v>
      </c>
      <c r="ACX17" s="64">
        <f t="shared" si="13"/>
        <v>61.988810999999998</v>
      </c>
      <c r="ACY17" s="64">
        <f t="shared" si="13"/>
        <v>61.988810999999998</v>
      </c>
      <c r="ACZ17" s="64">
        <f t="shared" si="13"/>
        <v>61.988810999999998</v>
      </c>
      <c r="ADA17" s="64">
        <f t="shared" si="13"/>
        <v>61.988810999999998</v>
      </c>
      <c r="ADB17" s="64">
        <f t="shared" si="13"/>
        <v>61.988810999999998</v>
      </c>
      <c r="ADC17" s="64">
        <f t="shared" si="13"/>
        <v>61.988810999999998</v>
      </c>
      <c r="ADD17" s="64">
        <f t="shared" si="13"/>
        <v>61.988810999999998</v>
      </c>
      <c r="ADE17" s="64">
        <f t="shared" si="13"/>
        <v>61.988810999999998</v>
      </c>
      <c r="ADF17" s="64">
        <f t="shared" si="13"/>
        <v>61.988810999999998</v>
      </c>
      <c r="ADG17" s="64">
        <f t="shared" si="13"/>
        <v>61.988810999999998</v>
      </c>
      <c r="ADH17" s="64">
        <f t="shared" si="13"/>
        <v>61.988810999999998</v>
      </c>
      <c r="ADI17" s="64">
        <f t="shared" si="13"/>
        <v>61.988810999999998</v>
      </c>
      <c r="ADJ17" s="64">
        <f t="shared" si="13"/>
        <v>61.988810999999998</v>
      </c>
      <c r="ADK17" s="64">
        <f t="shared" si="13"/>
        <v>61.988810999999998</v>
      </c>
      <c r="ADL17" s="64">
        <f t="shared" si="13"/>
        <v>61.988810999999998</v>
      </c>
      <c r="ADM17" s="64">
        <f t="shared" si="13"/>
        <v>61.988810999999998</v>
      </c>
      <c r="ADN17" s="64">
        <f t="shared" si="13"/>
        <v>61.988810999999998</v>
      </c>
      <c r="ADO17" s="64">
        <f t="shared" si="13"/>
        <v>61.988810999999998</v>
      </c>
      <c r="ADP17" s="64">
        <f t="shared" si="13"/>
        <v>61.988810999999998</v>
      </c>
      <c r="ADQ17" s="64">
        <f t="shared" si="13"/>
        <v>61.988810999999998</v>
      </c>
      <c r="ADR17" s="64">
        <f t="shared" si="13"/>
        <v>61.988810999999998</v>
      </c>
      <c r="ADS17" s="64">
        <f t="shared" si="13"/>
        <v>61.988810999999998</v>
      </c>
      <c r="ADT17" s="64">
        <f t="shared" si="13"/>
        <v>61.988810999999998</v>
      </c>
      <c r="ADU17" s="64">
        <f t="shared" si="13"/>
        <v>61.988810999999998</v>
      </c>
      <c r="ADV17" s="64">
        <f t="shared" si="13"/>
        <v>61.988810999999998</v>
      </c>
      <c r="ADW17" s="64">
        <f t="shared" si="13"/>
        <v>61.988810999999998</v>
      </c>
      <c r="ADX17" s="64">
        <f t="shared" si="13"/>
        <v>61.988810999999998</v>
      </c>
      <c r="ADY17" s="64">
        <f t="shared" si="13"/>
        <v>61.988810999999998</v>
      </c>
      <c r="ADZ17" s="64">
        <f t="shared" si="13"/>
        <v>61.988810999999998</v>
      </c>
      <c r="AEA17" s="64">
        <f t="shared" si="13"/>
        <v>61.988810999999998</v>
      </c>
      <c r="AEB17" s="64">
        <f t="shared" si="13"/>
        <v>61.988810999999998</v>
      </c>
      <c r="AEC17" s="64">
        <f t="shared" si="13"/>
        <v>61.988810999999998</v>
      </c>
      <c r="AED17" s="64">
        <f t="shared" si="13"/>
        <v>61.988810999999998</v>
      </c>
      <c r="AEE17" s="64">
        <f t="shared" si="13"/>
        <v>61.988810999999998</v>
      </c>
      <c r="AEF17" s="64">
        <f t="shared" si="13"/>
        <v>61.988810999999998</v>
      </c>
      <c r="AEG17" s="64">
        <f t="shared" si="13"/>
        <v>61.988810999999998</v>
      </c>
      <c r="AEH17" s="64">
        <f t="shared" si="13"/>
        <v>61.988810999999998</v>
      </c>
      <c r="AEI17" s="64">
        <f t="shared" si="13"/>
        <v>61.988810999999998</v>
      </c>
      <c r="AEJ17" s="64">
        <f t="shared" si="13"/>
        <v>61.988810999999998</v>
      </c>
      <c r="AEK17" s="64">
        <f t="shared" si="13"/>
        <v>61.988810999999998</v>
      </c>
      <c r="AEL17" s="64">
        <f t="shared" si="13"/>
        <v>61.988810999999998</v>
      </c>
      <c r="AEM17" s="64">
        <f t="shared" si="13"/>
        <v>61.988810999999998</v>
      </c>
      <c r="AEN17" s="64">
        <f t="shared" si="13"/>
        <v>61.988810999999998</v>
      </c>
      <c r="AEO17" s="64">
        <f t="shared" si="13"/>
        <v>61.988810999999998</v>
      </c>
      <c r="AEP17" s="64">
        <f t="shared" si="13"/>
        <v>61.988810999999998</v>
      </c>
      <c r="AEQ17" s="64">
        <f t="shared" si="13"/>
        <v>61.988810999999998</v>
      </c>
      <c r="AER17" s="64">
        <f t="shared" si="13"/>
        <v>61.988810999999998</v>
      </c>
      <c r="AES17" s="64">
        <f t="shared" si="13"/>
        <v>61.988810999999998</v>
      </c>
      <c r="AET17" s="64">
        <f t="shared" si="13"/>
        <v>61.988810999999998</v>
      </c>
      <c r="AEU17" s="64">
        <f t="shared" si="13"/>
        <v>61.988810999999998</v>
      </c>
      <c r="AEV17" s="64">
        <f t="shared" si="13"/>
        <v>61.988810999999998</v>
      </c>
      <c r="AEW17" s="64">
        <f t="shared" si="13"/>
        <v>61.988810999999998</v>
      </c>
      <c r="AEX17" s="64">
        <f t="shared" si="13"/>
        <v>61.988810999999998</v>
      </c>
      <c r="AEY17" s="64">
        <f t="shared" si="13"/>
        <v>61.988810999999998</v>
      </c>
      <c r="AEZ17" s="64">
        <f t="shared" si="13"/>
        <v>61.988810999999998</v>
      </c>
      <c r="AFA17" s="64">
        <f t="shared" si="13"/>
        <v>61.988810999999998</v>
      </c>
      <c r="AFB17" s="64">
        <f t="shared" si="13"/>
        <v>61.988810999999998</v>
      </c>
      <c r="AFC17" s="64">
        <f t="shared" si="13"/>
        <v>61.988810999999998</v>
      </c>
      <c r="AFD17" s="64">
        <f t="shared" si="13"/>
        <v>61.988810999999998</v>
      </c>
      <c r="AFE17" s="64">
        <f t="shared" si="13"/>
        <v>61.988810999999998</v>
      </c>
      <c r="AFF17" s="64">
        <f t="shared" si="13"/>
        <v>61.988810999999998</v>
      </c>
      <c r="AFG17" s="64">
        <f t="shared" ref="AFG17:AHR17" si="14">$D$3</f>
        <v>61.988810999999998</v>
      </c>
      <c r="AFH17" s="64">
        <f t="shared" si="14"/>
        <v>61.988810999999998</v>
      </c>
      <c r="AFI17" s="64">
        <f t="shared" si="14"/>
        <v>61.988810999999998</v>
      </c>
      <c r="AFJ17" s="64">
        <f t="shared" si="14"/>
        <v>61.988810999999998</v>
      </c>
      <c r="AFK17" s="64">
        <f t="shared" si="14"/>
        <v>61.988810999999998</v>
      </c>
      <c r="AFL17" s="64">
        <f t="shared" si="14"/>
        <v>61.988810999999998</v>
      </c>
      <c r="AFM17" s="64">
        <f t="shared" si="14"/>
        <v>61.988810999999998</v>
      </c>
      <c r="AFN17" s="64">
        <f t="shared" si="14"/>
        <v>61.988810999999998</v>
      </c>
      <c r="AFO17" s="64">
        <f t="shared" si="14"/>
        <v>61.988810999999998</v>
      </c>
      <c r="AFP17" s="64">
        <f t="shared" si="14"/>
        <v>61.988810999999998</v>
      </c>
      <c r="AFQ17" s="64">
        <f t="shared" si="14"/>
        <v>61.988810999999998</v>
      </c>
      <c r="AFR17" s="64">
        <f t="shared" si="14"/>
        <v>61.988810999999998</v>
      </c>
      <c r="AFS17" s="64">
        <f t="shared" si="14"/>
        <v>61.988810999999998</v>
      </c>
      <c r="AFT17" s="64">
        <f t="shared" si="14"/>
        <v>61.988810999999998</v>
      </c>
      <c r="AFU17" s="64">
        <f t="shared" si="14"/>
        <v>61.988810999999998</v>
      </c>
      <c r="AFV17" s="64">
        <f t="shared" si="14"/>
        <v>61.988810999999998</v>
      </c>
      <c r="AFW17" s="64">
        <f t="shared" si="14"/>
        <v>61.988810999999998</v>
      </c>
      <c r="AFX17" s="64">
        <f t="shared" si="14"/>
        <v>61.988810999999998</v>
      </c>
      <c r="AFY17" s="64">
        <f t="shared" si="14"/>
        <v>61.988810999999998</v>
      </c>
      <c r="AFZ17" s="64">
        <f t="shared" si="14"/>
        <v>61.988810999999998</v>
      </c>
      <c r="AGA17" s="64">
        <f t="shared" si="14"/>
        <v>61.988810999999998</v>
      </c>
      <c r="AGB17" s="64">
        <f t="shared" si="14"/>
        <v>61.988810999999998</v>
      </c>
      <c r="AGC17" s="64">
        <f t="shared" si="14"/>
        <v>61.988810999999998</v>
      </c>
      <c r="AGD17" s="64">
        <f t="shared" si="14"/>
        <v>61.988810999999998</v>
      </c>
      <c r="AGE17" s="64">
        <f t="shared" si="14"/>
        <v>61.988810999999998</v>
      </c>
      <c r="AGF17" s="64">
        <f t="shared" si="14"/>
        <v>61.988810999999998</v>
      </c>
      <c r="AGG17" s="64">
        <f t="shared" si="14"/>
        <v>61.988810999999998</v>
      </c>
      <c r="AGH17" s="64">
        <f t="shared" si="14"/>
        <v>61.988810999999998</v>
      </c>
      <c r="AGI17" s="64">
        <f t="shared" si="14"/>
        <v>61.988810999999998</v>
      </c>
      <c r="AGJ17" s="64">
        <f t="shared" si="14"/>
        <v>61.988810999999998</v>
      </c>
      <c r="AGK17" s="64">
        <f t="shared" si="14"/>
        <v>61.988810999999998</v>
      </c>
      <c r="AGL17" s="64">
        <f t="shared" si="14"/>
        <v>61.988810999999998</v>
      </c>
      <c r="AGM17" s="64">
        <f t="shared" si="14"/>
        <v>61.988810999999998</v>
      </c>
      <c r="AGN17" s="64">
        <f t="shared" si="14"/>
        <v>61.988810999999998</v>
      </c>
      <c r="AGO17" s="64">
        <f t="shared" si="14"/>
        <v>61.988810999999998</v>
      </c>
      <c r="AGP17" s="64">
        <f t="shared" si="14"/>
        <v>61.988810999999998</v>
      </c>
      <c r="AGQ17" s="64">
        <f t="shared" si="14"/>
        <v>61.988810999999998</v>
      </c>
      <c r="AGR17" s="64">
        <f t="shared" si="14"/>
        <v>61.988810999999998</v>
      </c>
      <c r="AGS17" s="64">
        <f t="shared" si="14"/>
        <v>61.988810999999998</v>
      </c>
      <c r="AGT17" s="64">
        <f t="shared" si="14"/>
        <v>61.988810999999998</v>
      </c>
      <c r="AGU17" s="64">
        <f t="shared" si="14"/>
        <v>61.988810999999998</v>
      </c>
      <c r="AGV17" s="64">
        <f t="shared" si="14"/>
        <v>61.988810999999998</v>
      </c>
      <c r="AGW17" s="64">
        <f t="shared" si="14"/>
        <v>61.988810999999998</v>
      </c>
      <c r="AGX17" s="64">
        <f t="shared" si="14"/>
        <v>61.988810999999998</v>
      </c>
      <c r="AGY17" s="64">
        <f t="shared" si="14"/>
        <v>61.988810999999998</v>
      </c>
      <c r="AGZ17" s="64">
        <f t="shared" si="14"/>
        <v>61.988810999999998</v>
      </c>
      <c r="AHA17" s="64">
        <f t="shared" si="14"/>
        <v>61.988810999999998</v>
      </c>
      <c r="AHB17" s="64">
        <f t="shared" si="14"/>
        <v>61.988810999999998</v>
      </c>
      <c r="AHC17" s="64">
        <f t="shared" si="14"/>
        <v>61.988810999999998</v>
      </c>
      <c r="AHD17" s="64">
        <f t="shared" si="14"/>
        <v>61.988810999999998</v>
      </c>
      <c r="AHE17" s="64">
        <f t="shared" si="14"/>
        <v>61.988810999999998</v>
      </c>
      <c r="AHF17" s="64">
        <f t="shared" si="14"/>
        <v>61.988810999999998</v>
      </c>
      <c r="AHG17" s="64">
        <f t="shared" si="14"/>
        <v>61.988810999999998</v>
      </c>
      <c r="AHH17" s="64">
        <f t="shared" si="14"/>
        <v>61.988810999999998</v>
      </c>
      <c r="AHI17" s="64">
        <f t="shared" si="14"/>
        <v>61.988810999999998</v>
      </c>
      <c r="AHJ17" s="64">
        <f t="shared" si="14"/>
        <v>61.988810999999998</v>
      </c>
      <c r="AHK17" s="64">
        <f t="shared" si="14"/>
        <v>61.988810999999998</v>
      </c>
      <c r="AHL17" s="64">
        <f t="shared" si="14"/>
        <v>61.988810999999998</v>
      </c>
      <c r="AHM17" s="64">
        <f t="shared" si="14"/>
        <v>61.988810999999998</v>
      </c>
      <c r="AHN17" s="64">
        <f t="shared" si="14"/>
        <v>61.988810999999998</v>
      </c>
      <c r="AHO17" s="64">
        <f t="shared" si="14"/>
        <v>61.988810999999998</v>
      </c>
      <c r="AHP17" s="64">
        <f t="shared" si="14"/>
        <v>61.988810999999998</v>
      </c>
      <c r="AHQ17" s="64">
        <f t="shared" si="14"/>
        <v>61.988810999999998</v>
      </c>
      <c r="AHR17" s="64">
        <f t="shared" si="14"/>
        <v>61.988810999999998</v>
      </c>
      <c r="AHS17" s="64">
        <f t="shared" ref="AHS17:AKD17" si="15">$D$3</f>
        <v>61.988810999999998</v>
      </c>
      <c r="AHT17" s="64">
        <f t="shared" si="15"/>
        <v>61.988810999999998</v>
      </c>
      <c r="AHU17" s="64">
        <f t="shared" si="15"/>
        <v>61.988810999999998</v>
      </c>
      <c r="AHV17" s="64">
        <f t="shared" si="15"/>
        <v>61.988810999999998</v>
      </c>
      <c r="AHW17" s="64">
        <f t="shared" si="15"/>
        <v>61.988810999999998</v>
      </c>
      <c r="AHX17" s="64">
        <f t="shared" si="15"/>
        <v>61.988810999999998</v>
      </c>
      <c r="AHY17" s="64">
        <f t="shared" si="15"/>
        <v>61.988810999999998</v>
      </c>
      <c r="AHZ17" s="64">
        <f t="shared" si="15"/>
        <v>61.988810999999998</v>
      </c>
      <c r="AIA17" s="64">
        <f t="shared" si="15"/>
        <v>61.988810999999998</v>
      </c>
      <c r="AIB17" s="64">
        <f t="shared" si="15"/>
        <v>61.988810999999998</v>
      </c>
      <c r="AIC17" s="64">
        <f t="shared" si="15"/>
        <v>61.988810999999998</v>
      </c>
      <c r="AID17" s="64">
        <f t="shared" si="15"/>
        <v>61.988810999999998</v>
      </c>
      <c r="AIE17" s="64">
        <f t="shared" si="15"/>
        <v>61.988810999999998</v>
      </c>
      <c r="AIF17" s="64">
        <f t="shared" si="15"/>
        <v>61.988810999999998</v>
      </c>
      <c r="AIG17" s="64">
        <f t="shared" si="15"/>
        <v>61.988810999999998</v>
      </c>
      <c r="AIH17" s="64">
        <f t="shared" si="15"/>
        <v>61.988810999999998</v>
      </c>
      <c r="AII17" s="64">
        <f t="shared" si="15"/>
        <v>61.988810999999998</v>
      </c>
      <c r="AIJ17" s="64">
        <f t="shared" si="15"/>
        <v>61.988810999999998</v>
      </c>
      <c r="AIK17" s="64">
        <f t="shared" si="15"/>
        <v>61.988810999999998</v>
      </c>
      <c r="AIL17" s="64">
        <f t="shared" si="15"/>
        <v>61.988810999999998</v>
      </c>
      <c r="AIM17" s="64">
        <f t="shared" si="15"/>
        <v>61.988810999999998</v>
      </c>
      <c r="AIN17" s="64">
        <f t="shared" si="15"/>
        <v>61.988810999999998</v>
      </c>
      <c r="AIO17" s="64">
        <f t="shared" si="15"/>
        <v>61.988810999999998</v>
      </c>
      <c r="AIP17" s="64">
        <f t="shared" si="15"/>
        <v>61.988810999999998</v>
      </c>
      <c r="AIQ17" s="64">
        <f t="shared" si="15"/>
        <v>61.988810999999998</v>
      </c>
      <c r="AIR17" s="64">
        <f t="shared" si="15"/>
        <v>61.988810999999998</v>
      </c>
      <c r="AIS17" s="64">
        <f t="shared" si="15"/>
        <v>61.988810999999998</v>
      </c>
      <c r="AIT17" s="64">
        <f t="shared" si="15"/>
        <v>61.988810999999998</v>
      </c>
      <c r="AIU17" s="64">
        <f t="shared" si="15"/>
        <v>61.988810999999998</v>
      </c>
      <c r="AIV17" s="64">
        <f t="shared" si="15"/>
        <v>61.988810999999998</v>
      </c>
      <c r="AIW17" s="64">
        <f t="shared" si="15"/>
        <v>61.988810999999998</v>
      </c>
      <c r="AIX17" s="64">
        <f t="shared" si="15"/>
        <v>61.988810999999998</v>
      </c>
      <c r="AIY17" s="64">
        <f t="shared" si="15"/>
        <v>61.988810999999998</v>
      </c>
      <c r="AIZ17" s="64">
        <f t="shared" si="15"/>
        <v>61.988810999999998</v>
      </c>
      <c r="AJA17" s="64">
        <f t="shared" si="15"/>
        <v>61.988810999999998</v>
      </c>
      <c r="AJB17" s="64">
        <f t="shared" si="15"/>
        <v>61.988810999999998</v>
      </c>
      <c r="AJC17" s="64">
        <f t="shared" si="15"/>
        <v>61.988810999999998</v>
      </c>
      <c r="AJD17" s="64">
        <f t="shared" si="15"/>
        <v>61.988810999999998</v>
      </c>
      <c r="AJE17" s="64">
        <f t="shared" si="15"/>
        <v>61.988810999999998</v>
      </c>
      <c r="AJF17" s="64">
        <f t="shared" si="15"/>
        <v>61.988810999999998</v>
      </c>
      <c r="AJG17" s="64">
        <f t="shared" si="15"/>
        <v>61.988810999999998</v>
      </c>
      <c r="AJH17" s="64">
        <f t="shared" si="15"/>
        <v>61.988810999999998</v>
      </c>
      <c r="AJI17" s="64">
        <f t="shared" si="15"/>
        <v>61.988810999999998</v>
      </c>
      <c r="AJJ17" s="64">
        <f t="shared" si="15"/>
        <v>61.988810999999998</v>
      </c>
      <c r="AJK17" s="64">
        <f t="shared" si="15"/>
        <v>61.988810999999998</v>
      </c>
      <c r="AJL17" s="64">
        <f t="shared" si="15"/>
        <v>61.988810999999998</v>
      </c>
      <c r="AJM17" s="64">
        <f t="shared" si="15"/>
        <v>61.988810999999998</v>
      </c>
      <c r="AJN17" s="64">
        <f t="shared" si="15"/>
        <v>61.988810999999998</v>
      </c>
      <c r="AJO17" s="64">
        <f t="shared" si="15"/>
        <v>61.988810999999998</v>
      </c>
      <c r="AJP17" s="64">
        <f t="shared" si="15"/>
        <v>61.988810999999998</v>
      </c>
      <c r="AJQ17" s="64">
        <f t="shared" si="15"/>
        <v>61.988810999999998</v>
      </c>
      <c r="AJR17" s="64">
        <f t="shared" si="15"/>
        <v>61.988810999999998</v>
      </c>
      <c r="AJS17" s="64">
        <f t="shared" si="15"/>
        <v>61.988810999999998</v>
      </c>
      <c r="AJT17" s="64">
        <f t="shared" si="15"/>
        <v>61.988810999999998</v>
      </c>
      <c r="AJU17" s="64">
        <f t="shared" si="15"/>
        <v>61.988810999999998</v>
      </c>
      <c r="AJV17" s="64">
        <f t="shared" si="15"/>
        <v>61.988810999999998</v>
      </c>
      <c r="AJW17" s="64">
        <f t="shared" si="15"/>
        <v>61.988810999999998</v>
      </c>
      <c r="AJX17" s="64">
        <f t="shared" si="15"/>
        <v>61.988810999999998</v>
      </c>
      <c r="AJY17" s="64">
        <f t="shared" si="15"/>
        <v>61.988810999999998</v>
      </c>
      <c r="AJZ17" s="64">
        <f t="shared" si="15"/>
        <v>61.988810999999998</v>
      </c>
      <c r="AKA17" s="64">
        <f t="shared" si="15"/>
        <v>61.988810999999998</v>
      </c>
      <c r="AKB17" s="64">
        <f t="shared" si="15"/>
        <v>61.988810999999998</v>
      </c>
      <c r="AKC17" s="64">
        <f t="shared" si="15"/>
        <v>61.988810999999998</v>
      </c>
      <c r="AKD17" s="64">
        <f t="shared" si="15"/>
        <v>61.988810999999998</v>
      </c>
      <c r="AKE17" s="64">
        <f t="shared" ref="AKE17:ALQ17" si="16">$D$3</f>
        <v>61.988810999999998</v>
      </c>
      <c r="AKF17" s="64">
        <f t="shared" si="16"/>
        <v>61.988810999999998</v>
      </c>
      <c r="AKG17" s="64">
        <f t="shared" si="16"/>
        <v>61.988810999999998</v>
      </c>
      <c r="AKH17" s="64">
        <f t="shared" si="16"/>
        <v>61.988810999999998</v>
      </c>
      <c r="AKI17" s="64">
        <f t="shared" si="16"/>
        <v>61.988810999999998</v>
      </c>
      <c r="AKJ17" s="64">
        <f t="shared" si="16"/>
        <v>61.988810999999998</v>
      </c>
      <c r="AKK17" s="64">
        <f t="shared" si="16"/>
        <v>61.988810999999998</v>
      </c>
      <c r="AKL17" s="64">
        <f t="shared" si="16"/>
        <v>61.988810999999998</v>
      </c>
      <c r="AKM17" s="64">
        <f t="shared" si="16"/>
        <v>61.988810999999998</v>
      </c>
      <c r="AKN17" s="64">
        <f t="shared" si="16"/>
        <v>61.988810999999998</v>
      </c>
      <c r="AKO17" s="64">
        <f t="shared" si="16"/>
        <v>61.988810999999998</v>
      </c>
      <c r="AKP17" s="64">
        <f t="shared" si="16"/>
        <v>61.988810999999998</v>
      </c>
      <c r="AKQ17" s="64">
        <f t="shared" si="16"/>
        <v>61.988810999999998</v>
      </c>
      <c r="AKR17" s="64">
        <f t="shared" si="16"/>
        <v>61.988810999999998</v>
      </c>
      <c r="AKS17" s="64">
        <f t="shared" si="16"/>
        <v>61.988810999999998</v>
      </c>
      <c r="AKT17" s="64">
        <f t="shared" si="16"/>
        <v>61.988810999999998</v>
      </c>
      <c r="AKU17" s="64">
        <f t="shared" si="16"/>
        <v>61.988810999999998</v>
      </c>
      <c r="AKV17" s="64">
        <f t="shared" si="16"/>
        <v>61.988810999999998</v>
      </c>
      <c r="AKW17" s="64">
        <f t="shared" si="16"/>
        <v>61.988810999999998</v>
      </c>
      <c r="AKX17" s="64">
        <f t="shared" si="16"/>
        <v>61.988810999999998</v>
      </c>
      <c r="AKY17" s="64">
        <f t="shared" si="16"/>
        <v>61.988810999999998</v>
      </c>
      <c r="AKZ17" s="64">
        <f t="shared" si="16"/>
        <v>61.988810999999998</v>
      </c>
      <c r="ALA17" s="64">
        <f t="shared" si="16"/>
        <v>61.988810999999998</v>
      </c>
      <c r="ALB17" s="64">
        <f t="shared" si="16"/>
        <v>61.988810999999998</v>
      </c>
      <c r="ALC17" s="64">
        <f t="shared" si="16"/>
        <v>61.988810999999998</v>
      </c>
      <c r="ALD17" s="64">
        <f t="shared" si="16"/>
        <v>61.988810999999998</v>
      </c>
      <c r="ALE17" s="64">
        <f t="shared" si="16"/>
        <v>61.988810999999998</v>
      </c>
      <c r="ALF17" s="64">
        <f t="shared" si="16"/>
        <v>61.988810999999998</v>
      </c>
      <c r="ALG17" s="64">
        <f t="shared" si="16"/>
        <v>61.988810999999998</v>
      </c>
      <c r="ALH17" s="64">
        <f t="shared" si="16"/>
        <v>61.988810999999998</v>
      </c>
      <c r="ALI17" s="64">
        <f t="shared" si="16"/>
        <v>61.988810999999998</v>
      </c>
      <c r="ALJ17" s="64">
        <f t="shared" si="16"/>
        <v>61.988810999999998</v>
      </c>
      <c r="ALK17" s="64">
        <f t="shared" si="16"/>
        <v>61.988810999999998</v>
      </c>
      <c r="ALL17" s="64">
        <f t="shared" si="16"/>
        <v>61.988810999999998</v>
      </c>
      <c r="ALM17" s="64">
        <f t="shared" si="16"/>
        <v>61.988810999999998</v>
      </c>
      <c r="ALN17" s="64">
        <f t="shared" si="16"/>
        <v>61.988810999999998</v>
      </c>
      <c r="ALO17" s="64">
        <f t="shared" si="16"/>
        <v>61.988810999999998</v>
      </c>
      <c r="ALP17" s="64">
        <f t="shared" si="16"/>
        <v>61.988810999999998</v>
      </c>
      <c r="ALQ17" s="64">
        <f t="shared" si="16"/>
        <v>61.988810999999998</v>
      </c>
    </row>
    <row r="18" spans="3:1005" x14ac:dyDescent="0.35">
      <c r="C18" s="61">
        <f t="shared" ref="C18:C27" ca="1" si="17">D18/D17-1</f>
        <v>0.12306960294280334</v>
      </c>
      <c r="D18" s="90">
        <f t="shared" ca="1" si="0"/>
        <v>69.617749356667701</v>
      </c>
      <c r="E18">
        <v>1</v>
      </c>
      <c r="F18" s="90">
        <f ca="1">F17*(1 + NORMINV(RAND(), $D$4, $D$5))</f>
        <v>3.7378555522724715</v>
      </c>
      <c r="G18" s="90">
        <f t="shared" ref="G18:G27" ca="1" si="18">G17*(1 + NORMINV(RAND(), $D$4, $D$5))</f>
        <v>55.379572037021802</v>
      </c>
      <c r="H18" s="90">
        <f t="shared" ref="H18:H27" ca="1" si="19">H17*(1 + NORMINV(RAND(), $D$4, $D$5))</f>
        <v>11.855439111050581</v>
      </c>
      <c r="I18" s="90">
        <f t="shared" ref="I18:I27" ca="1" si="20">I17*(1 + NORMINV(RAND(), $D$4, $D$5))</f>
        <v>87.530970367989482</v>
      </c>
      <c r="J18" s="90">
        <f t="shared" ref="J18:J27" ca="1" si="21">J17*(1 + NORMINV(RAND(), $D$4, $D$5))</f>
        <v>105.32628415271415</v>
      </c>
      <c r="K18" s="90">
        <f t="shared" ref="K18:K27" ca="1" si="22">K17*(1 + NORMINV(RAND(), $D$4, $D$5))</f>
        <v>107.95501125563675</v>
      </c>
      <c r="L18" s="90">
        <f t="shared" ref="L18:L27" ca="1" si="23">L17*(1 + NORMINV(RAND(), $D$4, $D$5))</f>
        <v>28.620617025725341</v>
      </c>
      <c r="M18" s="90">
        <f t="shared" ref="M18:M27" ca="1" si="24">M17*(1 + NORMINV(RAND(), $D$4, $D$5))</f>
        <v>36.164974733625662</v>
      </c>
      <c r="N18" s="90">
        <f t="shared" ref="N18:N27" ca="1" si="25">N17*(1 + NORMINV(RAND(), $D$4, $D$5))</f>
        <v>39.108488803647049</v>
      </c>
      <c r="O18" s="90">
        <f t="shared" ref="O18:O27" ca="1" si="26">O17*(1 + NORMINV(RAND(), $D$4, $D$5))</f>
        <v>36.585044432292797</v>
      </c>
      <c r="P18" s="90">
        <f t="shared" ref="P18:P27" ca="1" si="27">P17*(1 + NORMINV(RAND(), $D$4, $D$5))</f>
        <v>76.880573405610306</v>
      </c>
      <c r="Q18" s="90">
        <f t="shared" ref="Q18:Q27" ca="1" si="28">Q17*(1 + NORMINV(RAND(), $D$4, $D$5))</f>
        <v>35.286359811675368</v>
      </c>
      <c r="R18" s="90">
        <f t="shared" ref="R18:R27" ca="1" si="29">R17*(1 + NORMINV(RAND(), $D$4, $D$5))</f>
        <v>72.112474488420418</v>
      </c>
      <c r="S18" s="90">
        <f t="shared" ref="S18:S27" ca="1" si="30">S17*(1 + NORMINV(RAND(), $D$4, $D$5))</f>
        <v>111.18968249356561</v>
      </c>
      <c r="T18" s="90">
        <f t="shared" ref="T18:T27" ca="1" si="31">T17*(1 + NORMINV(RAND(), $D$4, $D$5))</f>
        <v>110.80052955250734</v>
      </c>
      <c r="U18" s="90">
        <f t="shared" ref="U18:U27" ca="1" si="32">U17*(1 + NORMINV(RAND(), $D$4, $D$5))</f>
        <v>104.76437298487026</v>
      </c>
      <c r="V18" s="90">
        <f t="shared" ref="V18:V27" ca="1" si="33">V17*(1 + NORMINV(RAND(), $D$4, $D$5))</f>
        <v>74.676800908751076</v>
      </c>
      <c r="W18" s="90">
        <f t="shared" ref="W18:W27" ca="1" si="34">W17*(1 + NORMINV(RAND(), $D$4, $D$5))</f>
        <v>76.401207059799944</v>
      </c>
      <c r="X18" s="90">
        <f t="shared" ref="X18:X27" ca="1" si="35">X17*(1 + NORMINV(RAND(), $D$4, $D$5))</f>
        <v>102.56213114388969</v>
      </c>
      <c r="Y18" s="90">
        <f t="shared" ref="Y18:Y27" ca="1" si="36">Y17*(1 + NORMINV(RAND(), $D$4, $D$5))</f>
        <v>117.6690531707042</v>
      </c>
      <c r="Z18" s="90">
        <f t="shared" ref="Z18:Z27" ca="1" si="37">Z17*(1 + NORMINV(RAND(), $D$4, $D$5))</f>
        <v>44.201835407962719</v>
      </c>
      <c r="AA18" s="90">
        <f t="shared" ref="AA18:AA27" ca="1" si="38">AA17*(1 + NORMINV(RAND(), $D$4, $D$5))</f>
        <v>52.386204870931607</v>
      </c>
      <c r="AB18" s="90">
        <f t="shared" ref="AB18:AB27" ca="1" si="39">AB17*(1 + NORMINV(RAND(), $D$4, $D$5))</f>
        <v>83.694959690522623</v>
      </c>
      <c r="AC18" s="90">
        <f t="shared" ref="AC18:AC27" ca="1" si="40">AC17*(1 + NORMINV(RAND(), $D$4, $D$5))</f>
        <v>48.253249660415975</v>
      </c>
      <c r="AD18" s="90">
        <f t="shared" ref="AD18:AD27" ca="1" si="41">AD17*(1 + NORMINV(RAND(), $D$4, $D$5))</f>
        <v>117.27729591767412</v>
      </c>
      <c r="AE18" s="90">
        <f t="shared" ref="AE18:AE27" ca="1" si="42">AE17*(1 + NORMINV(RAND(), $D$4, $D$5))</f>
        <v>104.64053688893948</v>
      </c>
      <c r="AF18" s="90">
        <f t="shared" ref="AF18:AF27" ca="1" si="43">AF17*(1 + NORMINV(RAND(), $D$4, $D$5))</f>
        <v>81.067035307564907</v>
      </c>
      <c r="AG18" s="90">
        <f t="shared" ref="AG18:AG27" ca="1" si="44">AG17*(1 + NORMINV(RAND(), $D$4, $D$5))</f>
        <v>61.485768617379918</v>
      </c>
      <c r="AH18" s="90">
        <f t="shared" ref="AH18:AH27" ca="1" si="45">AH17*(1 + NORMINV(RAND(), $D$4, $D$5))</f>
        <v>55.862112541161601</v>
      </c>
      <c r="AI18" s="90">
        <f t="shared" ref="AI18:AI27" ca="1" si="46">AI17*(1 + NORMINV(RAND(), $D$4, $D$5))</f>
        <v>93.849159441739047</v>
      </c>
      <c r="AJ18" s="90">
        <f t="shared" ref="AJ18:AJ27" ca="1" si="47">AJ17*(1 + NORMINV(RAND(), $D$4, $D$5))</f>
        <v>79.439488922434208</v>
      </c>
      <c r="AK18" s="90">
        <f t="shared" ref="AK18:AK27" ca="1" si="48">AK17*(1 + NORMINV(RAND(), $D$4, $D$5))</f>
        <v>32.706350270692937</v>
      </c>
      <c r="AL18" s="90">
        <f t="shared" ref="AL18:AL27" ca="1" si="49">AL17*(1 + NORMINV(RAND(), $D$4, $D$5))</f>
        <v>79.845313167081173</v>
      </c>
      <c r="AM18" s="90">
        <f t="shared" ref="AM18:AM27" ca="1" si="50">AM17*(1 + NORMINV(RAND(), $D$4, $D$5))</f>
        <v>116.73353770524048</v>
      </c>
      <c r="AN18" s="90">
        <f t="shared" ref="AN18:AN27" ca="1" si="51">AN17*(1 + NORMINV(RAND(), $D$4, $D$5))</f>
        <v>49.101868393750543</v>
      </c>
      <c r="AO18" s="90">
        <f t="shared" ref="AO18:AO27" ca="1" si="52">AO17*(1 + NORMINV(RAND(), $D$4, $D$5))</f>
        <v>113.10757775980255</v>
      </c>
      <c r="AP18" s="90">
        <f t="shared" ref="AP18:AP27" ca="1" si="53">AP17*(1 + NORMINV(RAND(), $D$4, $D$5))</f>
        <v>75.046642399596237</v>
      </c>
      <c r="AQ18" s="90">
        <f t="shared" ref="AQ18:AQ27" ca="1" si="54">AQ17*(1 + NORMINV(RAND(), $D$4, $D$5))</f>
        <v>31.210777835243327</v>
      </c>
      <c r="AR18" s="90">
        <f t="shared" ref="AR18:AR27" ca="1" si="55">AR17*(1 + NORMINV(RAND(), $D$4, $D$5))</f>
        <v>71.513293843127386</v>
      </c>
      <c r="AS18" s="90">
        <f t="shared" ref="AS18:AS27" ca="1" si="56">AS17*(1 + NORMINV(RAND(), $D$4, $D$5))</f>
        <v>95.695832631789983</v>
      </c>
      <c r="AT18" s="90">
        <f t="shared" ref="AT18:AT27" ca="1" si="57">AT17*(1 + NORMINV(RAND(), $D$4, $D$5))</f>
        <v>64.374594973558146</v>
      </c>
      <c r="AU18" s="90">
        <f t="shared" ref="AU18:AU27" ca="1" si="58">AU17*(1 + NORMINV(RAND(), $D$4, $D$5))</f>
        <v>94.972671201710781</v>
      </c>
      <c r="AV18" s="90">
        <f t="shared" ref="AV18:AV27" ca="1" si="59">AV17*(1 + NORMINV(RAND(), $D$4, $D$5))</f>
        <v>62.51495564719712</v>
      </c>
      <c r="AW18" s="90">
        <f t="shared" ref="AW18:AW27" ca="1" si="60">AW17*(1 + NORMINV(RAND(), $D$4, $D$5))</f>
        <v>85.491202444276979</v>
      </c>
      <c r="AX18" s="90">
        <f t="shared" ref="AX18:AX27" ca="1" si="61">AX17*(1 + NORMINV(RAND(), $D$4, $D$5))</f>
        <v>79.881758807454148</v>
      </c>
      <c r="AY18" s="90">
        <f t="shared" ref="AY18:AY27" ca="1" si="62">AY17*(1 + NORMINV(RAND(), $D$4, $D$5))</f>
        <v>60.044739348448608</v>
      </c>
      <c r="AZ18" s="90">
        <f t="shared" ref="AZ18:AZ27" ca="1" si="63">AZ17*(1 + NORMINV(RAND(), $D$4, $D$5))</f>
        <v>67.380002277493176</v>
      </c>
      <c r="BA18" s="90">
        <f t="shared" ref="BA18:BA27" ca="1" si="64">BA17*(1 + NORMINV(RAND(), $D$4, $D$5))</f>
        <v>105.43541285092005</v>
      </c>
      <c r="BB18" s="90">
        <f t="shared" ref="BB18:BB27" ca="1" si="65">BB17*(1 + NORMINV(RAND(), $D$4, $D$5))</f>
        <v>72.912469352245139</v>
      </c>
      <c r="BC18" s="90">
        <f t="shared" ref="BC18:BC27" ca="1" si="66">BC17*(1 + NORMINV(RAND(), $D$4, $D$5))</f>
        <v>52.538158336108459</v>
      </c>
      <c r="BD18" s="90">
        <f t="shared" ref="BD18:BD27" ca="1" si="67">BD17*(1 + NORMINV(RAND(), $D$4, $D$5))</f>
        <v>97.604816577463311</v>
      </c>
      <c r="BE18" s="90">
        <f t="shared" ref="BE18:BE27" ca="1" si="68">BE17*(1 + NORMINV(RAND(), $D$4, $D$5))</f>
        <v>29.7527024152736</v>
      </c>
      <c r="BF18" s="90">
        <f t="shared" ref="BF18:BF27" ca="1" si="69">BF17*(1 + NORMINV(RAND(), $D$4, $D$5))</f>
        <v>38.729359778458623</v>
      </c>
      <c r="BG18" s="90">
        <f t="shared" ref="BG18:BG27" ca="1" si="70">BG17*(1 + NORMINV(RAND(), $D$4, $D$5))</f>
        <v>62.655697954632906</v>
      </c>
      <c r="BH18" s="90">
        <f t="shared" ref="BH18:BH27" ca="1" si="71">BH17*(1 + NORMINV(RAND(), $D$4, $D$5))</f>
        <v>81.870470260664163</v>
      </c>
      <c r="BI18" s="90">
        <f t="shared" ref="BI18:BI27" ca="1" si="72">BI17*(1 + NORMINV(RAND(), $D$4, $D$5))</f>
        <v>81.617151021867301</v>
      </c>
      <c r="BJ18" s="90">
        <f t="shared" ref="BJ18:BJ27" ca="1" si="73">BJ17*(1 + NORMINV(RAND(), $D$4, $D$5))</f>
        <v>20.127195261162154</v>
      </c>
      <c r="BK18" s="90">
        <f t="shared" ref="BK18:BK27" ca="1" si="74">BK17*(1 + NORMINV(RAND(), $D$4, $D$5))</f>
        <v>10.206868944153619</v>
      </c>
      <c r="BL18" s="90">
        <f t="shared" ref="BL18:BL27" ca="1" si="75">BL17*(1 + NORMINV(RAND(), $D$4, $D$5))</f>
        <v>48.256491457019287</v>
      </c>
      <c r="BM18" s="90">
        <f t="shared" ref="BM18:BM27" ca="1" si="76">BM17*(1 + NORMINV(RAND(), $D$4, $D$5))</f>
        <v>119.18566955910347</v>
      </c>
      <c r="BN18" s="90">
        <f t="shared" ref="BN18:BN27" ca="1" si="77">BN17*(1 + NORMINV(RAND(), $D$4, $D$5))</f>
        <v>40.365464516012835</v>
      </c>
      <c r="BO18" s="90">
        <f t="shared" ref="BO18:BO27" ca="1" si="78">BO17*(1 + NORMINV(RAND(), $D$4, $D$5))</f>
        <v>65.43631738392105</v>
      </c>
      <c r="BP18" s="90">
        <f t="shared" ref="BP18:BP27" ca="1" si="79">BP17*(1 + NORMINV(RAND(), $D$4, $D$5))</f>
        <v>24.385344269441457</v>
      </c>
      <c r="BQ18" s="90">
        <f t="shared" ref="BQ18:BQ27" ca="1" si="80">BQ17*(1 + NORMINV(RAND(), $D$4, $D$5))</f>
        <v>58.548572443333143</v>
      </c>
      <c r="BR18" s="90">
        <f t="shared" ref="BR18:BR27" ca="1" si="81">BR17*(1 + NORMINV(RAND(), $D$4, $D$5))</f>
        <v>108.4163028396965</v>
      </c>
      <c r="BS18" s="90">
        <f t="shared" ref="BS18:BS27" ca="1" si="82">BS17*(1 + NORMINV(RAND(), $D$4, $D$5))</f>
        <v>93.54059175740592</v>
      </c>
      <c r="BT18" s="90">
        <f t="shared" ref="BT18:BT27" ca="1" si="83">BT17*(1 + NORMINV(RAND(), $D$4, $D$5))</f>
        <v>62.154141024384472</v>
      </c>
      <c r="BU18" s="90">
        <f t="shared" ref="BU18:BU27" ca="1" si="84">BU17*(1 + NORMINV(RAND(), $D$4, $D$5))</f>
        <v>56.903971167511436</v>
      </c>
      <c r="BV18" s="90">
        <f t="shared" ref="BV18:BV27" ca="1" si="85">BV17*(1 + NORMINV(RAND(), $D$4, $D$5))</f>
        <v>64.595387919118565</v>
      </c>
      <c r="BW18" s="90">
        <f t="shared" ref="BW18:BW27" ca="1" si="86">BW17*(1 + NORMINV(RAND(), $D$4, $D$5))</f>
        <v>68.23741781437063</v>
      </c>
      <c r="BX18" s="90">
        <f t="shared" ref="BX18:BX27" ca="1" si="87">BX17*(1 + NORMINV(RAND(), $D$4, $D$5))</f>
        <v>11.552164816297724</v>
      </c>
      <c r="BY18" s="90">
        <f t="shared" ref="BY18:BY27" ca="1" si="88">BY17*(1 + NORMINV(RAND(), $D$4, $D$5))</f>
        <v>55.797767062234072</v>
      </c>
      <c r="BZ18" s="90">
        <f t="shared" ref="BZ18:BZ27" ca="1" si="89">BZ17*(1 + NORMINV(RAND(), $D$4, $D$5))</f>
        <v>79.557829939299324</v>
      </c>
      <c r="CA18" s="90">
        <f t="shared" ref="CA18:CA27" ca="1" si="90">CA17*(1 + NORMINV(RAND(), $D$4, $D$5))</f>
        <v>82.889595306445216</v>
      </c>
      <c r="CB18" s="90">
        <f t="shared" ref="CB18:CB27" ca="1" si="91">CB17*(1 + NORMINV(RAND(), $D$4, $D$5))</f>
        <v>49.54793460586685</v>
      </c>
      <c r="CC18" s="90">
        <f t="shared" ref="CC18:CC27" ca="1" si="92">CC17*(1 + NORMINV(RAND(), $D$4, $D$5))</f>
        <v>42.090942249607089</v>
      </c>
      <c r="CD18" s="90">
        <f t="shared" ref="CD18:CD27" ca="1" si="93">CD17*(1 + NORMINV(RAND(), $D$4, $D$5))</f>
        <v>61.09653280649276</v>
      </c>
      <c r="CE18" s="90">
        <f t="shared" ref="CE18:CE27" ca="1" si="94">CE17*(1 + NORMINV(RAND(), $D$4, $D$5))</f>
        <v>35.327940562747074</v>
      </c>
      <c r="CF18" s="90">
        <f t="shared" ref="CF18:CF27" ca="1" si="95">CF17*(1 + NORMINV(RAND(), $D$4, $D$5))</f>
        <v>66.961270478865501</v>
      </c>
      <c r="CG18" s="90">
        <f t="shared" ref="CG18:CG27" ca="1" si="96">CG17*(1 + NORMINV(RAND(), $D$4, $D$5))</f>
        <v>77.083241195304979</v>
      </c>
      <c r="CH18" s="90">
        <f t="shared" ref="CH18:CH27" ca="1" si="97">CH17*(1 + NORMINV(RAND(), $D$4, $D$5))</f>
        <v>75.425630885853778</v>
      </c>
      <c r="CI18" s="90">
        <f t="shared" ref="CI18:CI27" ca="1" si="98">CI17*(1 + NORMINV(RAND(), $D$4, $D$5))</f>
        <v>20.123910896226736</v>
      </c>
      <c r="CJ18" s="90">
        <f t="shared" ref="CJ18:CJ27" ca="1" si="99">CJ17*(1 + NORMINV(RAND(), $D$4, $D$5))</f>
        <v>60.345503064249996</v>
      </c>
      <c r="CK18" s="90">
        <f t="shared" ref="CK18:CK27" ca="1" si="100">CK17*(1 + NORMINV(RAND(), $D$4, $D$5))</f>
        <v>32.235845117916071</v>
      </c>
      <c r="CL18" s="90">
        <f t="shared" ref="CL18:CL27" ca="1" si="101">CL17*(1 + NORMINV(RAND(), $D$4, $D$5))</f>
        <v>50.448134933215442</v>
      </c>
      <c r="CM18" s="90">
        <f t="shared" ref="CM18:CM27" ca="1" si="102">CM17*(1 + NORMINV(RAND(), $D$4, $D$5))</f>
        <v>62.956224614829623</v>
      </c>
      <c r="CN18" s="90">
        <f t="shared" ref="CN18:CN27" ca="1" si="103">CN17*(1 + NORMINV(RAND(), $D$4, $D$5))</f>
        <v>81.450347163422336</v>
      </c>
      <c r="CO18" s="90">
        <f t="shared" ref="CO18:CO27" ca="1" si="104">CO17*(1 + NORMINV(RAND(), $D$4, $D$5))</f>
        <v>97.647570525490693</v>
      </c>
      <c r="CP18" s="90">
        <f t="shared" ref="CP18:CP27" ca="1" si="105">CP17*(1 + NORMINV(RAND(), $D$4, $D$5))</f>
        <v>78.322995199964353</v>
      </c>
      <c r="CQ18" s="90">
        <f t="shared" ref="CQ18:CQ27" ca="1" si="106">CQ17*(1 + NORMINV(RAND(), $D$4, $D$5))</f>
        <v>32.065792303836787</v>
      </c>
      <c r="CR18" s="90">
        <f t="shared" ref="CR18:CR27" ca="1" si="107">CR17*(1 + NORMINV(RAND(), $D$4, $D$5))</f>
        <v>48.414674653849929</v>
      </c>
      <c r="CS18" s="90">
        <f t="shared" ref="CS18:CS27" ca="1" si="108">CS17*(1 + NORMINV(RAND(), $D$4, $D$5))</f>
        <v>68.637791393287628</v>
      </c>
      <c r="CT18" s="90">
        <f t="shared" ref="CT18:CT27" ca="1" si="109">CT17*(1 + NORMINV(RAND(), $D$4, $D$5))</f>
        <v>98.617065539401267</v>
      </c>
      <c r="CU18" s="90">
        <f t="shared" ref="CU18:CU27" ca="1" si="110">CU17*(1 + NORMINV(RAND(), $D$4, $D$5))</f>
        <v>21.980380902045376</v>
      </c>
      <c r="CV18" s="90">
        <f t="shared" ref="CV18:CV27" ca="1" si="111">CV17*(1 + NORMINV(RAND(), $D$4, $D$5))</f>
        <v>82.03654254478991</v>
      </c>
      <c r="CW18" s="90">
        <f t="shared" ref="CW18:CW27" ca="1" si="112">CW17*(1 + NORMINV(RAND(), $D$4, $D$5))</f>
        <v>79.893304173484552</v>
      </c>
      <c r="CX18" s="90">
        <f t="shared" ref="CX18:CX27" ca="1" si="113">CX17*(1 + NORMINV(RAND(), $D$4, $D$5))</f>
        <v>64.999121899600311</v>
      </c>
      <c r="CY18" s="90">
        <f t="shared" ref="CY18:CY27" ca="1" si="114">CY17*(1 + NORMINV(RAND(), $D$4, $D$5))</f>
        <v>65.460302177030457</v>
      </c>
      <c r="CZ18" s="90">
        <f t="shared" ref="CZ18:CZ27" ca="1" si="115">CZ17*(1 + NORMINV(RAND(), $D$4, $D$5))</f>
        <v>80.263143810341958</v>
      </c>
      <c r="DA18" s="90">
        <f t="shared" ref="DA18:DA27" ca="1" si="116">DA17*(1 + NORMINV(RAND(), $D$4, $D$5))</f>
        <v>66.987674362884889</v>
      </c>
      <c r="DB18" s="90">
        <f t="shared" ref="DB18:DB27" ca="1" si="117">DB17*(1 + NORMINV(RAND(), $D$4, $D$5))</f>
        <v>100.72561167745002</v>
      </c>
      <c r="DC18" s="90">
        <f t="shared" ref="DC18:DC27" ca="1" si="118">DC17*(1 + NORMINV(RAND(), $D$4, $D$5))</f>
        <v>68.113668792437252</v>
      </c>
      <c r="DD18" s="90">
        <f t="shared" ref="DD18:DD27" ca="1" si="119">DD17*(1 + NORMINV(RAND(), $D$4, $D$5))</f>
        <v>112.41880591004481</v>
      </c>
      <c r="DE18" s="90">
        <f t="shared" ref="DE18:DE27" ca="1" si="120">DE17*(1 + NORMINV(RAND(), $D$4, $D$5))</f>
        <v>93.416936502272037</v>
      </c>
      <c r="DF18" s="90">
        <f t="shared" ref="DF18:DF27" ca="1" si="121">DF17*(1 + NORMINV(RAND(), $D$4, $D$5))</f>
        <v>28.57015718221739</v>
      </c>
      <c r="DG18" s="90">
        <f t="shared" ref="DG18:DG27" ca="1" si="122">DG17*(1 + NORMINV(RAND(), $D$4, $D$5))</f>
        <v>67.016039406311648</v>
      </c>
      <c r="DH18" s="90">
        <f t="shared" ref="DH18:DH27" ca="1" si="123">DH17*(1 + NORMINV(RAND(), $D$4, $D$5))</f>
        <v>80.384549308546084</v>
      </c>
      <c r="DI18" s="90">
        <f t="shared" ref="DI18:DI27" ca="1" si="124">DI17*(1 + NORMINV(RAND(), $D$4, $D$5))</f>
        <v>58.99902402424221</v>
      </c>
      <c r="DJ18" s="90">
        <f t="shared" ref="DJ18:DJ27" ca="1" si="125">DJ17*(1 + NORMINV(RAND(), $D$4, $D$5))</f>
        <v>99.793616831853171</v>
      </c>
      <c r="DK18" s="90">
        <f t="shared" ref="DK18:DK27" ca="1" si="126">DK17*(1 + NORMINV(RAND(), $D$4, $D$5))</f>
        <v>70.878360886031743</v>
      </c>
      <c r="DL18" s="90">
        <f t="shared" ref="DL18:DL27" ca="1" si="127">DL17*(1 + NORMINV(RAND(), $D$4, $D$5))</f>
        <v>77.627447752543688</v>
      </c>
      <c r="DM18" s="90">
        <f t="shared" ref="DM18:DM27" ca="1" si="128">DM17*(1 + NORMINV(RAND(), $D$4, $D$5))</f>
        <v>43.644893298633377</v>
      </c>
      <c r="DN18" s="90">
        <f t="shared" ref="DN18:DN27" ca="1" si="129">DN17*(1 + NORMINV(RAND(), $D$4, $D$5))</f>
        <v>54.195964879553969</v>
      </c>
      <c r="DO18" s="90">
        <f t="shared" ref="DO18:DO27" ca="1" si="130">DO17*(1 + NORMINV(RAND(), $D$4, $D$5))</f>
        <v>102.42782217216816</v>
      </c>
      <c r="DP18" s="90">
        <f t="shared" ref="DP18:DP27" ca="1" si="131">DP17*(1 + NORMINV(RAND(), $D$4, $D$5))</f>
        <v>30.215785908069968</v>
      </c>
      <c r="DQ18" s="90">
        <f t="shared" ref="DQ18:DQ27" ca="1" si="132">DQ17*(1 + NORMINV(RAND(), $D$4, $D$5))</f>
        <v>76.987460161338603</v>
      </c>
      <c r="DR18" s="90">
        <f t="shared" ref="DR18:DR27" ca="1" si="133">DR17*(1 + NORMINV(RAND(), $D$4, $D$5))</f>
        <v>118.31535435738957</v>
      </c>
      <c r="DS18" s="90">
        <f t="shared" ref="DS18:DS27" ca="1" si="134">DS17*(1 + NORMINV(RAND(), $D$4, $D$5))</f>
        <v>53.716201615018058</v>
      </c>
      <c r="DT18" s="90">
        <f t="shared" ref="DT18:DT27" ca="1" si="135">DT17*(1 + NORMINV(RAND(), $D$4, $D$5))</f>
        <v>34.669749650986645</v>
      </c>
      <c r="DU18" s="90">
        <f t="shared" ref="DU18:DU27" ca="1" si="136">DU17*(1 + NORMINV(RAND(), $D$4, $D$5))</f>
        <v>41.882594842462616</v>
      </c>
      <c r="DV18" s="90">
        <f t="shared" ref="DV18:DV27" ca="1" si="137">DV17*(1 + NORMINV(RAND(), $D$4, $D$5))</f>
        <v>62.374277219775266</v>
      </c>
      <c r="DW18" s="90">
        <f t="shared" ref="DW18:DW27" ca="1" si="138">DW17*(1 + NORMINV(RAND(), $D$4, $D$5))</f>
        <v>95.323137183429921</v>
      </c>
      <c r="DX18" s="90">
        <f t="shared" ref="DX18:DX27" ca="1" si="139">DX17*(1 + NORMINV(RAND(), $D$4, $D$5))</f>
        <v>74.221953662957333</v>
      </c>
      <c r="DY18" s="90">
        <f t="shared" ref="DY18:DY27" ca="1" si="140">DY17*(1 + NORMINV(RAND(), $D$4, $D$5))</f>
        <v>51.527066163949101</v>
      </c>
      <c r="DZ18" s="90">
        <f t="shared" ref="DZ18:DZ27" ca="1" si="141">DZ17*(1 + NORMINV(RAND(), $D$4, $D$5))</f>
        <v>96.541018926189707</v>
      </c>
      <c r="EA18" s="90">
        <f t="shared" ref="EA18:EA27" ca="1" si="142">EA17*(1 + NORMINV(RAND(), $D$4, $D$5))</f>
        <v>83.097978330094151</v>
      </c>
      <c r="EB18" s="90">
        <f t="shared" ref="EB18:EB27" ca="1" si="143">EB17*(1 + NORMINV(RAND(), $D$4, $D$5))</f>
        <v>59.489266874472833</v>
      </c>
      <c r="EC18" s="90">
        <f t="shared" ref="EC18:EC27" ca="1" si="144">EC17*(1 + NORMINV(RAND(), $D$4, $D$5))</f>
        <v>97.631965052844635</v>
      </c>
      <c r="ED18" s="90">
        <f t="shared" ref="ED18:ED27" ca="1" si="145">ED17*(1 + NORMINV(RAND(), $D$4, $D$5))</f>
        <v>58.58857930079342</v>
      </c>
      <c r="EE18" s="90">
        <f t="shared" ref="EE18:EE27" ca="1" si="146">EE17*(1 + NORMINV(RAND(), $D$4, $D$5))</f>
        <v>-8.8910275553284546</v>
      </c>
      <c r="EF18" s="90">
        <f t="shared" ref="EF18:EF27" ca="1" si="147">EF17*(1 + NORMINV(RAND(), $D$4, $D$5))</f>
        <v>72.990721242530327</v>
      </c>
      <c r="EG18" s="90">
        <f t="shared" ref="EG18:EG27" ca="1" si="148">EG17*(1 + NORMINV(RAND(), $D$4, $D$5))</f>
        <v>76.152619959473427</v>
      </c>
      <c r="EH18" s="90">
        <f t="shared" ref="EH18:EH27" ca="1" si="149">EH17*(1 + NORMINV(RAND(), $D$4, $D$5))</f>
        <v>64.614225228540477</v>
      </c>
      <c r="EI18" s="90">
        <f t="shared" ref="EI18:EI27" ca="1" si="150">EI17*(1 + NORMINV(RAND(), $D$4, $D$5))</f>
        <v>89.471136833846217</v>
      </c>
      <c r="EJ18" s="90">
        <f t="shared" ref="EJ18:EJ27" ca="1" si="151">EJ17*(1 + NORMINV(RAND(), $D$4, $D$5))</f>
        <v>104.21447666545009</v>
      </c>
      <c r="EK18" s="90">
        <f t="shared" ref="EK18:EK27" ca="1" si="152">EK17*(1 + NORMINV(RAND(), $D$4, $D$5))</f>
        <v>76.60748711025019</v>
      </c>
      <c r="EL18" s="90">
        <f t="shared" ref="EL18:EL27" ca="1" si="153">EL17*(1 + NORMINV(RAND(), $D$4, $D$5))</f>
        <v>84.729717498984883</v>
      </c>
      <c r="EM18" s="90">
        <f t="shared" ref="EM18:EM27" ca="1" si="154">EM17*(1 + NORMINV(RAND(), $D$4, $D$5))</f>
        <v>19.288158859648444</v>
      </c>
      <c r="EN18" s="90">
        <f t="shared" ref="EN18:EN27" ca="1" si="155">EN17*(1 + NORMINV(RAND(), $D$4, $D$5))</f>
        <v>57.431733428915059</v>
      </c>
      <c r="EO18" s="90">
        <f t="shared" ref="EO18:EO27" ca="1" si="156">EO17*(1 + NORMINV(RAND(), $D$4, $D$5))</f>
        <v>94.758424343225343</v>
      </c>
      <c r="EP18" s="90">
        <f t="shared" ref="EP18:EP27" ca="1" si="157">EP17*(1 + NORMINV(RAND(), $D$4, $D$5))</f>
        <v>48.07267691131009</v>
      </c>
      <c r="EQ18" s="90">
        <f t="shared" ref="EQ18:EQ27" ca="1" si="158">EQ17*(1 + NORMINV(RAND(), $D$4, $D$5))</f>
        <v>64.60258123697038</v>
      </c>
      <c r="ER18" s="90">
        <f t="shared" ref="ER18:ER27" ca="1" si="159">ER17*(1 + NORMINV(RAND(), $D$4, $D$5))</f>
        <v>70.667024740708271</v>
      </c>
      <c r="ES18" s="90">
        <f t="shared" ref="ES18:ES27" ca="1" si="160">ES17*(1 + NORMINV(RAND(), $D$4, $D$5))</f>
        <v>110.57235173994653</v>
      </c>
      <c r="ET18" s="90">
        <f t="shared" ref="ET18:ET27" ca="1" si="161">ET17*(1 + NORMINV(RAND(), $D$4, $D$5))</f>
        <v>45.585227848773648</v>
      </c>
      <c r="EU18" s="90">
        <f t="shared" ref="EU18:EU27" ca="1" si="162">EU17*(1 + NORMINV(RAND(), $D$4, $D$5))</f>
        <v>64.302272756199471</v>
      </c>
      <c r="EV18" s="90">
        <f t="shared" ref="EV18:EV27" ca="1" si="163">EV17*(1 + NORMINV(RAND(), $D$4, $D$5))</f>
        <v>85.390211222180739</v>
      </c>
      <c r="EW18" s="90">
        <f t="shared" ref="EW18:EW27" ca="1" si="164">EW17*(1 + NORMINV(RAND(), $D$4, $D$5))</f>
        <v>96.506492456636209</v>
      </c>
      <c r="EX18" s="90">
        <f t="shared" ref="EX18:EX27" ca="1" si="165">EX17*(1 + NORMINV(RAND(), $D$4, $D$5))</f>
        <v>27.636422756147191</v>
      </c>
      <c r="EY18" s="90">
        <f t="shared" ref="EY18:EY27" ca="1" si="166">EY17*(1 + NORMINV(RAND(), $D$4, $D$5))</f>
        <v>53.454632289442301</v>
      </c>
      <c r="EZ18" s="90">
        <f t="shared" ref="EZ18:EZ27" ca="1" si="167">EZ17*(1 + NORMINV(RAND(), $D$4, $D$5))</f>
        <v>74.474897960590908</v>
      </c>
      <c r="FA18" s="90">
        <f t="shared" ref="FA18:FA27" ca="1" si="168">FA17*(1 + NORMINV(RAND(), $D$4, $D$5))</f>
        <v>64.264637358550758</v>
      </c>
      <c r="FB18" s="90">
        <f t="shared" ref="FB18:FB27" ca="1" si="169">FB17*(1 + NORMINV(RAND(), $D$4, $D$5))</f>
        <v>86.278898068687212</v>
      </c>
      <c r="FC18" s="90">
        <f t="shared" ref="FC18:FC27" ca="1" si="170">FC17*(1 + NORMINV(RAND(), $D$4, $D$5))</f>
        <v>113.51461358464326</v>
      </c>
      <c r="FD18" s="90">
        <f t="shared" ref="FD18:FD27" ca="1" si="171">FD17*(1 + NORMINV(RAND(), $D$4, $D$5))</f>
        <v>100.50104112636089</v>
      </c>
      <c r="FE18" s="90">
        <f t="shared" ref="FE18:FE27" ca="1" si="172">FE17*(1 + NORMINV(RAND(), $D$4, $D$5))</f>
        <v>30.874793352831041</v>
      </c>
      <c r="FF18" s="90">
        <f t="shared" ref="FF18:FF27" ca="1" si="173">FF17*(1 + NORMINV(RAND(), $D$4, $D$5))</f>
        <v>113.5255832817101</v>
      </c>
      <c r="FG18" s="90">
        <f t="shared" ref="FG18:FG27" ca="1" si="174">FG17*(1 + NORMINV(RAND(), $D$4, $D$5))</f>
        <v>90.302133934014165</v>
      </c>
      <c r="FH18" s="90">
        <f t="shared" ref="FH18:FH27" ca="1" si="175">FH17*(1 + NORMINV(RAND(), $D$4, $D$5))</f>
        <v>76.613145103585154</v>
      </c>
      <c r="FI18" s="90">
        <f t="shared" ref="FI18:FI27" ca="1" si="176">FI17*(1 + NORMINV(RAND(), $D$4, $D$5))</f>
        <v>77.713897152099719</v>
      </c>
      <c r="FJ18" s="90">
        <f t="shared" ref="FJ18:FJ27" ca="1" si="177">FJ17*(1 + NORMINV(RAND(), $D$4, $D$5))</f>
        <v>54.049093581075432</v>
      </c>
      <c r="FK18" s="90">
        <f t="shared" ref="FK18:FK27" ca="1" si="178">FK17*(1 + NORMINV(RAND(), $D$4, $D$5))</f>
        <v>62.74105919054012</v>
      </c>
      <c r="FL18" s="90">
        <f t="shared" ref="FL18:FL27" ca="1" si="179">FL17*(1 + NORMINV(RAND(), $D$4, $D$5))</f>
        <v>110.58706502198434</v>
      </c>
      <c r="FM18" s="90">
        <f t="shared" ref="FM18:FM27" ca="1" si="180">FM17*(1 + NORMINV(RAND(), $D$4, $D$5))</f>
        <v>93.243879798951752</v>
      </c>
      <c r="FN18" s="90">
        <f t="shared" ref="FN18:FN27" ca="1" si="181">FN17*(1 + NORMINV(RAND(), $D$4, $D$5))</f>
        <v>72.949253651326472</v>
      </c>
      <c r="FO18" s="90">
        <f t="shared" ref="FO18:FO27" ca="1" si="182">FO17*(1 + NORMINV(RAND(), $D$4, $D$5))</f>
        <v>113.58158950694589</v>
      </c>
      <c r="FP18" s="90">
        <f t="shared" ref="FP18:FP27" ca="1" si="183">FP17*(1 + NORMINV(RAND(), $D$4, $D$5))</f>
        <v>49.10006634069196</v>
      </c>
      <c r="FQ18" s="90">
        <f t="shared" ref="FQ18:FQ27" ca="1" si="184">FQ17*(1 + NORMINV(RAND(), $D$4, $D$5))</f>
        <v>55.939864101727373</v>
      </c>
      <c r="FR18" s="90">
        <f t="shared" ref="FR18:FR27" ca="1" si="185">FR17*(1 + NORMINV(RAND(), $D$4, $D$5))</f>
        <v>76.439112972043034</v>
      </c>
      <c r="FS18" s="90">
        <f t="shared" ref="FS18:FS27" ca="1" si="186">FS17*(1 + NORMINV(RAND(), $D$4, $D$5))</f>
        <v>113.13028514856445</v>
      </c>
      <c r="FT18" s="90">
        <f t="shared" ref="FT18:FT27" ca="1" si="187">FT17*(1 + NORMINV(RAND(), $D$4, $D$5))</f>
        <v>130.64513982778638</v>
      </c>
      <c r="FU18" s="90">
        <f t="shared" ref="FU18:FU27" ca="1" si="188">FU17*(1 + NORMINV(RAND(), $D$4, $D$5))</f>
        <v>90.894826725151944</v>
      </c>
      <c r="FV18" s="90">
        <f t="shared" ref="FV18:FV27" ca="1" si="189">FV17*(1 + NORMINV(RAND(), $D$4, $D$5))</f>
        <v>69.780230549816324</v>
      </c>
      <c r="FW18" s="90">
        <f t="shared" ref="FW18:FW27" ca="1" si="190">FW17*(1 + NORMINV(RAND(), $D$4, $D$5))</f>
        <v>28.424722468390083</v>
      </c>
      <c r="FX18" s="90">
        <f t="shared" ref="FX18:FX27" ca="1" si="191">FX17*(1 + NORMINV(RAND(), $D$4, $D$5))</f>
        <v>84.046570638167523</v>
      </c>
      <c r="FY18" s="90">
        <f t="shared" ref="FY18:FY27" ca="1" si="192">FY17*(1 + NORMINV(RAND(), $D$4, $D$5))</f>
        <v>84.148491389772872</v>
      </c>
      <c r="FZ18" s="90">
        <f t="shared" ref="FZ18:FZ27" ca="1" si="193">FZ17*(1 + NORMINV(RAND(), $D$4, $D$5))</f>
        <v>30.392596952021151</v>
      </c>
      <c r="GA18" s="90">
        <f t="shared" ref="GA18:GA27" ca="1" si="194">GA17*(1 + NORMINV(RAND(), $D$4, $D$5))</f>
        <v>40.221232853490655</v>
      </c>
      <c r="GB18" s="90">
        <f t="shared" ref="GB18:GB27" ca="1" si="195">GB17*(1 + NORMINV(RAND(), $D$4, $D$5))</f>
        <v>70.356841521526775</v>
      </c>
      <c r="GC18" s="90">
        <f t="shared" ref="GC18:GC27" ca="1" si="196">GC17*(1 + NORMINV(RAND(), $D$4, $D$5))</f>
        <v>48.381634113086996</v>
      </c>
      <c r="GD18" s="90">
        <f t="shared" ref="GD18:GD27" ca="1" si="197">GD17*(1 + NORMINV(RAND(), $D$4, $D$5))</f>
        <v>78.350467607546136</v>
      </c>
      <c r="GE18" s="90">
        <f t="shared" ref="GE18:GE27" ca="1" si="198">GE17*(1 + NORMINV(RAND(), $D$4, $D$5))</f>
        <v>32.171155279816915</v>
      </c>
      <c r="GF18" s="90">
        <f t="shared" ref="GF18:GF27" ca="1" si="199">GF17*(1 + NORMINV(RAND(), $D$4, $D$5))</f>
        <v>90.595932713692505</v>
      </c>
      <c r="GG18" s="90">
        <f t="shared" ref="GG18:GG27" ca="1" si="200">GG17*(1 + NORMINV(RAND(), $D$4, $D$5))</f>
        <v>93.038444473608621</v>
      </c>
      <c r="GH18" s="90">
        <f t="shared" ref="GH18:GH27" ca="1" si="201">GH17*(1 + NORMINV(RAND(), $D$4, $D$5))</f>
        <v>99.402666325423809</v>
      </c>
      <c r="GI18" s="90">
        <f t="shared" ref="GI18:GI27" ca="1" si="202">GI17*(1 + NORMINV(RAND(), $D$4, $D$5))</f>
        <v>51.804489190136856</v>
      </c>
      <c r="GJ18" s="90">
        <f t="shared" ref="GJ18:GJ27" ca="1" si="203">GJ17*(1 + NORMINV(RAND(), $D$4, $D$5))</f>
        <v>70.239187675821128</v>
      </c>
      <c r="GK18" s="90">
        <f t="shared" ref="GK18:GK27" ca="1" si="204">GK17*(1 + NORMINV(RAND(), $D$4, $D$5))</f>
        <v>87.457040483031705</v>
      </c>
      <c r="GL18" s="90">
        <f t="shared" ref="GL18:GL27" ca="1" si="205">GL17*(1 + NORMINV(RAND(), $D$4, $D$5))</f>
        <v>94.675940295216279</v>
      </c>
      <c r="GM18" s="90">
        <f t="shared" ref="GM18:GM27" ca="1" si="206">GM17*(1 + NORMINV(RAND(), $D$4, $D$5))</f>
        <v>19.457724599082269</v>
      </c>
      <c r="GN18" s="90">
        <f t="shared" ref="GN18:GN27" ca="1" si="207">GN17*(1 + NORMINV(RAND(), $D$4, $D$5))</f>
        <v>29.940998469790088</v>
      </c>
      <c r="GO18" s="90">
        <f t="shared" ref="GO18:GO27" ca="1" si="208">GO17*(1 + NORMINV(RAND(), $D$4, $D$5))</f>
        <v>101.10363536741394</v>
      </c>
      <c r="GP18" s="90">
        <f t="shared" ref="GP18:GP27" ca="1" si="209">GP17*(1 + NORMINV(RAND(), $D$4, $D$5))</f>
        <v>109.03343572273631</v>
      </c>
      <c r="GQ18" s="90">
        <f t="shared" ref="GQ18:GQ27" ca="1" si="210">GQ17*(1 + NORMINV(RAND(), $D$4, $D$5))</f>
        <v>85.401028757307088</v>
      </c>
      <c r="GR18" s="90">
        <f t="shared" ref="GR18:GR27" ca="1" si="211">GR17*(1 + NORMINV(RAND(), $D$4, $D$5))</f>
        <v>105.52251725162338</v>
      </c>
      <c r="GS18" s="90">
        <f t="shared" ref="GS18:GS27" ca="1" si="212">GS17*(1 + NORMINV(RAND(), $D$4, $D$5))</f>
        <v>31.546572772953155</v>
      </c>
      <c r="GT18" s="90">
        <f t="shared" ref="GT18:GT27" ca="1" si="213">GT17*(1 + NORMINV(RAND(), $D$4, $D$5))</f>
        <v>73.798238420531248</v>
      </c>
      <c r="GU18" s="90">
        <f t="shared" ref="GU18:GU27" ca="1" si="214">GU17*(1 + NORMINV(RAND(), $D$4, $D$5))</f>
        <v>104.5776565935559</v>
      </c>
      <c r="GV18" s="90">
        <f t="shared" ref="GV18:GV27" ca="1" si="215">GV17*(1 + NORMINV(RAND(), $D$4, $D$5))</f>
        <v>59.157038244847357</v>
      </c>
      <c r="GW18" s="90">
        <f t="shared" ref="GW18:GW27" ca="1" si="216">GW17*(1 + NORMINV(RAND(), $D$4, $D$5))</f>
        <v>71.094533544908117</v>
      </c>
      <c r="GX18" s="90">
        <f t="shared" ref="GX18:GX27" ca="1" si="217">GX17*(1 + NORMINV(RAND(), $D$4, $D$5))</f>
        <v>81.034763251005813</v>
      </c>
      <c r="GY18" s="90">
        <f t="shared" ref="GY18:GY27" ca="1" si="218">GY17*(1 + NORMINV(RAND(), $D$4, $D$5))</f>
        <v>79.11312789616494</v>
      </c>
      <c r="GZ18" s="90">
        <f t="shared" ref="GZ18:GZ27" ca="1" si="219">GZ17*(1 + NORMINV(RAND(), $D$4, $D$5))</f>
        <v>117.58669754689095</v>
      </c>
      <c r="HA18" s="90">
        <f t="shared" ref="HA18:HA27" ca="1" si="220">HA17*(1 + NORMINV(RAND(), $D$4, $D$5))</f>
        <v>86.303366086456336</v>
      </c>
      <c r="HB18" s="90">
        <f t="shared" ref="HB18:HB27" ca="1" si="221">HB17*(1 + NORMINV(RAND(), $D$4, $D$5))</f>
        <v>61.84451740253354</v>
      </c>
      <c r="HC18" s="90">
        <f t="shared" ref="HC18:HC27" ca="1" si="222">HC17*(1 + NORMINV(RAND(), $D$4, $D$5))</f>
        <v>57.911240005594863</v>
      </c>
      <c r="HD18" s="90">
        <f t="shared" ref="HD18:HD27" ca="1" si="223">HD17*(1 + NORMINV(RAND(), $D$4, $D$5))</f>
        <v>38.428872729296693</v>
      </c>
      <c r="HE18" s="90">
        <f t="shared" ref="HE18:HE27" ca="1" si="224">HE17*(1 + NORMINV(RAND(), $D$4, $D$5))</f>
        <v>60.55555893070968</v>
      </c>
      <c r="HF18" s="90">
        <f t="shared" ref="HF18:HF27" ca="1" si="225">HF17*(1 + NORMINV(RAND(), $D$4, $D$5))</f>
        <v>76.168582700930287</v>
      </c>
      <c r="HG18" s="90">
        <f t="shared" ref="HG18:HG27" ca="1" si="226">HG17*(1 + NORMINV(RAND(), $D$4, $D$5))</f>
        <v>111.40127935814864</v>
      </c>
      <c r="HH18" s="90">
        <f t="shared" ref="HH18:HH27" ca="1" si="227">HH17*(1 + NORMINV(RAND(), $D$4, $D$5))</f>
        <v>41.145139263025342</v>
      </c>
      <c r="HI18" s="90">
        <f t="shared" ref="HI18:HI27" ca="1" si="228">HI17*(1 + NORMINV(RAND(), $D$4, $D$5))</f>
        <v>107.51545580526668</v>
      </c>
      <c r="HJ18" s="90">
        <f t="shared" ref="HJ18:HJ27" ca="1" si="229">HJ17*(1 + NORMINV(RAND(), $D$4, $D$5))</f>
        <v>77.538620427202574</v>
      </c>
      <c r="HK18" s="90">
        <f t="shared" ref="HK18:HK27" ca="1" si="230">HK17*(1 + NORMINV(RAND(), $D$4, $D$5))</f>
        <v>58.7195502298907</v>
      </c>
      <c r="HL18" s="90">
        <f t="shared" ref="HL18:HL27" ca="1" si="231">HL17*(1 + NORMINV(RAND(), $D$4, $D$5))</f>
        <v>100.9518678524325</v>
      </c>
      <c r="HM18" s="90">
        <f t="shared" ref="HM18:HM27" ca="1" si="232">HM17*(1 + NORMINV(RAND(), $D$4, $D$5))</f>
        <v>77.128354281937462</v>
      </c>
      <c r="HN18" s="90">
        <f t="shared" ref="HN18:HN27" ca="1" si="233">HN17*(1 + NORMINV(RAND(), $D$4, $D$5))</f>
        <v>102.2936003441656</v>
      </c>
      <c r="HO18" s="90">
        <f t="shared" ref="HO18:HO27" ca="1" si="234">HO17*(1 + NORMINV(RAND(), $D$4, $D$5))</f>
        <v>94.769703200832708</v>
      </c>
      <c r="HP18" s="90">
        <f t="shared" ref="HP18:HP27" ca="1" si="235">HP17*(1 + NORMINV(RAND(), $D$4, $D$5))</f>
        <v>69.700681746797514</v>
      </c>
      <c r="HQ18" s="90">
        <f t="shared" ref="HQ18:HQ27" ca="1" si="236">HQ17*(1 + NORMINV(RAND(), $D$4, $D$5))</f>
        <v>85.029321958625872</v>
      </c>
      <c r="HR18" s="90">
        <f t="shared" ref="HR18:HR27" ca="1" si="237">HR17*(1 + NORMINV(RAND(), $D$4, $D$5))</f>
        <v>60.851250256365169</v>
      </c>
      <c r="HS18" s="90">
        <f t="shared" ref="HS18:HS27" ca="1" si="238">HS17*(1 + NORMINV(RAND(), $D$4, $D$5))</f>
        <v>20.598228992536953</v>
      </c>
      <c r="HT18" s="90">
        <f t="shared" ref="HT18:HT27" ca="1" si="239">HT17*(1 + NORMINV(RAND(), $D$4, $D$5))</f>
        <v>84.6785492772852</v>
      </c>
      <c r="HU18" s="90">
        <f t="shared" ref="HU18:HU27" ca="1" si="240">HU17*(1 + NORMINV(RAND(), $D$4, $D$5))</f>
        <v>80.522335136350733</v>
      </c>
      <c r="HV18" s="90">
        <f t="shared" ref="HV18:HV27" ca="1" si="241">HV17*(1 + NORMINV(RAND(), $D$4, $D$5))</f>
        <v>72.735078717864539</v>
      </c>
      <c r="HW18" s="90">
        <f t="shared" ref="HW18:HW27" ca="1" si="242">HW17*(1 + NORMINV(RAND(), $D$4, $D$5))</f>
        <v>48.444373232672653</v>
      </c>
      <c r="HX18" s="90">
        <f t="shared" ref="HX18:HX27" ca="1" si="243">HX17*(1 + NORMINV(RAND(), $D$4, $D$5))</f>
        <v>67.513717119567048</v>
      </c>
      <c r="HY18" s="90">
        <f t="shared" ref="HY18:HY27" ca="1" si="244">HY17*(1 + NORMINV(RAND(), $D$4, $D$5))</f>
        <v>85.682288014268778</v>
      </c>
      <c r="HZ18" s="90">
        <f t="shared" ref="HZ18:HZ27" ca="1" si="245">HZ17*(1 + NORMINV(RAND(), $D$4, $D$5))</f>
        <v>58.510551567888854</v>
      </c>
      <c r="IA18" s="90">
        <f t="shared" ref="IA18:IA27" ca="1" si="246">IA17*(1 + NORMINV(RAND(), $D$4, $D$5))</f>
        <v>47.937867891943029</v>
      </c>
      <c r="IB18" s="90">
        <f t="shared" ref="IB18:IB27" ca="1" si="247">IB17*(1 + NORMINV(RAND(), $D$4, $D$5))</f>
        <v>95.298335906192804</v>
      </c>
      <c r="IC18" s="90">
        <f t="shared" ref="IC18:IC27" ca="1" si="248">IC17*(1 + NORMINV(RAND(), $D$4, $D$5))</f>
        <v>30.974338115998041</v>
      </c>
      <c r="ID18" s="90">
        <f t="shared" ref="ID18:ID27" ca="1" si="249">ID17*(1 + NORMINV(RAND(), $D$4, $D$5))</f>
        <v>35.61956874363505</v>
      </c>
      <c r="IE18" s="90">
        <f t="shared" ref="IE18:IE27" ca="1" si="250">IE17*(1 + NORMINV(RAND(), $D$4, $D$5))</f>
        <v>61.852379925970929</v>
      </c>
      <c r="IF18" s="90">
        <f t="shared" ref="IF18:IF27" ca="1" si="251">IF17*(1 + NORMINV(RAND(), $D$4, $D$5))</f>
        <v>91.223560032328194</v>
      </c>
      <c r="IG18" s="90">
        <f t="shared" ref="IG18:IG27" ca="1" si="252">IG17*(1 + NORMINV(RAND(), $D$4, $D$5))</f>
        <v>74.982653400755311</v>
      </c>
      <c r="IH18" s="90">
        <f t="shared" ref="IH18:IH27" ca="1" si="253">IH17*(1 + NORMINV(RAND(), $D$4, $D$5))</f>
        <v>67.313998916308861</v>
      </c>
      <c r="II18" s="90">
        <f t="shared" ref="II18:II27" ca="1" si="254">II17*(1 + NORMINV(RAND(), $D$4, $D$5))</f>
        <v>23.41223671296197</v>
      </c>
      <c r="IJ18" s="90">
        <f t="shared" ref="IJ18:IJ27" ca="1" si="255">IJ17*(1 + NORMINV(RAND(), $D$4, $D$5))</f>
        <v>31.274943055337403</v>
      </c>
      <c r="IK18" s="90">
        <f t="shared" ref="IK18:IK27" ca="1" si="256">IK17*(1 + NORMINV(RAND(), $D$4, $D$5))</f>
        <v>52.377361623709376</v>
      </c>
      <c r="IL18" s="90">
        <f t="shared" ref="IL18:IL27" ca="1" si="257">IL17*(1 + NORMINV(RAND(), $D$4, $D$5))</f>
        <v>96.667739706172952</v>
      </c>
      <c r="IM18" s="90">
        <f t="shared" ref="IM18:IM27" ca="1" si="258">IM17*(1 + NORMINV(RAND(), $D$4, $D$5))</f>
        <v>75.911903642458739</v>
      </c>
      <c r="IN18" s="90">
        <f t="shared" ref="IN18:IN27" ca="1" si="259">IN17*(1 + NORMINV(RAND(), $D$4, $D$5))</f>
        <v>66.245956144092744</v>
      </c>
      <c r="IO18" s="90">
        <f t="shared" ref="IO18:IO27" ca="1" si="260">IO17*(1 + NORMINV(RAND(), $D$4, $D$5))</f>
        <v>44.953300373016617</v>
      </c>
      <c r="IP18" s="90">
        <f t="shared" ref="IP18:IP27" ca="1" si="261">IP17*(1 + NORMINV(RAND(), $D$4, $D$5))</f>
        <v>80.387611342533518</v>
      </c>
      <c r="IQ18" s="90">
        <f t="shared" ref="IQ18:IQ27" ca="1" si="262">IQ17*(1 + NORMINV(RAND(), $D$4, $D$5))</f>
        <v>79.257758241617907</v>
      </c>
      <c r="IR18" s="90">
        <f t="shared" ref="IR18:IR27" ca="1" si="263">IR17*(1 + NORMINV(RAND(), $D$4, $D$5))</f>
        <v>69.913771762711036</v>
      </c>
      <c r="IS18" s="90">
        <f t="shared" ref="IS18:IS27" ca="1" si="264">IS17*(1 + NORMINV(RAND(), $D$4, $D$5))</f>
        <v>50.152373538995512</v>
      </c>
      <c r="IT18" s="90">
        <f t="shared" ref="IT18:IT27" ca="1" si="265">IT17*(1 + NORMINV(RAND(), $D$4, $D$5))</f>
        <v>72.763414709602273</v>
      </c>
      <c r="IU18" s="90">
        <f t="shared" ref="IU18:IU27" ca="1" si="266">IU17*(1 + NORMINV(RAND(), $D$4, $D$5))</f>
        <v>94.690569729027544</v>
      </c>
      <c r="IV18" s="90">
        <f t="shared" ref="IV18:IV27" ca="1" si="267">IV17*(1 + NORMINV(RAND(), $D$4, $D$5))</f>
        <v>20.790428385021151</v>
      </c>
      <c r="IW18" s="90">
        <f t="shared" ref="IW18:IW27" ca="1" si="268">IW17*(1 + NORMINV(RAND(), $D$4, $D$5))</f>
        <v>42.282107786650727</v>
      </c>
      <c r="IX18" s="90">
        <f t="shared" ref="IX18:IX27" ca="1" si="269">IX17*(1 + NORMINV(RAND(), $D$4, $D$5))</f>
        <v>42.30631542117785</v>
      </c>
      <c r="IY18" s="90">
        <f t="shared" ref="IY18:IY27" ca="1" si="270">IY17*(1 + NORMINV(RAND(), $D$4, $D$5))</f>
        <v>82.64895707868709</v>
      </c>
      <c r="IZ18" s="90">
        <f t="shared" ref="IZ18:IZ27" ca="1" si="271">IZ17*(1 + NORMINV(RAND(), $D$4, $D$5))</f>
        <v>82.851940060573753</v>
      </c>
      <c r="JA18" s="90">
        <f t="shared" ref="JA18:JA27" ca="1" si="272">JA17*(1 + NORMINV(RAND(), $D$4, $D$5))</f>
        <v>54.783133889997643</v>
      </c>
      <c r="JB18" s="90">
        <f t="shared" ref="JB18:JB27" ca="1" si="273">JB17*(1 + NORMINV(RAND(), $D$4, $D$5))</f>
        <v>65.270265400174623</v>
      </c>
      <c r="JC18" s="90">
        <f t="shared" ref="JC18:JC27" ca="1" si="274">JC17*(1 + NORMINV(RAND(), $D$4, $D$5))</f>
        <v>122.33964511332965</v>
      </c>
      <c r="JD18" s="90">
        <f t="shared" ref="JD18:JD27" ca="1" si="275">JD17*(1 + NORMINV(RAND(), $D$4, $D$5))</f>
        <v>37.901858851449283</v>
      </c>
      <c r="JE18" s="90">
        <f t="shared" ref="JE18:JE27" ca="1" si="276">JE17*(1 + NORMINV(RAND(), $D$4, $D$5))</f>
        <v>113.89945206393256</v>
      </c>
      <c r="JF18" s="90">
        <f t="shared" ref="JF18:JF27" ca="1" si="277">JF17*(1 + NORMINV(RAND(), $D$4, $D$5))</f>
        <v>81.33117250348451</v>
      </c>
      <c r="JG18" s="90">
        <f t="shared" ref="JG18:JG27" ca="1" si="278">JG17*(1 + NORMINV(RAND(), $D$4, $D$5))</f>
        <v>65.572327901644002</v>
      </c>
      <c r="JH18" s="90">
        <f t="shared" ref="JH18:JH27" ca="1" si="279">JH17*(1 + NORMINV(RAND(), $D$4, $D$5))</f>
        <v>35.101703500030645</v>
      </c>
      <c r="JI18" s="90">
        <f t="shared" ref="JI18:JI27" ca="1" si="280">JI17*(1 + NORMINV(RAND(), $D$4, $D$5))</f>
        <v>60.213843329402025</v>
      </c>
      <c r="JJ18" s="90">
        <f t="shared" ref="JJ18:JJ27" ca="1" si="281">JJ17*(1 + NORMINV(RAND(), $D$4, $D$5))</f>
        <v>58.060135346532476</v>
      </c>
      <c r="JK18" s="90">
        <f t="shared" ref="JK18:JK27" ca="1" si="282">JK17*(1 + NORMINV(RAND(), $D$4, $D$5))</f>
        <v>45.087351319728121</v>
      </c>
      <c r="JL18" s="90">
        <f t="shared" ref="JL18:JL27" ca="1" si="283">JL17*(1 + NORMINV(RAND(), $D$4, $D$5))</f>
        <v>83.628618799160094</v>
      </c>
      <c r="JM18" s="90">
        <f t="shared" ref="JM18:JM27" ca="1" si="284">JM17*(1 + NORMINV(RAND(), $D$4, $D$5))</f>
        <v>74.138939751997086</v>
      </c>
      <c r="JN18" s="90">
        <f t="shared" ref="JN18:JN27" ca="1" si="285">JN17*(1 + NORMINV(RAND(), $D$4, $D$5))</f>
        <v>76.017103915378584</v>
      </c>
      <c r="JO18" s="90">
        <f t="shared" ref="JO18:JO27" ca="1" si="286">JO17*(1 + NORMINV(RAND(), $D$4, $D$5))</f>
        <v>26.047582860522983</v>
      </c>
      <c r="JP18" s="90">
        <f t="shared" ref="JP18:JP27" ca="1" si="287">JP17*(1 + NORMINV(RAND(), $D$4, $D$5))</f>
        <v>21.488834816366115</v>
      </c>
      <c r="JQ18" s="90">
        <f t="shared" ref="JQ18:JQ27" ca="1" si="288">JQ17*(1 + NORMINV(RAND(), $D$4, $D$5))</f>
        <v>101.01212705262589</v>
      </c>
      <c r="JR18" s="90">
        <f t="shared" ref="JR18:JR27" ca="1" si="289">JR17*(1 + NORMINV(RAND(), $D$4, $D$5))</f>
        <v>58.933119313032648</v>
      </c>
      <c r="JS18" s="90">
        <f t="shared" ref="JS18:JS27" ca="1" si="290">JS17*(1 + NORMINV(RAND(), $D$4, $D$5))</f>
        <v>82.248918819370203</v>
      </c>
      <c r="JT18" s="90">
        <f t="shared" ref="JT18:JT27" ca="1" si="291">JT17*(1 + NORMINV(RAND(), $D$4, $D$5))</f>
        <v>45.442557232846816</v>
      </c>
      <c r="JU18" s="90">
        <f t="shared" ref="JU18:JU27" ca="1" si="292">JU17*(1 + NORMINV(RAND(), $D$4, $D$5))</f>
        <v>73.49953913601037</v>
      </c>
      <c r="JV18" s="90">
        <f t="shared" ref="JV18:JV27" ca="1" si="293">JV17*(1 + NORMINV(RAND(), $D$4, $D$5))</f>
        <v>103.40740418109144</v>
      </c>
      <c r="JW18" s="90">
        <f t="shared" ref="JW18:JW27" ca="1" si="294">JW17*(1 + NORMINV(RAND(), $D$4, $D$5))</f>
        <v>91.199077501033472</v>
      </c>
      <c r="JX18" s="90">
        <f t="shared" ref="JX18:JX27" ca="1" si="295">JX17*(1 + NORMINV(RAND(), $D$4, $D$5))</f>
        <v>95.076120810059123</v>
      </c>
      <c r="JY18" s="90">
        <f t="shared" ref="JY18:JY27" ca="1" si="296">JY17*(1 + NORMINV(RAND(), $D$4, $D$5))</f>
        <v>92.307455156826663</v>
      </c>
      <c r="JZ18" s="90">
        <f t="shared" ref="JZ18:JZ27" ca="1" si="297">JZ17*(1 + NORMINV(RAND(), $D$4, $D$5))</f>
        <v>65.4112318235385</v>
      </c>
      <c r="KA18" s="90">
        <f t="shared" ref="KA18:KA27" ca="1" si="298">KA17*(1 + NORMINV(RAND(), $D$4, $D$5))</f>
        <v>63.025047391846876</v>
      </c>
      <c r="KB18" s="90">
        <f t="shared" ref="KB18:KB27" ca="1" si="299">KB17*(1 + NORMINV(RAND(), $D$4, $D$5))</f>
        <v>62.390628960917923</v>
      </c>
      <c r="KC18" s="90">
        <f t="shared" ref="KC18:KC27" ca="1" si="300">KC17*(1 + NORMINV(RAND(), $D$4, $D$5))</f>
        <v>57.862307262523693</v>
      </c>
      <c r="KD18" s="90">
        <f t="shared" ref="KD18:KD27" ca="1" si="301">KD17*(1 + NORMINV(RAND(), $D$4, $D$5))</f>
        <v>43.744920593359119</v>
      </c>
      <c r="KE18" s="90">
        <f t="shared" ref="KE18:KE27" ca="1" si="302">KE17*(1 + NORMINV(RAND(), $D$4, $D$5))</f>
        <v>95.649287213852389</v>
      </c>
      <c r="KF18" s="90">
        <f t="shared" ref="KF18:KF27" ca="1" si="303">KF17*(1 + NORMINV(RAND(), $D$4, $D$5))</f>
        <v>54.899878674590695</v>
      </c>
      <c r="KG18" s="90">
        <f t="shared" ref="KG18:KG27" ca="1" si="304">KG17*(1 + NORMINV(RAND(), $D$4, $D$5))</f>
        <v>90.450559355904915</v>
      </c>
      <c r="KH18" s="90">
        <f t="shared" ref="KH18:KH27" ca="1" si="305">KH17*(1 + NORMINV(RAND(), $D$4, $D$5))</f>
        <v>78.918205363719082</v>
      </c>
      <c r="KI18" s="90">
        <f t="shared" ref="KI18:KI27" ca="1" si="306">KI17*(1 + NORMINV(RAND(), $D$4, $D$5))</f>
        <v>132.86690695467036</v>
      </c>
      <c r="KJ18" s="90">
        <f t="shared" ref="KJ18:KJ27" ca="1" si="307">KJ17*(1 + NORMINV(RAND(), $D$4, $D$5))</f>
        <v>54.741353445997618</v>
      </c>
      <c r="KK18" s="90">
        <f t="shared" ref="KK18:KK27" ca="1" si="308">KK17*(1 + NORMINV(RAND(), $D$4, $D$5))</f>
        <v>32.621814911227958</v>
      </c>
      <c r="KL18" s="90">
        <f t="shared" ref="KL18:KL27" ca="1" si="309">KL17*(1 + NORMINV(RAND(), $D$4, $D$5))</f>
        <v>17.902105233237567</v>
      </c>
      <c r="KM18" s="90">
        <f t="shared" ref="KM18:KM27" ca="1" si="310">KM17*(1 + NORMINV(RAND(), $D$4, $D$5))</f>
        <v>33.231030404018149</v>
      </c>
      <c r="KN18" s="90">
        <f t="shared" ref="KN18:KN27" ca="1" si="311">KN17*(1 + NORMINV(RAND(), $D$4, $D$5))</f>
        <v>81.948588068597104</v>
      </c>
      <c r="KO18" s="90">
        <f t="shared" ref="KO18:KO27" ca="1" si="312">KO17*(1 + NORMINV(RAND(), $D$4, $D$5))</f>
        <v>90.294240452361436</v>
      </c>
      <c r="KP18" s="90">
        <f t="shared" ref="KP18:KP27" ca="1" si="313">KP17*(1 + NORMINV(RAND(), $D$4, $D$5))</f>
        <v>63.551754341778405</v>
      </c>
      <c r="KQ18" s="90">
        <f t="shared" ref="KQ18:KQ27" ca="1" si="314">KQ17*(1 + NORMINV(RAND(), $D$4, $D$5))</f>
        <v>40.751256380434818</v>
      </c>
      <c r="KR18" s="90">
        <f t="shared" ref="KR18:KR27" ca="1" si="315">KR17*(1 + NORMINV(RAND(), $D$4, $D$5))</f>
        <v>56.702914810003719</v>
      </c>
      <c r="KS18" s="90">
        <f t="shared" ref="KS18:KS27" ca="1" si="316">KS17*(1 + NORMINV(RAND(), $D$4, $D$5))</f>
        <v>90.156810273324467</v>
      </c>
      <c r="KT18" s="90">
        <f t="shared" ref="KT18:KT27" ca="1" si="317">KT17*(1 + NORMINV(RAND(), $D$4, $D$5))</f>
        <v>83.957597183997095</v>
      </c>
      <c r="KU18" s="90">
        <f t="shared" ref="KU18:KU27" ca="1" si="318">KU17*(1 + NORMINV(RAND(), $D$4, $D$5))</f>
        <v>53.05171103581209</v>
      </c>
      <c r="KV18" s="90">
        <f t="shared" ref="KV18:KV27" ca="1" si="319">KV17*(1 + NORMINV(RAND(), $D$4, $D$5))</f>
        <v>57.342968450450101</v>
      </c>
      <c r="KW18" s="90">
        <f t="shared" ref="KW18:KW27" ca="1" si="320">KW17*(1 + NORMINV(RAND(), $D$4, $D$5))</f>
        <v>101.13257232530707</v>
      </c>
      <c r="KX18" s="90">
        <f t="shared" ref="KX18:KX27" ca="1" si="321">KX17*(1 + NORMINV(RAND(), $D$4, $D$5))</f>
        <v>41.420200684585282</v>
      </c>
      <c r="KY18" s="90">
        <f t="shared" ref="KY18:KY27" ca="1" si="322">KY17*(1 + NORMINV(RAND(), $D$4, $D$5))</f>
        <v>97.599969689436321</v>
      </c>
      <c r="KZ18" s="90">
        <f t="shared" ref="KZ18:KZ27" ca="1" si="323">KZ17*(1 + NORMINV(RAND(), $D$4, $D$5))</f>
        <v>94.691432027989364</v>
      </c>
      <c r="LA18" s="90">
        <f t="shared" ref="LA18:LA27" ca="1" si="324">LA17*(1 + NORMINV(RAND(), $D$4, $D$5))</f>
        <v>57.702052908977201</v>
      </c>
      <c r="LB18" s="90">
        <f t="shared" ref="LB18:LB27" ca="1" si="325">LB17*(1 + NORMINV(RAND(), $D$4, $D$5))</f>
        <v>66.175204836775634</v>
      </c>
      <c r="LC18" s="90">
        <f t="shared" ref="LC18:LC27" ca="1" si="326">LC17*(1 + NORMINV(RAND(), $D$4, $D$5))</f>
        <v>95.82264455648945</v>
      </c>
      <c r="LD18" s="90">
        <f t="shared" ref="LD18:LD27" ca="1" si="327">LD17*(1 + NORMINV(RAND(), $D$4, $D$5))</f>
        <v>28.287338926250204</v>
      </c>
      <c r="LE18" s="90">
        <f t="shared" ref="LE18:LE27" ca="1" si="328">LE17*(1 + NORMINV(RAND(), $D$4, $D$5))</f>
        <v>32.189654857513624</v>
      </c>
      <c r="LF18" s="90">
        <f t="shared" ref="LF18:LF27" ca="1" si="329">LF17*(1 + NORMINV(RAND(), $D$4, $D$5))</f>
        <v>45.447100339281029</v>
      </c>
      <c r="LG18" s="90">
        <f t="shared" ref="LG18:LG27" ca="1" si="330">LG17*(1 + NORMINV(RAND(), $D$4, $D$5))</f>
        <v>71.078055307391097</v>
      </c>
      <c r="LH18" s="90">
        <f t="shared" ref="LH18:LH27" ca="1" si="331">LH17*(1 + NORMINV(RAND(), $D$4, $D$5))</f>
        <v>52.371610014116968</v>
      </c>
      <c r="LI18" s="90">
        <f t="shared" ref="LI18:LI27" ca="1" si="332">LI17*(1 + NORMINV(RAND(), $D$4, $D$5))</f>
        <v>81.52384561867261</v>
      </c>
      <c r="LJ18" s="90">
        <f t="shared" ref="LJ18:LJ27" ca="1" si="333">LJ17*(1 + NORMINV(RAND(), $D$4, $D$5))</f>
        <v>72.463492080699965</v>
      </c>
      <c r="LK18" s="90">
        <f t="shared" ref="LK18:LK27" ca="1" si="334">LK17*(1 + NORMINV(RAND(), $D$4, $D$5))</f>
        <v>72.886453543134422</v>
      </c>
      <c r="LL18" s="90">
        <f t="shared" ref="LL18:LL27" ca="1" si="335">LL17*(1 + NORMINV(RAND(), $D$4, $D$5))</f>
        <v>69.787192863341389</v>
      </c>
      <c r="LM18" s="90">
        <f t="shared" ref="LM18:LM27" ca="1" si="336">LM17*(1 + NORMINV(RAND(), $D$4, $D$5))</f>
        <v>57.124287173699919</v>
      </c>
      <c r="LN18" s="90">
        <f t="shared" ref="LN18:LN27" ca="1" si="337">LN17*(1 + NORMINV(RAND(), $D$4, $D$5))</f>
        <v>27.848845896266386</v>
      </c>
      <c r="LO18" s="90">
        <f t="shared" ref="LO18:LO27" ca="1" si="338">LO17*(1 + NORMINV(RAND(), $D$4, $D$5))</f>
        <v>49.277670827364602</v>
      </c>
      <c r="LP18" s="90">
        <f t="shared" ref="LP18:LP27" ca="1" si="339">LP17*(1 + NORMINV(RAND(), $D$4, $D$5))</f>
        <v>20.41945350140589</v>
      </c>
      <c r="LQ18" s="90">
        <f t="shared" ref="LQ18:LQ27" ca="1" si="340">LQ17*(1 + NORMINV(RAND(), $D$4, $D$5))</f>
        <v>102.89246859754759</v>
      </c>
      <c r="LR18" s="90">
        <f t="shared" ref="LR18:LR27" ca="1" si="341">LR17*(1 + NORMINV(RAND(), $D$4, $D$5))</f>
        <v>78.980147191110049</v>
      </c>
      <c r="LS18" s="90">
        <f t="shared" ref="LS18:LS27" ca="1" si="342">LS17*(1 + NORMINV(RAND(), $D$4, $D$5))</f>
        <v>85.66459398566451</v>
      </c>
      <c r="LT18" s="90">
        <f t="shared" ref="LT18:LT27" ca="1" si="343">LT17*(1 + NORMINV(RAND(), $D$4, $D$5))</f>
        <v>24.779335400487334</v>
      </c>
      <c r="LU18" s="90">
        <f t="shared" ref="LU18:LU27" ca="1" si="344">LU17*(1 + NORMINV(RAND(), $D$4, $D$5))</f>
        <v>76.190286252496136</v>
      </c>
      <c r="LV18" s="90">
        <f t="shared" ref="LV18:LV27" ca="1" si="345">LV17*(1 + NORMINV(RAND(), $D$4, $D$5))</f>
        <v>113.41241227196483</v>
      </c>
      <c r="LW18" s="90">
        <f t="shared" ref="LW18:LW27" ca="1" si="346">LW17*(1 + NORMINV(RAND(), $D$4, $D$5))</f>
        <v>65.001816491837161</v>
      </c>
      <c r="LX18" s="90">
        <f t="shared" ref="LX18:LX27" ca="1" si="347">LX17*(1 + NORMINV(RAND(), $D$4, $D$5))</f>
        <v>48.057940603472439</v>
      </c>
      <c r="LY18" s="90">
        <f t="shared" ref="LY18:LY27" ca="1" si="348">LY17*(1 + NORMINV(RAND(), $D$4, $D$5))</f>
        <v>71.468674554580332</v>
      </c>
      <c r="LZ18" s="90">
        <f t="shared" ref="LZ18:LZ27" ca="1" si="349">LZ17*(1 + NORMINV(RAND(), $D$4, $D$5))</f>
        <v>73.378659580752711</v>
      </c>
      <c r="MA18" s="90">
        <f t="shared" ref="MA18:MA27" ca="1" si="350">MA17*(1 + NORMINV(RAND(), $D$4, $D$5))</f>
        <v>51.831536232936386</v>
      </c>
      <c r="MB18" s="90">
        <f t="shared" ref="MB18:MB27" ca="1" si="351">MB17*(1 + NORMINV(RAND(), $D$4, $D$5))</f>
        <v>35.896738552608497</v>
      </c>
      <c r="MC18" s="90">
        <f t="shared" ref="MC18:MC27" ca="1" si="352">MC17*(1 + NORMINV(RAND(), $D$4, $D$5))</f>
        <v>77.426641528938632</v>
      </c>
      <c r="MD18" s="90">
        <f t="shared" ref="MD18:MD27" ca="1" si="353">MD17*(1 + NORMINV(RAND(), $D$4, $D$5))</f>
        <v>94.756900786661433</v>
      </c>
      <c r="ME18" s="90">
        <f t="shared" ref="ME18:ME27" ca="1" si="354">ME17*(1 + NORMINV(RAND(), $D$4, $D$5))</f>
        <v>34.842819461485291</v>
      </c>
      <c r="MF18" s="90">
        <f t="shared" ref="MF18:MF27" ca="1" si="355">MF17*(1 + NORMINV(RAND(), $D$4, $D$5))</f>
        <v>71.245398117196814</v>
      </c>
      <c r="MG18" s="90">
        <f t="shared" ref="MG18:MG27" ca="1" si="356">MG17*(1 + NORMINV(RAND(), $D$4, $D$5))</f>
        <v>70.120438903173124</v>
      </c>
      <c r="MH18" s="90">
        <f t="shared" ref="MH18:MH27" ca="1" si="357">MH17*(1 + NORMINV(RAND(), $D$4, $D$5))</f>
        <v>70.876608970427071</v>
      </c>
      <c r="MI18" s="90">
        <f t="shared" ref="MI18:MI27" ca="1" si="358">MI17*(1 + NORMINV(RAND(), $D$4, $D$5))</f>
        <v>40.64529240982214</v>
      </c>
      <c r="MJ18" s="90">
        <f t="shared" ref="MJ18:MJ27" ca="1" si="359">MJ17*(1 + NORMINV(RAND(), $D$4, $D$5))</f>
        <v>32.991631882658773</v>
      </c>
      <c r="MK18" s="90">
        <f t="shared" ref="MK18:MK27" ca="1" si="360">MK17*(1 + NORMINV(RAND(), $D$4, $D$5))</f>
        <v>87.825598512882877</v>
      </c>
      <c r="ML18" s="90">
        <f t="shared" ref="ML18:ML27" ca="1" si="361">ML17*(1 + NORMINV(RAND(), $D$4, $D$5))</f>
        <v>122.96180096982155</v>
      </c>
      <c r="MM18" s="90">
        <f t="shared" ref="MM18:MM27" ca="1" si="362">MM17*(1 + NORMINV(RAND(), $D$4, $D$5))</f>
        <v>52.402849652065321</v>
      </c>
      <c r="MN18" s="90">
        <f t="shared" ref="MN18:MN27" ca="1" si="363">MN17*(1 + NORMINV(RAND(), $D$4, $D$5))</f>
        <v>82.423652582771595</v>
      </c>
      <c r="MO18" s="90">
        <f t="shared" ref="MO18:MO27" ca="1" si="364">MO17*(1 + NORMINV(RAND(), $D$4, $D$5))</f>
        <v>92.576461560898863</v>
      </c>
      <c r="MP18" s="90">
        <f t="shared" ref="MP18:MP27" ca="1" si="365">MP17*(1 + NORMINV(RAND(), $D$4, $D$5))</f>
        <v>112.96550186981972</v>
      </c>
      <c r="MQ18" s="90">
        <f t="shared" ref="MQ18:MQ27" ca="1" si="366">MQ17*(1 + NORMINV(RAND(), $D$4, $D$5))</f>
        <v>41.433933320463709</v>
      </c>
      <c r="MR18" s="90">
        <f t="shared" ref="MR18:MR27" ca="1" si="367">MR17*(1 + NORMINV(RAND(), $D$4, $D$5))</f>
        <v>82.864958457516423</v>
      </c>
      <c r="MS18" s="90">
        <f t="shared" ref="MS18:MS27" ca="1" si="368">MS17*(1 + NORMINV(RAND(), $D$4, $D$5))</f>
        <v>72.472135457007369</v>
      </c>
      <c r="MT18" s="90">
        <f t="shared" ref="MT18:MT27" ca="1" si="369">MT17*(1 + NORMINV(RAND(), $D$4, $D$5))</f>
        <v>40.213378862017819</v>
      </c>
      <c r="MU18" s="90">
        <f t="shared" ref="MU18:MU27" ca="1" si="370">MU17*(1 + NORMINV(RAND(), $D$4, $D$5))</f>
        <v>61.76804204481676</v>
      </c>
      <c r="MV18" s="90">
        <f t="shared" ref="MV18:MV27" ca="1" si="371">MV17*(1 + NORMINV(RAND(), $D$4, $D$5))</f>
        <v>83.629003259998044</v>
      </c>
      <c r="MW18" s="90">
        <f t="shared" ref="MW18:MW27" ca="1" si="372">MW17*(1 + NORMINV(RAND(), $D$4, $D$5))</f>
        <v>44.354777025376947</v>
      </c>
      <c r="MX18" s="90">
        <f t="shared" ref="MX18:MX27" ca="1" si="373">MX17*(1 + NORMINV(RAND(), $D$4, $D$5))</f>
        <v>58.463339791477111</v>
      </c>
      <c r="MY18" s="90">
        <f t="shared" ref="MY18:MY27" ca="1" si="374">MY17*(1 + NORMINV(RAND(), $D$4, $D$5))</f>
        <v>101.41135908734786</v>
      </c>
      <c r="MZ18" s="90">
        <f t="shared" ref="MZ18:MZ27" ca="1" si="375">MZ17*(1 + NORMINV(RAND(), $D$4, $D$5))</f>
        <v>96.075450460899617</v>
      </c>
      <c r="NA18" s="90">
        <f t="shared" ref="NA18:NA27" ca="1" si="376">NA17*(1 + NORMINV(RAND(), $D$4, $D$5))</f>
        <v>77.255572907856418</v>
      </c>
      <c r="NB18" s="90">
        <f t="shared" ref="NB18:NB27" ca="1" si="377">NB17*(1 + NORMINV(RAND(), $D$4, $D$5))</f>
        <v>83.809934709177398</v>
      </c>
      <c r="NC18" s="90">
        <f t="shared" ref="NC18:NC27" ca="1" si="378">NC17*(1 + NORMINV(RAND(), $D$4, $D$5))</f>
        <v>15.242195482182977</v>
      </c>
      <c r="ND18" s="90">
        <f t="shared" ref="ND18:ND27" ca="1" si="379">ND17*(1 + NORMINV(RAND(), $D$4, $D$5))</f>
        <v>48.13333901848781</v>
      </c>
      <c r="NE18" s="90">
        <f t="shared" ref="NE18:NE27" ca="1" si="380">NE17*(1 + NORMINV(RAND(), $D$4, $D$5))</f>
        <v>49.961463285338468</v>
      </c>
      <c r="NF18" s="90">
        <f t="shared" ref="NF18:NF27" ca="1" si="381">NF17*(1 + NORMINV(RAND(), $D$4, $D$5))</f>
        <v>54.072287349537284</v>
      </c>
      <c r="NG18" s="90">
        <f t="shared" ref="NG18:NG27" ca="1" si="382">NG17*(1 + NORMINV(RAND(), $D$4, $D$5))</f>
        <v>35.612716732811315</v>
      </c>
      <c r="NH18" s="90">
        <f t="shared" ref="NH18:NH27" ca="1" si="383">NH17*(1 + NORMINV(RAND(), $D$4, $D$5))</f>
        <v>83.194543978109166</v>
      </c>
      <c r="NI18" s="90">
        <f t="shared" ref="NI18:NI27" ca="1" si="384">NI17*(1 + NORMINV(RAND(), $D$4, $D$5))</f>
        <v>51.65047026538717</v>
      </c>
      <c r="NJ18" s="90">
        <f t="shared" ref="NJ18:NJ27" ca="1" si="385">NJ17*(1 + NORMINV(RAND(), $D$4, $D$5))</f>
        <v>84.32055213305722</v>
      </c>
      <c r="NK18" s="90">
        <f t="shared" ref="NK18:NK27" ca="1" si="386">NK17*(1 + NORMINV(RAND(), $D$4, $D$5))</f>
        <v>67.685424901235208</v>
      </c>
      <c r="NL18" s="90">
        <f t="shared" ref="NL18:NL27" ca="1" si="387">NL17*(1 + NORMINV(RAND(), $D$4, $D$5))</f>
        <v>116.67442232104516</v>
      </c>
      <c r="NM18" s="90">
        <f t="shared" ref="NM18:NM27" ca="1" si="388">NM17*(1 + NORMINV(RAND(), $D$4, $D$5))</f>
        <v>85.488162661740446</v>
      </c>
      <c r="NN18" s="90">
        <f t="shared" ref="NN18:NN27" ca="1" si="389">NN17*(1 + NORMINV(RAND(), $D$4, $D$5))</f>
        <v>60.415753395909114</v>
      </c>
      <c r="NO18" s="90">
        <f t="shared" ref="NO18:NO27" ca="1" si="390">NO17*(1 + NORMINV(RAND(), $D$4, $D$5))</f>
        <v>121.147423978033</v>
      </c>
      <c r="NP18" s="90">
        <f t="shared" ref="NP18:NP27" ca="1" si="391">NP17*(1 + NORMINV(RAND(), $D$4, $D$5))</f>
        <v>46.578295477171508</v>
      </c>
      <c r="NQ18" s="90">
        <f t="shared" ref="NQ18:NQ27" ca="1" si="392">NQ17*(1 + NORMINV(RAND(), $D$4, $D$5))</f>
        <v>112.79392920318466</v>
      </c>
      <c r="NR18" s="90">
        <f t="shared" ref="NR18:NR27" ca="1" si="393">NR17*(1 + NORMINV(RAND(), $D$4, $D$5))</f>
        <v>33.883530205847556</v>
      </c>
      <c r="NS18" s="90">
        <f t="shared" ref="NS18:NS27" ca="1" si="394">NS17*(1 + NORMINV(RAND(), $D$4, $D$5))</f>
        <v>72.40101392718374</v>
      </c>
      <c r="NT18" s="90">
        <f t="shared" ref="NT18:NT27" ca="1" si="395">NT17*(1 + NORMINV(RAND(), $D$4, $D$5))</f>
        <v>89.644485951233918</v>
      </c>
      <c r="NU18" s="90">
        <f t="shared" ref="NU18:NU27" ca="1" si="396">NU17*(1 + NORMINV(RAND(), $D$4, $D$5))</f>
        <v>60.591201789705039</v>
      </c>
      <c r="NV18" s="90">
        <f t="shared" ref="NV18:NV27" ca="1" si="397">NV17*(1 + NORMINV(RAND(), $D$4, $D$5))</f>
        <v>87.815768347481452</v>
      </c>
      <c r="NW18" s="90">
        <f t="shared" ref="NW18:NW27" ca="1" si="398">NW17*(1 + NORMINV(RAND(), $D$4, $D$5))</f>
        <v>94.570731918988599</v>
      </c>
      <c r="NX18" s="90">
        <f t="shared" ref="NX18:NX27" ca="1" si="399">NX17*(1 + NORMINV(RAND(), $D$4, $D$5))</f>
        <v>69.190828083080675</v>
      </c>
      <c r="NY18" s="90">
        <f t="shared" ref="NY18:NY27" ca="1" si="400">NY17*(1 + NORMINV(RAND(), $D$4, $D$5))</f>
        <v>44.988751059436204</v>
      </c>
      <c r="NZ18" s="90">
        <f t="shared" ref="NZ18:NZ27" ca="1" si="401">NZ17*(1 + NORMINV(RAND(), $D$4, $D$5))</f>
        <v>90.039967324608668</v>
      </c>
      <c r="OA18" s="90">
        <f t="shared" ref="OA18:OA27" ca="1" si="402">OA17*(1 + NORMINV(RAND(), $D$4, $D$5))</f>
        <v>38.696767683670814</v>
      </c>
      <c r="OB18" s="90">
        <f t="shared" ref="OB18:OB27" ca="1" si="403">OB17*(1 + NORMINV(RAND(), $D$4, $D$5))</f>
        <v>120.2094712388993</v>
      </c>
      <c r="OC18" s="90">
        <f t="shared" ref="OC18:OC27" ca="1" si="404">OC17*(1 + NORMINV(RAND(), $D$4, $D$5))</f>
        <v>101.64693765409791</v>
      </c>
      <c r="OD18" s="90">
        <f t="shared" ref="OD18:OD27" ca="1" si="405">OD17*(1 + NORMINV(RAND(), $D$4, $D$5))</f>
        <v>78.954402919467782</v>
      </c>
      <c r="OE18" s="90">
        <f t="shared" ref="OE18:OE27" ca="1" si="406">OE17*(1 + NORMINV(RAND(), $D$4, $D$5))</f>
        <v>78.984310857843781</v>
      </c>
      <c r="OF18" s="90">
        <f t="shared" ref="OF18:OF27" ca="1" si="407">OF17*(1 + NORMINV(RAND(), $D$4, $D$5))</f>
        <v>70.056884010879543</v>
      </c>
      <c r="OG18" s="90">
        <f t="shared" ref="OG18:OG27" ca="1" si="408">OG17*(1 + NORMINV(RAND(), $D$4, $D$5))</f>
        <v>94.730566340405801</v>
      </c>
      <c r="OH18" s="90">
        <f t="shared" ref="OH18:OH27" ca="1" si="409">OH17*(1 + NORMINV(RAND(), $D$4, $D$5))</f>
        <v>61.739614947023476</v>
      </c>
      <c r="OI18" s="90">
        <f t="shared" ref="OI18:OI27" ca="1" si="410">OI17*(1 + NORMINV(RAND(), $D$4, $D$5))</f>
        <v>111.38966771105802</v>
      </c>
      <c r="OJ18" s="90">
        <f t="shared" ref="OJ18:OJ27" ca="1" si="411">OJ17*(1 + NORMINV(RAND(), $D$4, $D$5))</f>
        <v>65.745819675379451</v>
      </c>
      <c r="OK18" s="90">
        <f t="shared" ref="OK18:OK27" ca="1" si="412">OK17*(1 + NORMINV(RAND(), $D$4, $D$5))</f>
        <v>96.057702884383389</v>
      </c>
      <c r="OL18" s="90">
        <f t="shared" ref="OL18:OL27" ca="1" si="413">OL17*(1 + NORMINV(RAND(), $D$4, $D$5))</f>
        <v>83.760649780969544</v>
      </c>
      <c r="OM18" s="90">
        <f t="shared" ref="OM18:OM27" ca="1" si="414">OM17*(1 + NORMINV(RAND(), $D$4, $D$5))</f>
        <v>125.74563772128465</v>
      </c>
      <c r="ON18" s="90">
        <f t="shared" ref="ON18:ON27" ca="1" si="415">ON17*(1 + NORMINV(RAND(), $D$4, $D$5))</f>
        <v>46.52102777370223</v>
      </c>
      <c r="OO18" s="90">
        <f t="shared" ref="OO18:OO27" ca="1" si="416">OO17*(1 + NORMINV(RAND(), $D$4, $D$5))</f>
        <v>47.339614068998976</v>
      </c>
      <c r="OP18" s="90">
        <f t="shared" ref="OP18:OP27" ca="1" si="417">OP17*(1 + NORMINV(RAND(), $D$4, $D$5))</f>
        <v>14.578409211558867</v>
      </c>
      <c r="OQ18" s="90">
        <f t="shared" ref="OQ18:OQ27" ca="1" si="418">OQ17*(1 + NORMINV(RAND(), $D$4, $D$5))</f>
        <v>50.69303058165189</v>
      </c>
      <c r="OR18" s="90">
        <f t="shared" ref="OR18:OR27" ca="1" si="419">OR17*(1 + NORMINV(RAND(), $D$4, $D$5))</f>
        <v>88.480229345983744</v>
      </c>
      <c r="OS18" s="90">
        <f t="shared" ref="OS18:OS27" ca="1" si="420">OS17*(1 + NORMINV(RAND(), $D$4, $D$5))</f>
        <v>74.259347739154919</v>
      </c>
      <c r="OT18" s="90">
        <f t="shared" ref="OT18:OT27" ca="1" si="421">OT17*(1 + NORMINV(RAND(), $D$4, $D$5))</f>
        <v>87.711950318529432</v>
      </c>
      <c r="OU18" s="90">
        <f t="shared" ref="OU18:OU27" ca="1" si="422">OU17*(1 + NORMINV(RAND(), $D$4, $D$5))</f>
        <v>42.969408822101876</v>
      </c>
      <c r="OV18" s="90">
        <f t="shared" ref="OV18:OV27" ca="1" si="423">OV17*(1 + NORMINV(RAND(), $D$4, $D$5))</f>
        <v>97.531624810103992</v>
      </c>
      <c r="OW18" s="90">
        <f t="shared" ref="OW18:OW27" ca="1" si="424">OW17*(1 + NORMINV(RAND(), $D$4, $D$5))</f>
        <v>88.865335632118516</v>
      </c>
      <c r="OX18" s="90">
        <f t="shared" ref="OX18:OX27" ca="1" si="425">OX17*(1 + NORMINV(RAND(), $D$4, $D$5))</f>
        <v>36.783386473339441</v>
      </c>
      <c r="OY18" s="90">
        <f t="shared" ref="OY18:OY27" ca="1" si="426">OY17*(1 + NORMINV(RAND(), $D$4, $D$5))</f>
        <v>36.634074676259928</v>
      </c>
      <c r="OZ18" s="90">
        <f t="shared" ref="OZ18:OZ27" ca="1" si="427">OZ17*(1 + NORMINV(RAND(), $D$4, $D$5))</f>
        <v>47.038264103880593</v>
      </c>
      <c r="PA18" s="90">
        <f t="shared" ref="PA18:PA27" ca="1" si="428">PA17*(1 + NORMINV(RAND(), $D$4, $D$5))</f>
        <v>53.911433575333376</v>
      </c>
      <c r="PB18" s="90">
        <f t="shared" ref="PB18:PB27" ca="1" si="429">PB17*(1 + NORMINV(RAND(), $D$4, $D$5))</f>
        <v>59.29552223603546</v>
      </c>
      <c r="PC18" s="90">
        <f t="shared" ref="PC18:PC27" ca="1" si="430">PC17*(1 + NORMINV(RAND(), $D$4, $D$5))</f>
        <v>16.827930866802969</v>
      </c>
      <c r="PD18" s="90">
        <f t="shared" ref="PD18:PD27" ca="1" si="431">PD17*(1 + NORMINV(RAND(), $D$4, $D$5))</f>
        <v>106.17949096255705</v>
      </c>
      <c r="PE18" s="90">
        <f t="shared" ref="PE18:PE27" ca="1" si="432">PE17*(1 + NORMINV(RAND(), $D$4, $D$5))</f>
        <v>87.442605796481558</v>
      </c>
      <c r="PF18" s="90">
        <f t="shared" ref="PF18:PF27" ca="1" si="433">PF17*(1 + NORMINV(RAND(), $D$4, $D$5))</f>
        <v>63.828358911898093</v>
      </c>
      <c r="PG18" s="90">
        <f t="shared" ref="PG18:PG27" ca="1" si="434">PG17*(1 + NORMINV(RAND(), $D$4, $D$5))</f>
        <v>49.760016881094337</v>
      </c>
      <c r="PH18" s="90">
        <f t="shared" ref="PH18:PH27" ca="1" si="435">PH17*(1 + NORMINV(RAND(), $D$4, $D$5))</f>
        <v>110.38638266704697</v>
      </c>
      <c r="PI18" s="90">
        <f t="shared" ref="PI18:PI27" ca="1" si="436">PI17*(1 + NORMINV(RAND(), $D$4, $D$5))</f>
        <v>58.226900595432433</v>
      </c>
      <c r="PJ18" s="90">
        <f t="shared" ref="PJ18:PJ27" ca="1" si="437">PJ17*(1 + NORMINV(RAND(), $D$4, $D$5))</f>
        <v>120.42158844151056</v>
      </c>
      <c r="PK18" s="90">
        <f t="shared" ref="PK18:PK27" ca="1" si="438">PK17*(1 + NORMINV(RAND(), $D$4, $D$5))</f>
        <v>48.410235396383904</v>
      </c>
      <c r="PL18" s="90">
        <f t="shared" ref="PL18:PL27" ca="1" si="439">PL17*(1 + NORMINV(RAND(), $D$4, $D$5))</f>
        <v>50.426324918258032</v>
      </c>
      <c r="PM18" s="90">
        <f t="shared" ref="PM18:PM27" ca="1" si="440">PM17*(1 + NORMINV(RAND(), $D$4, $D$5))</f>
        <v>85.882229126002017</v>
      </c>
      <c r="PN18" s="90">
        <f t="shared" ref="PN18:PN27" ca="1" si="441">PN17*(1 + NORMINV(RAND(), $D$4, $D$5))</f>
        <v>16.005681483559837</v>
      </c>
      <c r="PO18" s="90">
        <f t="shared" ref="PO18:PO27" ca="1" si="442">PO17*(1 + NORMINV(RAND(), $D$4, $D$5))</f>
        <v>59.275264041687031</v>
      </c>
      <c r="PP18" s="90">
        <f t="shared" ref="PP18:PP27" ca="1" si="443">PP17*(1 + NORMINV(RAND(), $D$4, $D$5))</f>
        <v>49.804630052760913</v>
      </c>
      <c r="PQ18" s="90">
        <f t="shared" ref="PQ18:PQ27" ca="1" si="444">PQ17*(1 + NORMINV(RAND(), $D$4, $D$5))</f>
        <v>104.87325594309515</v>
      </c>
      <c r="PR18" s="90">
        <f t="shared" ref="PR18:PR27" ca="1" si="445">PR17*(1 + NORMINV(RAND(), $D$4, $D$5))</f>
        <v>88.113076505190762</v>
      </c>
      <c r="PS18" s="90">
        <f t="shared" ref="PS18:PS27" ca="1" si="446">PS17*(1 + NORMINV(RAND(), $D$4, $D$5))</f>
        <v>82.584228024543009</v>
      </c>
      <c r="PT18" s="90">
        <f t="shared" ref="PT18:PT27" ca="1" si="447">PT17*(1 + NORMINV(RAND(), $D$4, $D$5))</f>
        <v>75.879819494385842</v>
      </c>
      <c r="PU18" s="90">
        <f t="shared" ref="PU18:PU27" ca="1" si="448">PU17*(1 + NORMINV(RAND(), $D$4, $D$5))</f>
        <v>85.871582779707381</v>
      </c>
      <c r="PV18" s="90">
        <f t="shared" ref="PV18:PV27" ca="1" si="449">PV17*(1 + NORMINV(RAND(), $D$4, $D$5))</f>
        <v>44.122731948518101</v>
      </c>
      <c r="PW18" s="90">
        <f t="shared" ref="PW18:PW27" ca="1" si="450">PW17*(1 + NORMINV(RAND(), $D$4, $D$5))</f>
        <v>86.677838525522873</v>
      </c>
      <c r="PX18" s="90">
        <f t="shared" ref="PX18:PX27" ca="1" si="451">PX17*(1 + NORMINV(RAND(), $D$4, $D$5))</f>
        <v>97.276982725769614</v>
      </c>
      <c r="PY18" s="90">
        <f t="shared" ref="PY18:PY27" ca="1" si="452">PY17*(1 + NORMINV(RAND(), $D$4, $D$5))</f>
        <v>77.182544467484391</v>
      </c>
      <c r="PZ18" s="90">
        <f t="shared" ref="PZ18:PZ27" ca="1" si="453">PZ17*(1 + NORMINV(RAND(), $D$4, $D$5))</f>
        <v>84.974069623319153</v>
      </c>
      <c r="QA18" s="90">
        <f t="shared" ref="QA18:QA27" ca="1" si="454">QA17*(1 + NORMINV(RAND(), $D$4, $D$5))</f>
        <v>69.678684118210981</v>
      </c>
      <c r="QB18" s="90">
        <f t="shared" ref="QB18:QB27" ca="1" si="455">QB17*(1 + NORMINV(RAND(), $D$4, $D$5))</f>
        <v>71.787608224574583</v>
      </c>
      <c r="QC18" s="90">
        <f t="shared" ref="QC18:QC27" ca="1" si="456">QC17*(1 + NORMINV(RAND(), $D$4, $D$5))</f>
        <v>41.346328319561103</v>
      </c>
      <c r="QD18" s="90">
        <f t="shared" ref="QD18:QD27" ca="1" si="457">QD17*(1 + NORMINV(RAND(), $D$4, $D$5))</f>
        <v>66.834497317933952</v>
      </c>
      <c r="QE18" s="90">
        <f t="shared" ref="QE18:QE27" ca="1" si="458">QE17*(1 + NORMINV(RAND(), $D$4, $D$5))</f>
        <v>73.321534633697226</v>
      </c>
      <c r="QF18" s="90">
        <f t="shared" ref="QF18:QF27" ca="1" si="459">QF17*(1 + NORMINV(RAND(), $D$4, $D$5))</f>
        <v>72.136622086026435</v>
      </c>
      <c r="QG18" s="90">
        <f t="shared" ref="QG18:QG27" ca="1" si="460">QG17*(1 + NORMINV(RAND(), $D$4, $D$5))</f>
        <v>39.094483308591521</v>
      </c>
      <c r="QH18" s="90">
        <f t="shared" ref="QH18:QH27" ca="1" si="461">QH17*(1 + NORMINV(RAND(), $D$4, $D$5))</f>
        <v>56.747926384062481</v>
      </c>
      <c r="QI18" s="90">
        <f t="shared" ref="QI18:QI27" ca="1" si="462">QI17*(1 + NORMINV(RAND(), $D$4, $D$5))</f>
        <v>62.268185874422542</v>
      </c>
      <c r="QJ18" s="90">
        <f t="shared" ref="QJ18:QJ27" ca="1" si="463">QJ17*(1 + NORMINV(RAND(), $D$4, $D$5))</f>
        <v>70.375699970041197</v>
      </c>
      <c r="QK18" s="90">
        <f t="shared" ref="QK18:QK27" ca="1" si="464">QK17*(1 + NORMINV(RAND(), $D$4, $D$5))</f>
        <v>89.683238967758925</v>
      </c>
      <c r="QL18" s="90">
        <f t="shared" ref="QL18:QL27" ca="1" si="465">QL17*(1 + NORMINV(RAND(), $D$4, $D$5))</f>
        <v>83.231662173327265</v>
      </c>
      <c r="QM18" s="90">
        <f t="shared" ref="QM18:QM27" ca="1" si="466">QM17*(1 + NORMINV(RAND(), $D$4, $D$5))</f>
        <v>99.213661425848784</v>
      </c>
      <c r="QN18" s="90">
        <f t="shared" ref="QN18:QN27" ca="1" si="467">QN17*(1 + NORMINV(RAND(), $D$4, $D$5))</f>
        <v>71.274561853918954</v>
      </c>
      <c r="QO18" s="90">
        <f t="shared" ref="QO18:QO27" ca="1" si="468">QO17*(1 + NORMINV(RAND(), $D$4, $D$5))</f>
        <v>75.467385635805101</v>
      </c>
      <c r="QP18" s="90">
        <f t="shared" ref="QP18:QP27" ca="1" si="469">QP17*(1 + NORMINV(RAND(), $D$4, $D$5))</f>
        <v>36.146916084063307</v>
      </c>
      <c r="QQ18" s="90">
        <f t="shared" ref="QQ18:QQ27" ca="1" si="470">QQ17*(1 + NORMINV(RAND(), $D$4, $D$5))</f>
        <v>105.36533847849084</v>
      </c>
      <c r="QR18" s="90">
        <f t="shared" ref="QR18:QR27" ca="1" si="471">QR17*(1 + NORMINV(RAND(), $D$4, $D$5))</f>
        <v>83.22247545286595</v>
      </c>
      <c r="QS18" s="90">
        <f t="shared" ref="QS18:QS27" ca="1" si="472">QS17*(1 + NORMINV(RAND(), $D$4, $D$5))</f>
        <v>79.633517684042729</v>
      </c>
      <c r="QT18" s="90">
        <f t="shared" ref="QT18:QT27" ca="1" si="473">QT17*(1 + NORMINV(RAND(), $D$4, $D$5))</f>
        <v>65.268079275670303</v>
      </c>
      <c r="QU18" s="90">
        <f t="shared" ref="QU18:QU27" ca="1" si="474">QU17*(1 + NORMINV(RAND(), $D$4, $D$5))</f>
        <v>64.789826460905459</v>
      </c>
      <c r="QV18" s="90">
        <f t="shared" ref="QV18:QV27" ca="1" si="475">QV17*(1 + NORMINV(RAND(), $D$4, $D$5))</f>
        <v>67.728594328113502</v>
      </c>
      <c r="QW18" s="90">
        <f t="shared" ref="QW18:QW27" ca="1" si="476">QW17*(1 + NORMINV(RAND(), $D$4, $D$5))</f>
        <v>70.19221630701378</v>
      </c>
      <c r="QX18" s="90">
        <f t="shared" ref="QX18:QX27" ca="1" si="477">QX17*(1 + NORMINV(RAND(), $D$4, $D$5))</f>
        <v>64.884789704593899</v>
      </c>
      <c r="QY18" s="90">
        <f t="shared" ref="QY18:QY27" ca="1" si="478">QY17*(1 + NORMINV(RAND(), $D$4, $D$5))</f>
        <v>56.342677171371264</v>
      </c>
      <c r="QZ18" s="90">
        <f t="shared" ref="QZ18:QZ27" ca="1" si="479">QZ17*(1 + NORMINV(RAND(), $D$4, $D$5))</f>
        <v>72.875122442215911</v>
      </c>
      <c r="RA18" s="90">
        <f t="shared" ref="RA18:RA27" ca="1" si="480">RA17*(1 + NORMINV(RAND(), $D$4, $D$5))</f>
        <v>87.648563564770015</v>
      </c>
      <c r="RB18" s="90">
        <f t="shared" ref="RB18:RB27" ca="1" si="481">RB17*(1 + NORMINV(RAND(), $D$4, $D$5))</f>
        <v>89.991761753255076</v>
      </c>
      <c r="RC18" s="90">
        <f t="shared" ref="RC18:RC27" ca="1" si="482">RC17*(1 + NORMINV(RAND(), $D$4, $D$5))</f>
        <v>94.055422945296428</v>
      </c>
      <c r="RD18" s="90">
        <f t="shared" ref="RD18:RD27" ca="1" si="483">RD17*(1 + NORMINV(RAND(), $D$4, $D$5))</f>
        <v>71.590494519960231</v>
      </c>
      <c r="RE18" s="90">
        <f t="shared" ref="RE18:RE27" ca="1" si="484">RE17*(1 + NORMINV(RAND(), $D$4, $D$5))</f>
        <v>105.1823815222775</v>
      </c>
      <c r="RF18" s="90">
        <f t="shared" ref="RF18:RF27" ca="1" si="485">RF17*(1 + NORMINV(RAND(), $D$4, $D$5))</f>
        <v>120.92704094389637</v>
      </c>
      <c r="RG18" s="90">
        <f t="shared" ref="RG18:RG27" ca="1" si="486">RG17*(1 + NORMINV(RAND(), $D$4, $D$5))</f>
        <v>34.646130275313254</v>
      </c>
      <c r="RH18" s="90">
        <f t="shared" ref="RH18:RH27" ca="1" si="487">RH17*(1 + NORMINV(RAND(), $D$4, $D$5))</f>
        <v>89.22461388447995</v>
      </c>
      <c r="RI18" s="90">
        <f t="shared" ref="RI18:RI27" ca="1" si="488">RI17*(1 + NORMINV(RAND(), $D$4, $D$5))</f>
        <v>52.355952740825416</v>
      </c>
      <c r="RJ18" s="90">
        <f t="shared" ref="RJ18:RJ27" ca="1" si="489">RJ17*(1 + NORMINV(RAND(), $D$4, $D$5))</f>
        <v>52.132540077263251</v>
      </c>
      <c r="RK18" s="90">
        <f t="shared" ref="RK18:RK27" ca="1" si="490">RK17*(1 + NORMINV(RAND(), $D$4, $D$5))</f>
        <v>73.884453646829996</v>
      </c>
      <c r="RL18" s="90">
        <f t="shared" ref="RL18:RL27" ca="1" si="491">RL17*(1 + NORMINV(RAND(), $D$4, $D$5))</f>
        <v>30.715191036028294</v>
      </c>
      <c r="RM18" s="90">
        <f t="shared" ref="RM18:RM27" ca="1" si="492">RM17*(1 + NORMINV(RAND(), $D$4, $D$5))</f>
        <v>24.842423637041431</v>
      </c>
      <c r="RN18" s="90">
        <f t="shared" ref="RN18:RN27" ca="1" si="493">RN17*(1 + NORMINV(RAND(), $D$4, $D$5))</f>
        <v>104.03424843775612</v>
      </c>
      <c r="RO18" s="90">
        <f t="shared" ref="RO18:RO27" ca="1" si="494">RO17*(1 + NORMINV(RAND(), $D$4, $D$5))</f>
        <v>67.56936702712153</v>
      </c>
      <c r="RP18" s="90">
        <f t="shared" ref="RP18:RP27" ca="1" si="495">RP17*(1 + NORMINV(RAND(), $D$4, $D$5))</f>
        <v>63.042222881738681</v>
      </c>
      <c r="RQ18" s="90">
        <f t="shared" ref="RQ18:RQ27" ca="1" si="496">RQ17*(1 + NORMINV(RAND(), $D$4, $D$5))</f>
        <v>59.453622483521805</v>
      </c>
      <c r="RR18" s="90">
        <f t="shared" ref="RR18:RR27" ca="1" si="497">RR17*(1 + NORMINV(RAND(), $D$4, $D$5))</f>
        <v>71.307196798428805</v>
      </c>
      <c r="RS18" s="90">
        <f t="shared" ref="RS18:RS27" ca="1" si="498">RS17*(1 + NORMINV(RAND(), $D$4, $D$5))</f>
        <v>107.0534697087575</v>
      </c>
      <c r="RT18" s="90">
        <f t="shared" ref="RT18:RT27" ca="1" si="499">RT17*(1 + NORMINV(RAND(), $D$4, $D$5))</f>
        <v>80.615313754088859</v>
      </c>
      <c r="RU18" s="90">
        <f t="shared" ref="RU18:RU27" ca="1" si="500">RU17*(1 + NORMINV(RAND(), $D$4, $D$5))</f>
        <v>107.12314897299733</v>
      </c>
      <c r="RV18" s="90">
        <f t="shared" ref="RV18:RV27" ca="1" si="501">RV17*(1 + NORMINV(RAND(), $D$4, $D$5))</f>
        <v>51.162127422326911</v>
      </c>
      <c r="RW18" s="90">
        <f t="shared" ref="RW18:RW27" ca="1" si="502">RW17*(1 + NORMINV(RAND(), $D$4, $D$5))</f>
        <v>55.908999138580121</v>
      </c>
      <c r="RX18" s="90">
        <f t="shared" ref="RX18:RX27" ca="1" si="503">RX17*(1 + NORMINV(RAND(), $D$4, $D$5))</f>
        <v>75.889045243044094</v>
      </c>
      <c r="RY18" s="90">
        <f t="shared" ref="RY18:RY27" ca="1" si="504">RY17*(1 + NORMINV(RAND(), $D$4, $D$5))</f>
        <v>71.092004212123456</v>
      </c>
      <c r="RZ18" s="90">
        <f t="shared" ref="RZ18:RZ27" ca="1" si="505">RZ17*(1 + NORMINV(RAND(), $D$4, $D$5))</f>
        <v>60.973046536837643</v>
      </c>
      <c r="SA18" s="90">
        <f t="shared" ref="SA18:SA27" ca="1" si="506">SA17*(1 + NORMINV(RAND(), $D$4, $D$5))</f>
        <v>63.485169454115919</v>
      </c>
      <c r="SB18" s="90">
        <f t="shared" ref="SB18:SB27" ca="1" si="507">SB17*(1 + NORMINV(RAND(), $D$4, $D$5))</f>
        <v>113.41447134845129</v>
      </c>
      <c r="SC18" s="90">
        <f t="shared" ref="SC18:SC27" ca="1" si="508">SC17*(1 + NORMINV(RAND(), $D$4, $D$5))</f>
        <v>45.123013690055309</v>
      </c>
      <c r="SD18" s="90">
        <f t="shared" ref="SD18:SD27" ca="1" si="509">SD17*(1 + NORMINV(RAND(), $D$4, $D$5))</f>
        <v>43.408229141657138</v>
      </c>
      <c r="SE18" s="90">
        <f t="shared" ref="SE18:SE27" ca="1" si="510">SE17*(1 + NORMINV(RAND(), $D$4, $D$5))</f>
        <v>47.343502159497817</v>
      </c>
      <c r="SF18" s="90">
        <f t="shared" ref="SF18:SF27" ca="1" si="511">SF17*(1 + NORMINV(RAND(), $D$4, $D$5))</f>
        <v>59.900590627433289</v>
      </c>
      <c r="SG18" s="90">
        <f t="shared" ref="SG18:SG27" ca="1" si="512">SG17*(1 + NORMINV(RAND(), $D$4, $D$5))</f>
        <v>47.190454951348059</v>
      </c>
      <c r="SH18" s="90">
        <f t="shared" ref="SH18:SH27" ca="1" si="513">SH17*(1 + NORMINV(RAND(), $D$4, $D$5))</f>
        <v>54.918176438626062</v>
      </c>
      <c r="SI18" s="90">
        <f t="shared" ref="SI18:SI27" ca="1" si="514">SI17*(1 + NORMINV(RAND(), $D$4, $D$5))</f>
        <v>78.212956707035559</v>
      </c>
      <c r="SJ18" s="90">
        <f t="shared" ref="SJ18:SJ27" ca="1" si="515">SJ17*(1 + NORMINV(RAND(), $D$4, $D$5))</f>
        <v>56.543957671438122</v>
      </c>
      <c r="SK18" s="90">
        <f t="shared" ref="SK18:SK27" ca="1" si="516">SK17*(1 + NORMINV(RAND(), $D$4, $D$5))</f>
        <v>58.487522254877248</v>
      </c>
      <c r="SL18" s="90">
        <f t="shared" ref="SL18:SL27" ca="1" si="517">SL17*(1 + NORMINV(RAND(), $D$4, $D$5))</f>
        <v>35.077784000311119</v>
      </c>
      <c r="SM18" s="90">
        <f t="shared" ref="SM18:SM27" ca="1" si="518">SM17*(1 + NORMINV(RAND(), $D$4, $D$5))</f>
        <v>92.064083959004407</v>
      </c>
      <c r="SN18" s="90">
        <f t="shared" ref="SN18:SN27" ca="1" si="519">SN17*(1 + NORMINV(RAND(), $D$4, $D$5))</f>
        <v>68.86030656916455</v>
      </c>
      <c r="SO18" s="90">
        <f t="shared" ref="SO18:SO27" ca="1" si="520">SO17*(1 + NORMINV(RAND(), $D$4, $D$5))</f>
        <v>33.11068864173437</v>
      </c>
      <c r="SP18" s="90">
        <f t="shared" ref="SP18:SP27" ca="1" si="521">SP17*(1 + NORMINV(RAND(), $D$4, $D$5))</f>
        <v>74.104163657719965</v>
      </c>
      <c r="SQ18" s="90">
        <f t="shared" ref="SQ18:SQ27" ca="1" si="522">SQ17*(1 + NORMINV(RAND(), $D$4, $D$5))</f>
        <v>48.832921651863458</v>
      </c>
      <c r="SR18" s="90">
        <f t="shared" ref="SR18:SR27" ca="1" si="523">SR17*(1 + NORMINV(RAND(), $D$4, $D$5))</f>
        <v>94.681049240484469</v>
      </c>
      <c r="SS18" s="90">
        <f t="shared" ref="SS18:SS27" ca="1" si="524">SS17*(1 + NORMINV(RAND(), $D$4, $D$5))</f>
        <v>37.234398203751155</v>
      </c>
      <c r="ST18" s="90">
        <f t="shared" ref="ST18:ST27" ca="1" si="525">ST17*(1 + NORMINV(RAND(), $D$4, $D$5))</f>
        <v>75.217454412491747</v>
      </c>
      <c r="SU18" s="90">
        <f t="shared" ref="SU18:SU27" ca="1" si="526">SU17*(1 + NORMINV(RAND(), $D$4, $D$5))</f>
        <v>91.096756219799786</v>
      </c>
      <c r="SV18" s="90">
        <f t="shared" ref="SV18:SV27" ca="1" si="527">SV17*(1 + NORMINV(RAND(), $D$4, $D$5))</f>
        <v>87.591706521185074</v>
      </c>
      <c r="SW18" s="90">
        <f t="shared" ref="SW18:SW27" ca="1" si="528">SW17*(1 + NORMINV(RAND(), $D$4, $D$5))</f>
        <v>99.733616239432806</v>
      </c>
      <c r="SX18" s="90">
        <f t="shared" ref="SX18:SX27" ca="1" si="529">SX17*(1 + NORMINV(RAND(), $D$4, $D$5))</f>
        <v>74.92323964851289</v>
      </c>
      <c r="SY18" s="90">
        <f t="shared" ref="SY18:SY27" ca="1" si="530">SY17*(1 + NORMINV(RAND(), $D$4, $D$5))</f>
        <v>55.666351709336794</v>
      </c>
      <c r="SZ18" s="90">
        <f t="shared" ref="SZ18:SZ27" ca="1" si="531">SZ17*(1 + NORMINV(RAND(), $D$4, $D$5))</f>
        <v>133.01239831010733</v>
      </c>
      <c r="TA18" s="90">
        <f t="shared" ref="TA18:TA27" ca="1" si="532">TA17*(1 + NORMINV(RAND(), $D$4, $D$5))</f>
        <v>67.060357695212403</v>
      </c>
      <c r="TB18" s="90">
        <f t="shared" ref="TB18:TB27" ca="1" si="533">TB17*(1 + NORMINV(RAND(), $D$4, $D$5))</f>
        <v>135.8319239306476</v>
      </c>
      <c r="TC18" s="90">
        <f t="shared" ref="TC18:TC27" ca="1" si="534">TC17*(1 + NORMINV(RAND(), $D$4, $D$5))</f>
        <v>90.79481383300373</v>
      </c>
      <c r="TD18" s="90">
        <f t="shared" ref="TD18:TD27" ca="1" si="535">TD17*(1 + NORMINV(RAND(), $D$4, $D$5))</f>
        <v>79.846875655073305</v>
      </c>
      <c r="TE18" s="90">
        <f t="shared" ref="TE18:TE27" ca="1" si="536">TE17*(1 + NORMINV(RAND(), $D$4, $D$5))</f>
        <v>55.176448646741981</v>
      </c>
      <c r="TF18" s="90">
        <f t="shared" ref="TF18:TF27" ca="1" si="537">TF17*(1 + NORMINV(RAND(), $D$4, $D$5))</f>
        <v>47.51723551676691</v>
      </c>
      <c r="TG18" s="90">
        <f t="shared" ref="TG18:TG27" ca="1" si="538">TG17*(1 + NORMINV(RAND(), $D$4, $D$5))</f>
        <v>75.158302564671843</v>
      </c>
      <c r="TH18" s="90">
        <f t="shared" ref="TH18:TH27" ca="1" si="539">TH17*(1 + NORMINV(RAND(), $D$4, $D$5))</f>
        <v>64.833589237630278</v>
      </c>
      <c r="TI18" s="90">
        <f t="shared" ref="TI18:TI27" ca="1" si="540">TI17*(1 + NORMINV(RAND(), $D$4, $D$5))</f>
        <v>124.69867356914354</v>
      </c>
      <c r="TJ18" s="90">
        <f t="shared" ref="TJ18:TJ27" ca="1" si="541">TJ17*(1 + NORMINV(RAND(), $D$4, $D$5))</f>
        <v>85.415409913744028</v>
      </c>
      <c r="TK18" s="90">
        <f t="shared" ref="TK18:TK27" ca="1" si="542">TK17*(1 + NORMINV(RAND(), $D$4, $D$5))</f>
        <v>82.97463544623146</v>
      </c>
      <c r="TL18" s="90">
        <f t="shared" ref="TL18:TL27" ca="1" si="543">TL17*(1 + NORMINV(RAND(), $D$4, $D$5))</f>
        <v>58.076799549116409</v>
      </c>
      <c r="TM18" s="90">
        <f t="shared" ref="TM18:TM27" ca="1" si="544">TM17*(1 + NORMINV(RAND(), $D$4, $D$5))</f>
        <v>73.812222908018157</v>
      </c>
      <c r="TN18" s="90">
        <f t="shared" ref="TN18:TN27" ca="1" si="545">TN17*(1 + NORMINV(RAND(), $D$4, $D$5))</f>
        <v>76.252169602544882</v>
      </c>
      <c r="TO18" s="90">
        <f t="shared" ref="TO18:TO27" ca="1" si="546">TO17*(1 + NORMINV(RAND(), $D$4, $D$5))</f>
        <v>98.421567909512561</v>
      </c>
      <c r="TP18" s="90">
        <f t="shared" ref="TP18:TP27" ca="1" si="547">TP17*(1 + NORMINV(RAND(), $D$4, $D$5))</f>
        <v>71.254026476266915</v>
      </c>
      <c r="TQ18" s="90">
        <f t="shared" ref="TQ18:TQ27" ca="1" si="548">TQ17*(1 + NORMINV(RAND(), $D$4, $D$5))</f>
        <v>108.70473350953701</v>
      </c>
      <c r="TR18" s="90">
        <f t="shared" ref="TR18:TR27" ca="1" si="549">TR17*(1 + NORMINV(RAND(), $D$4, $D$5))</f>
        <v>60.966460236195992</v>
      </c>
      <c r="TS18" s="90">
        <f t="shared" ref="TS18:TS27" ca="1" si="550">TS17*(1 + NORMINV(RAND(), $D$4, $D$5))</f>
        <v>62.35978986034349</v>
      </c>
      <c r="TT18" s="90">
        <f t="shared" ref="TT18:TT27" ca="1" si="551">TT17*(1 + NORMINV(RAND(), $D$4, $D$5))</f>
        <v>59.624981052889048</v>
      </c>
      <c r="TU18" s="90">
        <f t="shared" ref="TU18:TU27" ca="1" si="552">TU17*(1 + NORMINV(RAND(), $D$4, $D$5))</f>
        <v>99.968660784937384</v>
      </c>
      <c r="TV18" s="90">
        <f t="shared" ref="TV18:TV27" ca="1" si="553">TV17*(1 + NORMINV(RAND(), $D$4, $D$5))</f>
        <v>89.366220220779567</v>
      </c>
      <c r="TW18" s="90">
        <f t="shared" ref="TW18:TW27" ca="1" si="554">TW17*(1 + NORMINV(RAND(), $D$4, $D$5))</f>
        <v>54.330402685654612</v>
      </c>
      <c r="TX18" s="90">
        <f t="shared" ref="TX18:TX27" ca="1" si="555">TX17*(1 + NORMINV(RAND(), $D$4, $D$5))</f>
        <v>32.058948489884727</v>
      </c>
      <c r="TY18" s="90">
        <f t="shared" ref="TY18:TY27" ca="1" si="556">TY17*(1 + NORMINV(RAND(), $D$4, $D$5))</f>
        <v>129.88057782030708</v>
      </c>
      <c r="TZ18" s="90">
        <f t="shared" ref="TZ18:TZ27" ca="1" si="557">TZ17*(1 + NORMINV(RAND(), $D$4, $D$5))</f>
        <v>82.81898456105715</v>
      </c>
      <c r="UA18" s="90">
        <f t="shared" ref="UA18:UA27" ca="1" si="558">UA17*(1 + NORMINV(RAND(), $D$4, $D$5))</f>
        <v>57.93368213632133</v>
      </c>
      <c r="UB18" s="90">
        <f t="shared" ref="UB18:UB27" ca="1" si="559">UB17*(1 + NORMINV(RAND(), $D$4, $D$5))</f>
        <v>33.862693331887478</v>
      </c>
      <c r="UC18" s="90">
        <f t="shared" ref="UC18:UC27" ca="1" si="560">UC17*(1 + NORMINV(RAND(), $D$4, $D$5))</f>
        <v>36.077379741728599</v>
      </c>
      <c r="UD18" s="90">
        <f t="shared" ref="UD18:UD27" ca="1" si="561">UD17*(1 + NORMINV(RAND(), $D$4, $D$5))</f>
        <v>91.814636721368601</v>
      </c>
      <c r="UE18" s="90">
        <f t="shared" ref="UE18:UE27" ca="1" si="562">UE17*(1 + NORMINV(RAND(), $D$4, $D$5))</f>
        <v>117.50671281045105</v>
      </c>
      <c r="UF18" s="90">
        <f t="shared" ref="UF18:UF27" ca="1" si="563">UF17*(1 + NORMINV(RAND(), $D$4, $D$5))</f>
        <v>76.61521170565355</v>
      </c>
      <c r="UG18" s="90">
        <f t="shared" ref="UG18:UG27" ca="1" si="564">UG17*(1 + NORMINV(RAND(), $D$4, $D$5))</f>
        <v>53.538440462712202</v>
      </c>
      <c r="UH18" s="90">
        <f t="shared" ref="UH18:UH27" ca="1" si="565">UH17*(1 + NORMINV(RAND(), $D$4, $D$5))</f>
        <v>80.794882762912522</v>
      </c>
      <c r="UI18" s="90">
        <f t="shared" ref="UI18:UI27" ca="1" si="566">UI17*(1 + NORMINV(RAND(), $D$4, $D$5))</f>
        <v>63.817078277214627</v>
      </c>
      <c r="UJ18" s="90">
        <f t="shared" ref="UJ18:UJ27" ca="1" si="567">UJ17*(1 + NORMINV(RAND(), $D$4, $D$5))</f>
        <v>112.88644542346405</v>
      </c>
      <c r="UK18" s="90">
        <f t="shared" ref="UK18:UK27" ca="1" si="568">UK17*(1 + NORMINV(RAND(), $D$4, $D$5))</f>
        <v>39.658039432991252</v>
      </c>
      <c r="UL18" s="90">
        <f t="shared" ref="UL18:UL27" ca="1" si="569">UL17*(1 + NORMINV(RAND(), $D$4, $D$5))</f>
        <v>42.964140920902452</v>
      </c>
      <c r="UM18" s="90">
        <f t="shared" ref="UM18:UM27" ca="1" si="570">UM17*(1 + NORMINV(RAND(), $D$4, $D$5))</f>
        <v>75.176242313670159</v>
      </c>
      <c r="UN18" s="90">
        <f t="shared" ref="UN18:UN27" ca="1" si="571">UN17*(1 + NORMINV(RAND(), $D$4, $D$5))</f>
        <v>74.764324176660878</v>
      </c>
      <c r="UO18" s="90">
        <f t="shared" ref="UO18:UO27" ca="1" si="572">UO17*(1 + NORMINV(RAND(), $D$4, $D$5))</f>
        <v>96.537400682808041</v>
      </c>
      <c r="UP18" s="90">
        <f t="shared" ref="UP18:UP27" ca="1" si="573">UP17*(1 + NORMINV(RAND(), $D$4, $D$5))</f>
        <v>38.684720770885257</v>
      </c>
      <c r="UQ18" s="90">
        <f t="shared" ref="UQ18:UQ27" ca="1" si="574">UQ17*(1 + NORMINV(RAND(), $D$4, $D$5))</f>
        <v>91.629667143374562</v>
      </c>
      <c r="UR18" s="90">
        <f t="shared" ref="UR18:UR27" ca="1" si="575">UR17*(1 + NORMINV(RAND(), $D$4, $D$5))</f>
        <v>78.437448782586841</v>
      </c>
      <c r="US18" s="90">
        <f t="shared" ref="US18:US27" ca="1" si="576">US17*(1 + NORMINV(RAND(), $D$4, $D$5))</f>
        <v>52.515180123100784</v>
      </c>
      <c r="UT18" s="90">
        <f t="shared" ref="UT18:UT27" ca="1" si="577">UT17*(1 + NORMINV(RAND(), $D$4, $D$5))</f>
        <v>66.667461357607522</v>
      </c>
      <c r="UU18" s="90">
        <f t="shared" ref="UU18:UU27" ca="1" si="578">UU17*(1 + NORMINV(RAND(), $D$4, $D$5))</f>
        <v>1.2473993891397872</v>
      </c>
      <c r="UV18" s="90">
        <f t="shared" ref="UV18:UV27" ca="1" si="579">UV17*(1 + NORMINV(RAND(), $D$4, $D$5))</f>
        <v>71.800453568730333</v>
      </c>
      <c r="UW18" s="90">
        <f t="shared" ref="UW18:UW27" ca="1" si="580">UW17*(1 + NORMINV(RAND(), $D$4, $D$5))</f>
        <v>74.699494051104281</v>
      </c>
      <c r="UX18" s="90">
        <f t="shared" ref="UX18:UX27" ca="1" si="581">UX17*(1 + NORMINV(RAND(), $D$4, $D$5))</f>
        <v>57.035103551351241</v>
      </c>
      <c r="UY18" s="90">
        <f t="shared" ref="UY18:UY27" ca="1" si="582">UY17*(1 + NORMINV(RAND(), $D$4, $D$5))</f>
        <v>89.465281249377895</v>
      </c>
      <c r="UZ18" s="90">
        <f t="shared" ref="UZ18:UZ27" ca="1" si="583">UZ17*(1 + NORMINV(RAND(), $D$4, $D$5))</f>
        <v>122.28316385606699</v>
      </c>
      <c r="VA18" s="90">
        <f t="shared" ref="VA18:VA27" ca="1" si="584">VA17*(1 + NORMINV(RAND(), $D$4, $D$5))</f>
        <v>86.835970993511694</v>
      </c>
      <c r="VB18" s="90">
        <f t="shared" ref="VB18:VB27" ca="1" si="585">VB17*(1 + NORMINV(RAND(), $D$4, $D$5))</f>
        <v>49.304220950700376</v>
      </c>
      <c r="VC18" s="90">
        <f t="shared" ref="VC18:VC27" ca="1" si="586">VC17*(1 + NORMINV(RAND(), $D$4, $D$5))</f>
        <v>81.984340552813194</v>
      </c>
      <c r="VD18" s="90">
        <f t="shared" ref="VD18:VD27" ca="1" si="587">VD17*(1 + NORMINV(RAND(), $D$4, $D$5))</f>
        <v>84.068203893831637</v>
      </c>
      <c r="VE18" s="90">
        <f t="shared" ref="VE18:VE27" ca="1" si="588">VE17*(1 + NORMINV(RAND(), $D$4, $D$5))</f>
        <v>93.172969678063097</v>
      </c>
      <c r="VF18" s="90">
        <f t="shared" ref="VF18:VF27" ca="1" si="589">VF17*(1 + NORMINV(RAND(), $D$4, $D$5))</f>
        <v>68.733165660583282</v>
      </c>
      <c r="VG18" s="90">
        <f t="shared" ref="VG18:VG27" ca="1" si="590">VG17*(1 + NORMINV(RAND(), $D$4, $D$5))</f>
        <v>81.078448372671431</v>
      </c>
      <c r="VH18" s="90">
        <f t="shared" ref="VH18:VH27" ca="1" si="591">VH17*(1 + NORMINV(RAND(), $D$4, $D$5))</f>
        <v>90.620382223824649</v>
      </c>
      <c r="VI18" s="90">
        <f t="shared" ref="VI18:VI27" ca="1" si="592">VI17*(1 + NORMINV(RAND(), $D$4, $D$5))</f>
        <v>81.261044553658081</v>
      </c>
      <c r="VJ18" s="90">
        <f t="shared" ref="VJ18:VJ27" ca="1" si="593">VJ17*(1 + NORMINV(RAND(), $D$4, $D$5))</f>
        <v>71.929726016422038</v>
      </c>
      <c r="VK18" s="90">
        <f t="shared" ref="VK18:VK27" ca="1" si="594">VK17*(1 + NORMINV(RAND(), $D$4, $D$5))</f>
        <v>62.890297340978556</v>
      </c>
      <c r="VL18" s="90">
        <f t="shared" ref="VL18:VL27" ca="1" si="595">VL17*(1 + NORMINV(RAND(), $D$4, $D$5))</f>
        <v>38.841571076408215</v>
      </c>
      <c r="VM18" s="90">
        <f t="shared" ref="VM18:VM27" ca="1" si="596">VM17*(1 + NORMINV(RAND(), $D$4, $D$5))</f>
        <v>63.339482267212027</v>
      </c>
      <c r="VN18" s="90">
        <f t="shared" ref="VN18:VN27" ca="1" si="597">VN17*(1 + NORMINV(RAND(), $D$4, $D$5))</f>
        <v>77.592449594712207</v>
      </c>
      <c r="VO18" s="90">
        <f t="shared" ref="VO18:VO27" ca="1" si="598">VO17*(1 + NORMINV(RAND(), $D$4, $D$5))</f>
        <v>49.881252936740829</v>
      </c>
      <c r="VP18" s="90">
        <f t="shared" ref="VP18:VP27" ca="1" si="599">VP17*(1 + NORMINV(RAND(), $D$4, $D$5))</f>
        <v>23.089615803681365</v>
      </c>
      <c r="VQ18" s="90">
        <f t="shared" ref="VQ18:VQ27" ca="1" si="600">VQ17*(1 + NORMINV(RAND(), $D$4, $D$5))</f>
        <v>84.733885882849549</v>
      </c>
      <c r="VR18" s="90">
        <f t="shared" ref="VR18:VR27" ca="1" si="601">VR17*(1 + NORMINV(RAND(), $D$4, $D$5))</f>
        <v>65.040694937346615</v>
      </c>
      <c r="VS18" s="90">
        <f t="shared" ref="VS18:VS27" ca="1" si="602">VS17*(1 + NORMINV(RAND(), $D$4, $D$5))</f>
        <v>54.289367967866013</v>
      </c>
      <c r="VT18" s="90">
        <f t="shared" ref="VT18:VT27" ca="1" si="603">VT17*(1 + NORMINV(RAND(), $D$4, $D$5))</f>
        <v>71.219294853503499</v>
      </c>
      <c r="VU18" s="90">
        <f t="shared" ref="VU18:VU27" ca="1" si="604">VU17*(1 + NORMINV(RAND(), $D$4, $D$5))</f>
        <v>48.773023098344439</v>
      </c>
      <c r="VV18" s="90">
        <f t="shared" ref="VV18:VV27" ca="1" si="605">VV17*(1 + NORMINV(RAND(), $D$4, $D$5))</f>
        <v>69.746077843900764</v>
      </c>
      <c r="VW18" s="90">
        <f t="shared" ref="VW18:VW27" ca="1" si="606">VW17*(1 + NORMINV(RAND(), $D$4, $D$5))</f>
        <v>59.815323523912745</v>
      </c>
      <c r="VX18" s="90">
        <f t="shared" ref="VX18:VX27" ca="1" si="607">VX17*(1 + NORMINV(RAND(), $D$4, $D$5))</f>
        <v>73.260025368692723</v>
      </c>
      <c r="VY18" s="90">
        <f t="shared" ref="VY18:VY27" ca="1" si="608">VY17*(1 + NORMINV(RAND(), $D$4, $D$5))</f>
        <v>96.033836864823073</v>
      </c>
      <c r="VZ18" s="90">
        <f t="shared" ref="VZ18:VZ27" ca="1" si="609">VZ17*(1 + NORMINV(RAND(), $D$4, $D$5))</f>
        <v>52.678492574391548</v>
      </c>
      <c r="WA18" s="90">
        <f t="shared" ref="WA18:WA27" ca="1" si="610">WA17*(1 + NORMINV(RAND(), $D$4, $D$5))</f>
        <v>39.114440200792487</v>
      </c>
      <c r="WB18" s="90">
        <f t="shared" ref="WB18:WB27" ca="1" si="611">WB17*(1 + NORMINV(RAND(), $D$4, $D$5))</f>
        <v>85.304875940914201</v>
      </c>
      <c r="WC18" s="90">
        <f t="shared" ref="WC18:WC27" ca="1" si="612">WC17*(1 + NORMINV(RAND(), $D$4, $D$5))</f>
        <v>94.268691098327807</v>
      </c>
      <c r="WD18" s="90">
        <f t="shared" ref="WD18:WD27" ca="1" si="613">WD17*(1 + NORMINV(RAND(), $D$4, $D$5))</f>
        <v>68.178168167957381</v>
      </c>
      <c r="WE18" s="90">
        <f t="shared" ref="WE18:WE27" ca="1" si="614">WE17*(1 + NORMINV(RAND(), $D$4, $D$5))</f>
        <v>68.04278417522579</v>
      </c>
      <c r="WF18" s="90">
        <f t="shared" ref="WF18:WF27" ca="1" si="615">WF17*(1 + NORMINV(RAND(), $D$4, $D$5))</f>
        <v>64.600853380454936</v>
      </c>
      <c r="WG18" s="90">
        <f t="shared" ref="WG18:WG27" ca="1" si="616">WG17*(1 + NORMINV(RAND(), $D$4, $D$5))</f>
        <v>65.886136780823932</v>
      </c>
      <c r="WH18" s="90">
        <f t="shared" ref="WH18:WH27" ca="1" si="617">WH17*(1 + NORMINV(RAND(), $D$4, $D$5))</f>
        <v>85.577551021208905</v>
      </c>
      <c r="WI18" s="90">
        <f t="shared" ref="WI18:WI27" ca="1" si="618">WI17*(1 + NORMINV(RAND(), $D$4, $D$5))</f>
        <v>47.101959339631463</v>
      </c>
      <c r="WJ18" s="90">
        <f t="shared" ref="WJ18:WJ27" ca="1" si="619">WJ17*(1 + NORMINV(RAND(), $D$4, $D$5))</f>
        <v>94.292816961949327</v>
      </c>
      <c r="WK18" s="90">
        <f t="shared" ref="WK18:WK27" ca="1" si="620">WK17*(1 + NORMINV(RAND(), $D$4, $D$5))</f>
        <v>55.992138526151592</v>
      </c>
      <c r="WL18" s="90">
        <f t="shared" ref="WL18:WL27" ca="1" si="621">WL17*(1 + NORMINV(RAND(), $D$4, $D$5))</f>
        <v>99.617365619482541</v>
      </c>
      <c r="WM18" s="90">
        <f t="shared" ref="WM18:WM27" ca="1" si="622">WM17*(1 + NORMINV(RAND(), $D$4, $D$5))</f>
        <v>68.498937329252925</v>
      </c>
      <c r="WN18" s="90">
        <f t="shared" ref="WN18:WN27" ca="1" si="623">WN17*(1 + NORMINV(RAND(), $D$4, $D$5))</f>
        <v>69.468067206535267</v>
      </c>
      <c r="WO18" s="90">
        <f t="shared" ref="WO18:WO27" ca="1" si="624">WO17*(1 + NORMINV(RAND(), $D$4, $D$5))</f>
        <v>42.557918309575399</v>
      </c>
      <c r="WP18" s="90">
        <f t="shared" ref="WP18:WP27" ca="1" si="625">WP17*(1 + NORMINV(RAND(), $D$4, $D$5))</f>
        <v>73.925542982008224</v>
      </c>
      <c r="WQ18" s="90">
        <f t="shared" ref="WQ18:WQ27" ca="1" si="626">WQ17*(1 + NORMINV(RAND(), $D$4, $D$5))</f>
        <v>65.022522729513625</v>
      </c>
      <c r="WR18" s="90">
        <f t="shared" ref="WR18:WR27" ca="1" si="627">WR17*(1 + NORMINV(RAND(), $D$4, $D$5))</f>
        <v>78.149140586339911</v>
      </c>
      <c r="WS18" s="90">
        <f t="shared" ref="WS18:WS27" ca="1" si="628">WS17*(1 + NORMINV(RAND(), $D$4, $D$5))</f>
        <v>38.745099012156523</v>
      </c>
      <c r="WT18" s="90">
        <f t="shared" ref="WT18:WT27" ca="1" si="629">WT17*(1 + NORMINV(RAND(), $D$4, $D$5))</f>
        <v>35.733489763089572</v>
      </c>
      <c r="WU18" s="90">
        <f t="shared" ref="WU18:WU27" ca="1" si="630">WU17*(1 + NORMINV(RAND(), $D$4, $D$5))</f>
        <v>74.966175805673416</v>
      </c>
      <c r="WV18" s="90">
        <f t="shared" ref="WV18:WV27" ca="1" si="631">WV17*(1 + NORMINV(RAND(), $D$4, $D$5))</f>
        <v>81.229164897330122</v>
      </c>
      <c r="WW18" s="90">
        <f t="shared" ref="WW18:WW27" ca="1" si="632">WW17*(1 + NORMINV(RAND(), $D$4, $D$5))</f>
        <v>87.265502213226554</v>
      </c>
      <c r="WX18" s="90">
        <f t="shared" ref="WX18:WX27" ca="1" si="633">WX17*(1 + NORMINV(RAND(), $D$4, $D$5))</f>
        <v>39.442378016304083</v>
      </c>
      <c r="WY18" s="90">
        <f t="shared" ref="WY18:WY27" ca="1" si="634">WY17*(1 + NORMINV(RAND(), $D$4, $D$5))</f>
        <v>82.360942886480672</v>
      </c>
      <c r="WZ18" s="90">
        <f t="shared" ref="WZ18:WZ27" ca="1" si="635">WZ17*(1 + NORMINV(RAND(), $D$4, $D$5))</f>
        <v>44.621126125819693</v>
      </c>
      <c r="XA18" s="90">
        <f t="shared" ref="XA18:XA27" ca="1" si="636">XA17*(1 + NORMINV(RAND(), $D$4, $D$5))</f>
        <v>58.05174763837416</v>
      </c>
      <c r="XB18" s="90">
        <f t="shared" ref="XB18:XB27" ca="1" si="637">XB17*(1 + NORMINV(RAND(), $D$4, $D$5))</f>
        <v>83.141825372544318</v>
      </c>
      <c r="XC18" s="90">
        <f t="shared" ref="XC18:XC27" ca="1" si="638">XC17*(1 + NORMINV(RAND(), $D$4, $D$5))</f>
        <v>65.686578941785086</v>
      </c>
      <c r="XD18" s="90">
        <f t="shared" ref="XD18:XD27" ca="1" si="639">XD17*(1 + NORMINV(RAND(), $D$4, $D$5))</f>
        <v>91.796069859706975</v>
      </c>
      <c r="XE18" s="90">
        <f t="shared" ref="XE18:XE27" ca="1" si="640">XE17*(1 + NORMINV(RAND(), $D$4, $D$5))</f>
        <v>80.043863903198755</v>
      </c>
      <c r="XF18" s="90">
        <f t="shared" ref="XF18:XF27" ca="1" si="641">XF17*(1 + NORMINV(RAND(), $D$4, $D$5))</f>
        <v>65.484628114275111</v>
      </c>
      <c r="XG18" s="90">
        <f t="shared" ref="XG18:XG27" ca="1" si="642">XG17*(1 + NORMINV(RAND(), $D$4, $D$5))</f>
        <v>90.879721679749096</v>
      </c>
      <c r="XH18" s="90">
        <f t="shared" ref="XH18:XH27" ca="1" si="643">XH17*(1 + NORMINV(RAND(), $D$4, $D$5))</f>
        <v>94.057978311832784</v>
      </c>
      <c r="XI18" s="90">
        <f t="shared" ref="XI18:XI27" ca="1" si="644">XI17*(1 + NORMINV(RAND(), $D$4, $D$5))</f>
        <v>60.714817257602405</v>
      </c>
      <c r="XJ18" s="90">
        <f t="shared" ref="XJ18:XJ27" ca="1" si="645">XJ17*(1 + NORMINV(RAND(), $D$4, $D$5))</f>
        <v>31.593437358087364</v>
      </c>
      <c r="XK18" s="90">
        <f t="shared" ref="XK18:XK27" ca="1" si="646">XK17*(1 + NORMINV(RAND(), $D$4, $D$5))</f>
        <v>111.13503768145313</v>
      </c>
      <c r="XL18" s="90">
        <f t="shared" ref="XL18:XL27" ca="1" si="647">XL17*(1 + NORMINV(RAND(), $D$4, $D$5))</f>
        <v>85.891253377726173</v>
      </c>
      <c r="XM18" s="90">
        <f t="shared" ref="XM18:XM27" ca="1" si="648">XM17*(1 + NORMINV(RAND(), $D$4, $D$5))</f>
        <v>84.439602096259691</v>
      </c>
      <c r="XN18" s="90">
        <f t="shared" ref="XN18:XN27" ca="1" si="649">XN17*(1 + NORMINV(RAND(), $D$4, $D$5))</f>
        <v>57.813989712637152</v>
      </c>
      <c r="XO18" s="90">
        <f t="shared" ref="XO18:XO27" ca="1" si="650">XO17*(1 + NORMINV(RAND(), $D$4, $D$5))</f>
        <v>81.000671733686474</v>
      </c>
      <c r="XP18" s="90">
        <f t="shared" ref="XP18:XP27" ca="1" si="651">XP17*(1 + NORMINV(RAND(), $D$4, $D$5))</f>
        <v>3.67020126240193</v>
      </c>
      <c r="XQ18" s="90">
        <f t="shared" ref="XQ18:XQ27" ca="1" si="652">XQ17*(1 + NORMINV(RAND(), $D$4, $D$5))</f>
        <v>74.648039601619089</v>
      </c>
      <c r="XR18" s="90">
        <f t="shared" ref="XR18:XR27" ca="1" si="653">XR17*(1 + NORMINV(RAND(), $D$4, $D$5))</f>
        <v>43.799922230888519</v>
      </c>
      <c r="XS18" s="90">
        <f t="shared" ref="XS18:XS27" ca="1" si="654">XS17*(1 + NORMINV(RAND(), $D$4, $D$5))</f>
        <v>93.234481013907867</v>
      </c>
      <c r="XT18" s="90">
        <f t="shared" ref="XT18:XT27" ca="1" si="655">XT17*(1 + NORMINV(RAND(), $D$4, $D$5))</f>
        <v>37.017993042653195</v>
      </c>
      <c r="XU18" s="90">
        <f t="shared" ref="XU18:XU27" ca="1" si="656">XU17*(1 + NORMINV(RAND(), $D$4, $D$5))</f>
        <v>39.453456355017956</v>
      </c>
      <c r="XV18" s="90">
        <f t="shared" ref="XV18:XV27" ca="1" si="657">XV17*(1 + NORMINV(RAND(), $D$4, $D$5))</f>
        <v>17.655294507740471</v>
      </c>
      <c r="XW18" s="90">
        <f t="shared" ref="XW18:XW27" ca="1" si="658">XW17*(1 + NORMINV(RAND(), $D$4, $D$5))</f>
        <v>80.620088041737688</v>
      </c>
      <c r="XX18" s="90">
        <f t="shared" ref="XX18:XX27" ca="1" si="659">XX17*(1 + NORMINV(RAND(), $D$4, $D$5))</f>
        <v>69.964123308377737</v>
      </c>
      <c r="XY18" s="90">
        <f t="shared" ref="XY18:XY27" ca="1" si="660">XY17*(1 + NORMINV(RAND(), $D$4, $D$5))</f>
        <v>26.6763189995483</v>
      </c>
      <c r="XZ18" s="90">
        <f t="shared" ref="XZ18:XZ27" ca="1" si="661">XZ17*(1 + NORMINV(RAND(), $D$4, $D$5))</f>
        <v>64.574007490040202</v>
      </c>
      <c r="YA18" s="90">
        <f t="shared" ref="YA18:YA27" ca="1" si="662">YA17*(1 + NORMINV(RAND(), $D$4, $D$5))</f>
        <v>66.970510471891814</v>
      </c>
      <c r="YB18" s="90">
        <f t="shared" ref="YB18:YB27" ca="1" si="663">YB17*(1 + NORMINV(RAND(), $D$4, $D$5))</f>
        <v>69.356384957683886</v>
      </c>
      <c r="YC18" s="90">
        <f t="shared" ref="YC18:YC27" ca="1" si="664">YC17*(1 + NORMINV(RAND(), $D$4, $D$5))</f>
        <v>63.769163833354604</v>
      </c>
      <c r="YD18" s="90">
        <f t="shared" ref="YD18:YD27" ca="1" si="665">YD17*(1 + NORMINV(RAND(), $D$4, $D$5))</f>
        <v>68.792238463994721</v>
      </c>
      <c r="YE18" s="90">
        <f t="shared" ref="YE18:YE27" ca="1" si="666">YE17*(1 + NORMINV(RAND(), $D$4, $D$5))</f>
        <v>87.693052920493088</v>
      </c>
      <c r="YF18" s="90">
        <f t="shared" ref="YF18:YF27" ca="1" si="667">YF17*(1 + NORMINV(RAND(), $D$4, $D$5))</f>
        <v>77.420649585962209</v>
      </c>
      <c r="YG18" s="90">
        <f t="shared" ref="YG18:YG27" ca="1" si="668">YG17*(1 + NORMINV(RAND(), $D$4, $D$5))</f>
        <v>99.243054991667734</v>
      </c>
      <c r="YH18" s="90">
        <f t="shared" ref="YH18:YH27" ca="1" si="669">YH17*(1 + NORMINV(RAND(), $D$4, $D$5))</f>
        <v>62.373045648084421</v>
      </c>
      <c r="YI18" s="90">
        <f t="shared" ref="YI18:YI27" ca="1" si="670">YI17*(1 + NORMINV(RAND(), $D$4, $D$5))</f>
        <v>28.492491335155844</v>
      </c>
      <c r="YJ18" s="90">
        <f t="shared" ref="YJ18:YJ27" ca="1" si="671">YJ17*(1 + NORMINV(RAND(), $D$4, $D$5))</f>
        <v>91.400036015649007</v>
      </c>
      <c r="YK18" s="90">
        <f t="shared" ref="YK18:YK27" ca="1" si="672">YK17*(1 + NORMINV(RAND(), $D$4, $D$5))</f>
        <v>58.171229340933252</v>
      </c>
      <c r="YL18" s="90">
        <f t="shared" ref="YL18:YL27" ca="1" si="673">YL17*(1 + NORMINV(RAND(), $D$4, $D$5))</f>
        <v>114.17441110752105</v>
      </c>
      <c r="YM18" s="90">
        <f t="shared" ref="YM18:YM27" ca="1" si="674">YM17*(1 + NORMINV(RAND(), $D$4, $D$5))</f>
        <v>41.325371176896041</v>
      </c>
      <c r="YN18" s="90">
        <f t="shared" ref="YN18:YN27" ca="1" si="675">YN17*(1 + NORMINV(RAND(), $D$4, $D$5))</f>
        <v>35.056494240065334</v>
      </c>
      <c r="YO18" s="90">
        <f t="shared" ref="YO18:YO27" ca="1" si="676">YO17*(1 + NORMINV(RAND(), $D$4, $D$5))</f>
        <v>12.356220824430459</v>
      </c>
      <c r="YP18" s="90">
        <f t="shared" ref="YP18:YP27" ca="1" si="677">YP17*(1 + NORMINV(RAND(), $D$4, $D$5))</f>
        <v>70.903824321300789</v>
      </c>
      <c r="YQ18" s="90">
        <f t="shared" ref="YQ18:YQ27" ca="1" si="678">YQ17*(1 + NORMINV(RAND(), $D$4, $D$5))</f>
        <v>36.778275922988477</v>
      </c>
      <c r="YR18" s="90">
        <f t="shared" ref="YR18:YR27" ca="1" si="679">YR17*(1 + NORMINV(RAND(), $D$4, $D$5))</f>
        <v>1.6843160797861583</v>
      </c>
      <c r="YS18" s="90">
        <f t="shared" ref="YS18:YS27" ca="1" si="680">YS17*(1 + NORMINV(RAND(), $D$4, $D$5))</f>
        <v>111.435011393742</v>
      </c>
      <c r="YT18" s="90">
        <f t="shared" ref="YT18:YT27" ca="1" si="681">YT17*(1 + NORMINV(RAND(), $D$4, $D$5))</f>
        <v>55.107361896812087</v>
      </c>
      <c r="YU18" s="90">
        <f t="shared" ref="YU18:YU27" ca="1" si="682">YU17*(1 + NORMINV(RAND(), $D$4, $D$5))</f>
        <v>88.91252529726772</v>
      </c>
      <c r="YV18" s="90">
        <f t="shared" ref="YV18:YV27" ca="1" si="683">YV17*(1 + NORMINV(RAND(), $D$4, $D$5))</f>
        <v>72.203668275329036</v>
      </c>
      <c r="YW18" s="90">
        <f t="shared" ref="YW18:YW27" ca="1" si="684">YW17*(1 + NORMINV(RAND(), $D$4, $D$5))</f>
        <v>109.72693695462749</v>
      </c>
      <c r="YX18" s="90">
        <f t="shared" ref="YX18:YX27" ca="1" si="685">YX17*(1 + NORMINV(RAND(), $D$4, $D$5))</f>
        <v>106.78628920836719</v>
      </c>
      <c r="YY18" s="90">
        <f t="shared" ref="YY18:YY27" ca="1" si="686">YY17*(1 + NORMINV(RAND(), $D$4, $D$5))</f>
        <v>44.480968764826791</v>
      </c>
      <c r="YZ18" s="90">
        <f t="shared" ref="YZ18:YZ27" ca="1" si="687">YZ17*(1 + NORMINV(RAND(), $D$4, $D$5))</f>
        <v>93.068473048372454</v>
      </c>
      <c r="ZA18" s="90">
        <f t="shared" ref="ZA18:ZA27" ca="1" si="688">ZA17*(1 + NORMINV(RAND(), $D$4, $D$5))</f>
        <v>80.712762226963036</v>
      </c>
      <c r="ZB18" s="90">
        <f t="shared" ref="ZB18:ZB27" ca="1" si="689">ZB17*(1 + NORMINV(RAND(), $D$4, $D$5))</f>
        <v>91.947870793589132</v>
      </c>
      <c r="ZC18" s="90">
        <f t="shared" ref="ZC18:ZC27" ca="1" si="690">ZC17*(1 + NORMINV(RAND(), $D$4, $D$5))</f>
        <v>83.600547746051504</v>
      </c>
      <c r="ZD18" s="90">
        <f t="shared" ref="ZD18:ZD27" ca="1" si="691">ZD17*(1 + NORMINV(RAND(), $D$4, $D$5))</f>
        <v>77.906847715964446</v>
      </c>
      <c r="ZE18" s="90">
        <f t="shared" ref="ZE18:ZE27" ca="1" si="692">ZE17*(1 + NORMINV(RAND(), $D$4, $D$5))</f>
        <v>45.129242542796639</v>
      </c>
      <c r="ZF18" s="90">
        <f t="shared" ref="ZF18:ZF27" ca="1" si="693">ZF17*(1 + NORMINV(RAND(), $D$4, $D$5))</f>
        <v>84.637621144447621</v>
      </c>
      <c r="ZG18" s="90">
        <f t="shared" ref="ZG18:ZG27" ca="1" si="694">ZG17*(1 + NORMINV(RAND(), $D$4, $D$5))</f>
        <v>88.514317525774203</v>
      </c>
      <c r="ZH18" s="90">
        <f t="shared" ref="ZH18:ZH27" ca="1" si="695">ZH17*(1 + NORMINV(RAND(), $D$4, $D$5))</f>
        <v>84.6075828109729</v>
      </c>
      <c r="ZI18" s="90">
        <f t="shared" ref="ZI18:ZI27" ca="1" si="696">ZI17*(1 + NORMINV(RAND(), $D$4, $D$5))</f>
        <v>54.506883291156214</v>
      </c>
      <c r="ZJ18" s="90">
        <f t="shared" ref="ZJ18:ZJ27" ca="1" si="697">ZJ17*(1 + NORMINV(RAND(), $D$4, $D$5))</f>
        <v>115.23069692762236</v>
      </c>
      <c r="ZK18" s="90">
        <f t="shared" ref="ZK18:ZK27" ca="1" si="698">ZK17*(1 + NORMINV(RAND(), $D$4, $D$5))</f>
        <v>47.849245474645052</v>
      </c>
      <c r="ZL18" s="90">
        <f t="shared" ref="ZL18:ZL27" ca="1" si="699">ZL17*(1 + NORMINV(RAND(), $D$4, $D$5))</f>
        <v>82.352179039621774</v>
      </c>
      <c r="ZM18" s="90">
        <f t="shared" ref="ZM18:ZM27" ca="1" si="700">ZM17*(1 + NORMINV(RAND(), $D$4, $D$5))</f>
        <v>79.923621242846622</v>
      </c>
      <c r="ZN18" s="90">
        <f t="shared" ref="ZN18:ZN27" ca="1" si="701">ZN17*(1 + NORMINV(RAND(), $D$4, $D$5))</f>
        <v>67.354115046700826</v>
      </c>
      <c r="ZO18" s="90">
        <f t="shared" ref="ZO18:ZO27" ca="1" si="702">ZO17*(1 + NORMINV(RAND(), $D$4, $D$5))</f>
        <v>80.017249393230273</v>
      </c>
      <c r="ZP18" s="90">
        <f t="shared" ref="ZP18:ZP27" ca="1" si="703">ZP17*(1 + NORMINV(RAND(), $D$4, $D$5))</f>
        <v>73.503894260024126</v>
      </c>
      <c r="ZQ18" s="90">
        <f t="shared" ref="ZQ18:ZQ27" ca="1" si="704">ZQ17*(1 + NORMINV(RAND(), $D$4, $D$5))</f>
        <v>69.912541980879681</v>
      </c>
      <c r="ZR18" s="90">
        <f t="shared" ref="ZR18:ZR27" ca="1" si="705">ZR17*(1 + NORMINV(RAND(), $D$4, $D$5))</f>
        <v>41.863199404547608</v>
      </c>
      <c r="ZS18" s="90">
        <f t="shared" ref="ZS18:ZS27" ca="1" si="706">ZS17*(1 + NORMINV(RAND(), $D$4, $D$5))</f>
        <v>55.468533383882729</v>
      </c>
      <c r="ZT18" s="90">
        <f t="shared" ref="ZT18:ZT27" ca="1" si="707">ZT17*(1 + NORMINV(RAND(), $D$4, $D$5))</f>
        <v>75.258246353066866</v>
      </c>
      <c r="ZU18" s="90">
        <f t="shared" ref="ZU18:ZU27" ca="1" si="708">ZU17*(1 + NORMINV(RAND(), $D$4, $D$5))</f>
        <v>60.641289122495976</v>
      </c>
      <c r="ZV18" s="90">
        <f t="shared" ref="ZV18:ZV27" ca="1" si="709">ZV17*(1 + NORMINV(RAND(), $D$4, $D$5))</f>
        <v>82.931243593149304</v>
      </c>
      <c r="ZW18" s="90">
        <f t="shared" ref="ZW18:ZW27" ca="1" si="710">ZW17*(1 + NORMINV(RAND(), $D$4, $D$5))</f>
        <v>14.483313124486227</v>
      </c>
      <c r="ZX18" s="90">
        <f t="shared" ref="ZX18:ZX27" ca="1" si="711">ZX17*(1 + NORMINV(RAND(), $D$4, $D$5))</f>
        <v>55.766832353393887</v>
      </c>
      <c r="ZY18" s="90">
        <f t="shared" ref="ZY18:ZY27" ca="1" si="712">ZY17*(1 + NORMINV(RAND(), $D$4, $D$5))</f>
        <v>80.034561666964791</v>
      </c>
      <c r="ZZ18" s="90">
        <f t="shared" ref="ZZ18:ZZ27" ca="1" si="713">ZZ17*(1 + NORMINV(RAND(), $D$4, $D$5))</f>
        <v>60.109394958649624</v>
      </c>
      <c r="AAA18" s="90">
        <f t="shared" ref="AAA18:AAA27" ca="1" si="714">AAA17*(1 + NORMINV(RAND(), $D$4, $D$5))</f>
        <v>110.66000625087567</v>
      </c>
      <c r="AAB18" s="90">
        <f t="shared" ref="AAB18:AAB27" ca="1" si="715">AAB17*(1 + NORMINV(RAND(), $D$4, $D$5))</f>
        <v>61.588683129599616</v>
      </c>
      <c r="AAC18" s="90">
        <f t="shared" ref="AAC18:AAC27" ca="1" si="716">AAC17*(1 + NORMINV(RAND(), $D$4, $D$5))</f>
        <v>81.816208767769538</v>
      </c>
      <c r="AAD18" s="90">
        <f t="shared" ref="AAD18:AAD27" ca="1" si="717">AAD17*(1 + NORMINV(RAND(), $D$4, $D$5))</f>
        <v>71.284109888751374</v>
      </c>
      <c r="AAE18" s="90">
        <f t="shared" ref="AAE18:AAE27" ca="1" si="718">AAE17*(1 + NORMINV(RAND(), $D$4, $D$5))</f>
        <v>99.034556113435897</v>
      </c>
      <c r="AAF18" s="90">
        <f t="shared" ref="AAF18:AAF27" ca="1" si="719">AAF17*(1 + NORMINV(RAND(), $D$4, $D$5))</f>
        <v>64.255315672940256</v>
      </c>
      <c r="AAG18" s="90">
        <f t="shared" ref="AAG18:AAG27" ca="1" si="720">AAG17*(1 + NORMINV(RAND(), $D$4, $D$5))</f>
        <v>56.571716442233068</v>
      </c>
      <c r="AAH18" s="90">
        <f t="shared" ref="AAH18:AAH27" ca="1" si="721">AAH17*(1 + NORMINV(RAND(), $D$4, $D$5))</f>
        <v>108.27746531884445</v>
      </c>
      <c r="AAI18" s="90">
        <f t="shared" ref="AAI18:AAI27" ca="1" si="722">AAI17*(1 + NORMINV(RAND(), $D$4, $D$5))</f>
        <v>-4.4998465984896425</v>
      </c>
      <c r="AAJ18" s="90">
        <f t="shared" ref="AAJ18:AAJ27" ca="1" si="723">AAJ17*(1 + NORMINV(RAND(), $D$4, $D$5))</f>
        <v>105.81819559418679</v>
      </c>
      <c r="AAK18" s="90">
        <f t="shared" ref="AAK18:AAK27" ca="1" si="724">AAK17*(1 + NORMINV(RAND(), $D$4, $D$5))</f>
        <v>52.024893924617018</v>
      </c>
      <c r="AAL18" s="90">
        <f t="shared" ref="AAL18:AAL27" ca="1" si="725">AAL17*(1 + NORMINV(RAND(), $D$4, $D$5))</f>
        <v>120.04466355871382</v>
      </c>
      <c r="AAM18" s="90">
        <f t="shared" ref="AAM18:AAM27" ca="1" si="726">AAM17*(1 + NORMINV(RAND(), $D$4, $D$5))</f>
        <v>83.874989141528275</v>
      </c>
      <c r="AAN18" s="90">
        <f t="shared" ref="AAN18:AAN27" ca="1" si="727">AAN17*(1 + NORMINV(RAND(), $D$4, $D$5))</f>
        <v>109.67921178862407</v>
      </c>
      <c r="AAO18" s="90">
        <f t="shared" ref="AAO18:AAO27" ca="1" si="728">AAO17*(1 + NORMINV(RAND(), $D$4, $D$5))</f>
        <v>41.799583599761718</v>
      </c>
      <c r="AAP18" s="90">
        <f t="shared" ref="AAP18:AAP27" ca="1" si="729">AAP17*(1 + NORMINV(RAND(), $D$4, $D$5))</f>
        <v>101.72033246171212</v>
      </c>
      <c r="AAQ18" s="90">
        <f t="shared" ref="AAQ18:AAQ27" ca="1" si="730">AAQ17*(1 + NORMINV(RAND(), $D$4, $D$5))</f>
        <v>78.442232318783397</v>
      </c>
      <c r="AAR18" s="90">
        <f t="shared" ref="AAR18:AAR27" ca="1" si="731">AAR17*(1 + NORMINV(RAND(), $D$4, $D$5))</f>
        <v>49.416555144307246</v>
      </c>
      <c r="AAS18" s="90">
        <f t="shared" ref="AAS18:AAS27" ca="1" si="732">AAS17*(1 + NORMINV(RAND(), $D$4, $D$5))</f>
        <v>46.79520790369272</v>
      </c>
      <c r="AAT18" s="90">
        <f t="shared" ref="AAT18:AAT27" ca="1" si="733">AAT17*(1 + NORMINV(RAND(), $D$4, $D$5))</f>
        <v>74.816862091867861</v>
      </c>
      <c r="AAU18" s="90">
        <f t="shared" ref="AAU18:AAU27" ca="1" si="734">AAU17*(1 + NORMINV(RAND(), $D$4, $D$5))</f>
        <v>47.056542713826012</v>
      </c>
      <c r="AAV18" s="90">
        <f t="shared" ref="AAV18:AAV27" ca="1" si="735">AAV17*(1 + NORMINV(RAND(), $D$4, $D$5))</f>
        <v>52.823541762467279</v>
      </c>
      <c r="AAW18" s="90">
        <f t="shared" ref="AAW18:AAW27" ca="1" si="736">AAW17*(1 + NORMINV(RAND(), $D$4, $D$5))</f>
        <v>74.513393070736228</v>
      </c>
      <c r="AAX18" s="90">
        <f t="shared" ref="AAX18:AAX27" ca="1" si="737">AAX17*(1 + NORMINV(RAND(), $D$4, $D$5))</f>
        <v>72.292611318155295</v>
      </c>
      <c r="AAY18" s="90">
        <f t="shared" ref="AAY18:AAY27" ca="1" si="738">AAY17*(1 + NORMINV(RAND(), $D$4, $D$5))</f>
        <v>94.80431062754549</v>
      </c>
      <c r="AAZ18" s="90">
        <f t="shared" ref="AAZ18:AAZ27" ca="1" si="739">AAZ17*(1 + NORMINV(RAND(), $D$4, $D$5))</f>
        <v>52.970582035842355</v>
      </c>
      <c r="ABA18" s="90">
        <f t="shared" ref="ABA18:ABA27" ca="1" si="740">ABA17*(1 + NORMINV(RAND(), $D$4, $D$5))</f>
        <v>73.158581966148802</v>
      </c>
      <c r="ABB18" s="90">
        <f t="shared" ref="ABB18:ABB27" ca="1" si="741">ABB17*(1 + NORMINV(RAND(), $D$4, $D$5))</f>
        <v>13.615019307001072</v>
      </c>
      <c r="ABC18" s="90">
        <f t="shared" ref="ABC18:ABC27" ca="1" si="742">ABC17*(1 + NORMINV(RAND(), $D$4, $D$5))</f>
        <v>108.1884396403776</v>
      </c>
      <c r="ABD18" s="90">
        <f t="shared" ref="ABD18:ABD27" ca="1" si="743">ABD17*(1 + NORMINV(RAND(), $D$4, $D$5))</f>
        <v>75.199374322404481</v>
      </c>
      <c r="ABE18" s="90">
        <f t="shared" ref="ABE18:ABE27" ca="1" si="744">ABE17*(1 + NORMINV(RAND(), $D$4, $D$5))</f>
        <v>80.698563997955276</v>
      </c>
      <c r="ABF18" s="90">
        <f t="shared" ref="ABF18:ABF27" ca="1" si="745">ABF17*(1 + NORMINV(RAND(), $D$4, $D$5))</f>
        <v>68.865554682901404</v>
      </c>
      <c r="ABG18" s="90">
        <f t="shared" ref="ABG18:ABG27" ca="1" si="746">ABG17*(1 + NORMINV(RAND(), $D$4, $D$5))</f>
        <v>56.957613991299958</v>
      </c>
      <c r="ABH18" s="90">
        <f t="shared" ref="ABH18:ABH27" ca="1" si="747">ABH17*(1 + NORMINV(RAND(), $D$4, $D$5))</f>
        <v>82.428915329278738</v>
      </c>
      <c r="ABI18" s="90">
        <f t="shared" ref="ABI18:ABI27" ca="1" si="748">ABI17*(1 + NORMINV(RAND(), $D$4, $D$5))</f>
        <v>58.194725966038391</v>
      </c>
      <c r="ABJ18" s="90">
        <f t="shared" ref="ABJ18:ABJ27" ca="1" si="749">ABJ17*(1 + NORMINV(RAND(), $D$4, $D$5))</f>
        <v>53.219671804578709</v>
      </c>
      <c r="ABK18" s="90">
        <f t="shared" ref="ABK18:ABK27" ca="1" si="750">ABK17*(1 + NORMINV(RAND(), $D$4, $D$5))</f>
        <v>68.52133603456258</v>
      </c>
      <c r="ABL18" s="90">
        <f t="shared" ref="ABL18:ABL27" ca="1" si="751">ABL17*(1 + NORMINV(RAND(), $D$4, $D$5))</f>
        <v>78.523549734102829</v>
      </c>
      <c r="ABM18" s="90">
        <f t="shared" ref="ABM18:ABM27" ca="1" si="752">ABM17*(1 + NORMINV(RAND(), $D$4, $D$5))</f>
        <v>79.366371633955424</v>
      </c>
      <c r="ABN18" s="90">
        <f t="shared" ref="ABN18:ABN27" ca="1" si="753">ABN17*(1 + NORMINV(RAND(), $D$4, $D$5))</f>
        <v>48.963962126988015</v>
      </c>
      <c r="ABO18" s="90">
        <f t="shared" ref="ABO18:ABO27" ca="1" si="754">ABO17*(1 + NORMINV(RAND(), $D$4, $D$5))</f>
        <v>52.969810928134457</v>
      </c>
      <c r="ABP18" s="90">
        <f t="shared" ref="ABP18:ABP27" ca="1" si="755">ABP17*(1 + NORMINV(RAND(), $D$4, $D$5))</f>
        <v>35.427870705397012</v>
      </c>
      <c r="ABQ18" s="90">
        <f t="shared" ref="ABQ18:ABQ27" ca="1" si="756">ABQ17*(1 + NORMINV(RAND(), $D$4, $D$5))</f>
        <v>31.979396892998107</v>
      </c>
      <c r="ABR18" s="90">
        <f t="shared" ref="ABR18:ABR27" ca="1" si="757">ABR17*(1 + NORMINV(RAND(), $D$4, $D$5))</f>
        <v>66.437758864895173</v>
      </c>
      <c r="ABS18" s="90">
        <f t="shared" ref="ABS18:ABS27" ca="1" si="758">ABS17*(1 + NORMINV(RAND(), $D$4, $D$5))</f>
        <v>57.83485152694719</v>
      </c>
      <c r="ABT18" s="90">
        <f t="shared" ref="ABT18:ABT27" ca="1" si="759">ABT17*(1 + NORMINV(RAND(), $D$4, $D$5))</f>
        <v>67.06351164919559</v>
      </c>
      <c r="ABU18" s="90">
        <f t="shared" ref="ABU18:ABU27" ca="1" si="760">ABU17*(1 + NORMINV(RAND(), $D$4, $D$5))</f>
        <v>66.292065549545427</v>
      </c>
      <c r="ABV18" s="90">
        <f t="shared" ref="ABV18:ABV27" ca="1" si="761">ABV17*(1 + NORMINV(RAND(), $D$4, $D$5))</f>
        <v>69.162337427938965</v>
      </c>
      <c r="ABW18" s="90">
        <f t="shared" ref="ABW18:ABW27" ca="1" si="762">ABW17*(1 + NORMINV(RAND(), $D$4, $D$5))</f>
        <v>26.498300295327894</v>
      </c>
      <c r="ABX18" s="90">
        <f t="shared" ref="ABX18:ABX27" ca="1" si="763">ABX17*(1 + NORMINV(RAND(), $D$4, $D$5))</f>
        <v>45.776803967110261</v>
      </c>
      <c r="ABY18" s="90">
        <f t="shared" ref="ABY18:ABY27" ca="1" si="764">ABY17*(1 + NORMINV(RAND(), $D$4, $D$5))</f>
        <v>86.904705904586606</v>
      </c>
      <c r="ABZ18" s="90">
        <f t="shared" ref="ABZ18:ABZ27" ca="1" si="765">ABZ17*(1 + NORMINV(RAND(), $D$4, $D$5))</f>
        <v>65.963533420458646</v>
      </c>
      <c r="ACA18" s="90">
        <f t="shared" ref="ACA18:ACA27" ca="1" si="766">ACA17*(1 + NORMINV(RAND(), $D$4, $D$5))</f>
        <v>123.37316920064994</v>
      </c>
      <c r="ACB18" s="90">
        <f t="shared" ref="ACB18:ACB27" ca="1" si="767">ACB17*(1 + NORMINV(RAND(), $D$4, $D$5))</f>
        <v>94.960671301083693</v>
      </c>
      <c r="ACC18" s="90">
        <f t="shared" ref="ACC18:ACC27" ca="1" si="768">ACC17*(1 + NORMINV(RAND(), $D$4, $D$5))</f>
        <v>84.223532561121743</v>
      </c>
      <c r="ACD18" s="90">
        <f t="shared" ref="ACD18:ACD27" ca="1" si="769">ACD17*(1 + NORMINV(RAND(), $D$4, $D$5))</f>
        <v>91.768759323907204</v>
      </c>
      <c r="ACE18" s="90">
        <f t="shared" ref="ACE18:ACE27" ca="1" si="770">ACE17*(1 + NORMINV(RAND(), $D$4, $D$5))</f>
        <v>91.774264237011977</v>
      </c>
      <c r="ACF18" s="90">
        <f t="shared" ref="ACF18:ACF27" ca="1" si="771">ACF17*(1 + NORMINV(RAND(), $D$4, $D$5))</f>
        <v>64.525929935505744</v>
      </c>
      <c r="ACG18" s="90">
        <f t="shared" ref="ACG18:ACG27" ca="1" si="772">ACG17*(1 + NORMINV(RAND(), $D$4, $D$5))</f>
        <v>82.485918445869231</v>
      </c>
      <c r="ACH18" s="90">
        <f t="shared" ref="ACH18:ACH27" ca="1" si="773">ACH17*(1 + NORMINV(RAND(), $D$4, $D$5))</f>
        <v>85.147471128330253</v>
      </c>
      <c r="ACI18" s="90">
        <f t="shared" ref="ACI18:ACI27" ca="1" si="774">ACI17*(1 + NORMINV(RAND(), $D$4, $D$5))</f>
        <v>48.856679408243295</v>
      </c>
      <c r="ACJ18" s="90">
        <f t="shared" ref="ACJ18:ACJ27" ca="1" si="775">ACJ17*(1 + NORMINV(RAND(), $D$4, $D$5))</f>
        <v>101.06317823473638</v>
      </c>
      <c r="ACK18" s="90">
        <f t="shared" ref="ACK18:ACK27" ca="1" si="776">ACK17*(1 + NORMINV(RAND(), $D$4, $D$5))</f>
        <v>81.377049116869429</v>
      </c>
      <c r="ACL18" s="90">
        <f t="shared" ref="ACL18:ACL27" ca="1" si="777">ACL17*(1 + NORMINV(RAND(), $D$4, $D$5))</f>
        <v>46.338093310730819</v>
      </c>
      <c r="ACM18" s="90">
        <f t="shared" ref="ACM18:ACM27" ca="1" si="778">ACM17*(1 + NORMINV(RAND(), $D$4, $D$5))</f>
        <v>107.59264111715335</v>
      </c>
      <c r="ACN18" s="90">
        <f t="shared" ref="ACN18:ACN27" ca="1" si="779">ACN17*(1 + NORMINV(RAND(), $D$4, $D$5))</f>
        <v>88.861968635157581</v>
      </c>
      <c r="ACO18" s="90">
        <f t="shared" ref="ACO18:ACO27" ca="1" si="780">ACO17*(1 + NORMINV(RAND(), $D$4, $D$5))</f>
        <v>85.143428438488243</v>
      </c>
      <c r="ACP18" s="90">
        <f t="shared" ref="ACP18:ACP27" ca="1" si="781">ACP17*(1 + NORMINV(RAND(), $D$4, $D$5))</f>
        <v>73.906131113759287</v>
      </c>
      <c r="ACQ18" s="90">
        <f t="shared" ref="ACQ18:ACQ27" ca="1" si="782">ACQ17*(1 + NORMINV(RAND(), $D$4, $D$5))</f>
        <v>58.053092493478822</v>
      </c>
      <c r="ACR18" s="90">
        <f t="shared" ref="ACR18:ACR27" ca="1" si="783">ACR17*(1 + NORMINV(RAND(), $D$4, $D$5))</f>
        <v>62.56339183232221</v>
      </c>
      <c r="ACS18" s="90">
        <f t="shared" ref="ACS18:ACS27" ca="1" si="784">ACS17*(1 + NORMINV(RAND(), $D$4, $D$5))</f>
        <v>102.10245924694026</v>
      </c>
      <c r="ACT18" s="90">
        <f t="shared" ref="ACT18:ACT27" ca="1" si="785">ACT17*(1 + NORMINV(RAND(), $D$4, $D$5))</f>
        <v>56.621360946325247</v>
      </c>
      <c r="ACU18" s="90">
        <f t="shared" ref="ACU18:ACU27" ca="1" si="786">ACU17*(1 + NORMINV(RAND(), $D$4, $D$5))</f>
        <v>61.499045169472041</v>
      </c>
      <c r="ACV18" s="90">
        <f t="shared" ref="ACV18:ACV27" ca="1" si="787">ACV17*(1 + NORMINV(RAND(), $D$4, $D$5))</f>
        <v>77.706522090752514</v>
      </c>
      <c r="ACW18" s="90">
        <f t="shared" ref="ACW18:ACW27" ca="1" si="788">ACW17*(1 + NORMINV(RAND(), $D$4, $D$5))</f>
        <v>122.75604897544824</v>
      </c>
      <c r="ACX18" s="90">
        <f t="shared" ref="ACX18:ACX27" ca="1" si="789">ACX17*(1 + NORMINV(RAND(), $D$4, $D$5))</f>
        <v>18.280041930155079</v>
      </c>
      <c r="ACY18" s="90">
        <f t="shared" ref="ACY18:ACY27" ca="1" si="790">ACY17*(1 + NORMINV(RAND(), $D$4, $D$5))</f>
        <v>77.797791923827461</v>
      </c>
      <c r="ACZ18" s="90">
        <f t="shared" ref="ACZ18:ACZ27" ca="1" si="791">ACZ17*(1 + NORMINV(RAND(), $D$4, $D$5))</f>
        <v>27.292592320537899</v>
      </c>
      <c r="ADA18" s="90">
        <f t="shared" ref="ADA18:ADA27" ca="1" si="792">ADA17*(1 + NORMINV(RAND(), $D$4, $D$5))</f>
        <v>79.913583157417207</v>
      </c>
      <c r="ADB18" s="90">
        <f t="shared" ref="ADB18:ADB27" ca="1" si="793">ADB17*(1 + NORMINV(RAND(), $D$4, $D$5))</f>
        <v>79.682752812872181</v>
      </c>
      <c r="ADC18" s="90">
        <f t="shared" ref="ADC18:ADC27" ca="1" si="794">ADC17*(1 + NORMINV(RAND(), $D$4, $D$5))</f>
        <v>87.899524114325516</v>
      </c>
      <c r="ADD18" s="90">
        <f t="shared" ref="ADD18:ADD27" ca="1" si="795">ADD17*(1 + NORMINV(RAND(), $D$4, $D$5))</f>
        <v>66.039138683396686</v>
      </c>
      <c r="ADE18" s="90">
        <f t="shared" ref="ADE18:ADE27" ca="1" si="796">ADE17*(1 + NORMINV(RAND(), $D$4, $D$5))</f>
        <v>84.671099125969661</v>
      </c>
      <c r="ADF18" s="90">
        <f t="shared" ref="ADF18:ADF27" ca="1" si="797">ADF17*(1 + NORMINV(RAND(), $D$4, $D$5))</f>
        <v>82.853146552444031</v>
      </c>
      <c r="ADG18" s="90">
        <f t="shared" ref="ADG18:ADG27" ca="1" si="798">ADG17*(1 + NORMINV(RAND(), $D$4, $D$5))</f>
        <v>51.177131664027755</v>
      </c>
      <c r="ADH18" s="90">
        <f t="shared" ref="ADH18:ADH27" ca="1" si="799">ADH17*(1 + NORMINV(RAND(), $D$4, $D$5))</f>
        <v>45.538335278718556</v>
      </c>
      <c r="ADI18" s="90">
        <f t="shared" ref="ADI18:ADI27" ca="1" si="800">ADI17*(1 + NORMINV(RAND(), $D$4, $D$5))</f>
        <v>76.69850693186288</v>
      </c>
      <c r="ADJ18" s="90">
        <f t="shared" ref="ADJ18:ADJ27" ca="1" si="801">ADJ17*(1 + NORMINV(RAND(), $D$4, $D$5))</f>
        <v>62.452844248785361</v>
      </c>
      <c r="ADK18" s="90">
        <f t="shared" ref="ADK18:ADK27" ca="1" si="802">ADK17*(1 + NORMINV(RAND(), $D$4, $D$5))</f>
        <v>61.659081265665037</v>
      </c>
      <c r="ADL18" s="90">
        <f t="shared" ref="ADL18:ADL27" ca="1" si="803">ADL17*(1 + NORMINV(RAND(), $D$4, $D$5))</f>
        <v>68.065128459090047</v>
      </c>
      <c r="ADM18" s="90">
        <f t="shared" ref="ADM18:ADM27" ca="1" si="804">ADM17*(1 + NORMINV(RAND(), $D$4, $D$5))</f>
        <v>53.061201098116143</v>
      </c>
      <c r="ADN18" s="90">
        <f t="shared" ref="ADN18:ADN27" ca="1" si="805">ADN17*(1 + NORMINV(RAND(), $D$4, $D$5))</f>
        <v>80.177611710662745</v>
      </c>
      <c r="ADO18" s="90">
        <f t="shared" ref="ADO18:ADO27" ca="1" si="806">ADO17*(1 + NORMINV(RAND(), $D$4, $D$5))</f>
        <v>58.006901070420803</v>
      </c>
      <c r="ADP18" s="90">
        <f t="shared" ref="ADP18:ADP27" ca="1" si="807">ADP17*(1 + NORMINV(RAND(), $D$4, $D$5))</f>
        <v>98.941894211223968</v>
      </c>
      <c r="ADQ18" s="90">
        <f t="shared" ref="ADQ18:ADQ27" ca="1" si="808">ADQ17*(1 + NORMINV(RAND(), $D$4, $D$5))</f>
        <v>65.136385644504784</v>
      </c>
      <c r="ADR18" s="90">
        <f t="shared" ref="ADR18:ADR27" ca="1" si="809">ADR17*(1 + NORMINV(RAND(), $D$4, $D$5))</f>
        <v>79.283372874139744</v>
      </c>
      <c r="ADS18" s="90">
        <f t="shared" ref="ADS18:ADS27" ca="1" si="810">ADS17*(1 + NORMINV(RAND(), $D$4, $D$5))</f>
        <v>87.592214391751227</v>
      </c>
      <c r="ADT18" s="90">
        <f t="shared" ref="ADT18:ADT27" ca="1" si="811">ADT17*(1 + NORMINV(RAND(), $D$4, $D$5))</f>
        <v>50.274577911502568</v>
      </c>
      <c r="ADU18" s="90">
        <f t="shared" ref="ADU18:ADU27" ca="1" si="812">ADU17*(1 + NORMINV(RAND(), $D$4, $D$5))</f>
        <v>47.014865810859185</v>
      </c>
      <c r="ADV18" s="90">
        <f t="shared" ref="ADV18:ADV27" ca="1" si="813">ADV17*(1 + NORMINV(RAND(), $D$4, $D$5))</f>
        <v>84.153589276435738</v>
      </c>
      <c r="ADW18" s="90">
        <f t="shared" ref="ADW18:ADW27" ca="1" si="814">ADW17*(1 + NORMINV(RAND(), $D$4, $D$5))</f>
        <v>47.630374739051589</v>
      </c>
      <c r="ADX18" s="90">
        <f t="shared" ref="ADX18:ADX27" ca="1" si="815">ADX17*(1 + NORMINV(RAND(), $D$4, $D$5))</f>
        <v>42.594915769017184</v>
      </c>
      <c r="ADY18" s="90">
        <f t="shared" ref="ADY18:ADY27" ca="1" si="816">ADY17*(1 + NORMINV(RAND(), $D$4, $D$5))</f>
        <v>43.349389681858852</v>
      </c>
      <c r="ADZ18" s="90">
        <f t="shared" ref="ADZ18:ADZ27" ca="1" si="817">ADZ17*(1 + NORMINV(RAND(), $D$4, $D$5))</f>
        <v>37.145422796286987</v>
      </c>
      <c r="AEA18" s="90">
        <f t="shared" ref="AEA18:AEA27" ca="1" si="818">AEA17*(1 + NORMINV(RAND(), $D$4, $D$5))</f>
        <v>73.413347729362755</v>
      </c>
      <c r="AEB18" s="90">
        <f t="shared" ref="AEB18:AEB27" ca="1" si="819">AEB17*(1 + NORMINV(RAND(), $D$4, $D$5))</f>
        <v>16.121517235614952</v>
      </c>
      <c r="AEC18" s="90">
        <f t="shared" ref="AEC18:AEC27" ca="1" si="820">AEC17*(1 + NORMINV(RAND(), $D$4, $D$5))</f>
        <v>61.079132218454077</v>
      </c>
      <c r="AED18" s="90">
        <f t="shared" ref="AED18:AED27" ca="1" si="821">AED17*(1 + NORMINV(RAND(), $D$4, $D$5))</f>
        <v>30.330962958048321</v>
      </c>
      <c r="AEE18" s="90">
        <f t="shared" ref="AEE18:AEE27" ca="1" si="822">AEE17*(1 + NORMINV(RAND(), $D$4, $D$5))</f>
        <v>75.973406300650851</v>
      </c>
      <c r="AEF18" s="90">
        <f t="shared" ref="AEF18:AEF27" ca="1" si="823">AEF17*(1 + NORMINV(RAND(), $D$4, $D$5))</f>
        <v>47.568961529316972</v>
      </c>
      <c r="AEG18" s="90">
        <f t="shared" ref="AEG18:AEG27" ca="1" si="824">AEG17*(1 + NORMINV(RAND(), $D$4, $D$5))</f>
        <v>77.141364732013884</v>
      </c>
      <c r="AEH18" s="90">
        <f t="shared" ref="AEH18:AEH27" ca="1" si="825">AEH17*(1 + NORMINV(RAND(), $D$4, $D$5))</f>
        <v>67.80424918996286</v>
      </c>
      <c r="AEI18" s="90">
        <f t="shared" ref="AEI18:AEI27" ca="1" si="826">AEI17*(1 + NORMINV(RAND(), $D$4, $D$5))</f>
        <v>37.958834479546667</v>
      </c>
      <c r="AEJ18" s="90">
        <f t="shared" ref="AEJ18:AEJ27" ca="1" si="827">AEJ17*(1 + NORMINV(RAND(), $D$4, $D$5))</f>
        <v>70.478069960310549</v>
      </c>
      <c r="AEK18" s="90">
        <f t="shared" ref="AEK18:AEK27" ca="1" si="828">AEK17*(1 + NORMINV(RAND(), $D$4, $D$5))</f>
        <v>99.731808730775484</v>
      </c>
      <c r="AEL18" s="90">
        <f t="shared" ref="AEL18:AEL27" ca="1" si="829">AEL17*(1 + NORMINV(RAND(), $D$4, $D$5))</f>
        <v>59.639590895274317</v>
      </c>
      <c r="AEM18" s="90">
        <f t="shared" ref="AEM18:AEM27" ca="1" si="830">AEM17*(1 + NORMINV(RAND(), $D$4, $D$5))</f>
        <v>44.358906162383839</v>
      </c>
      <c r="AEN18" s="90">
        <f t="shared" ref="AEN18:AEN27" ca="1" si="831">AEN17*(1 + NORMINV(RAND(), $D$4, $D$5))</f>
        <v>35.039014445837942</v>
      </c>
      <c r="AEO18" s="90">
        <f t="shared" ref="AEO18:AEO27" ca="1" si="832">AEO17*(1 + NORMINV(RAND(), $D$4, $D$5))</f>
        <v>100.40619041491962</v>
      </c>
      <c r="AEP18" s="90">
        <f t="shared" ref="AEP18:AEP27" ca="1" si="833">AEP17*(1 + NORMINV(RAND(), $D$4, $D$5))</f>
        <v>32.150536173488355</v>
      </c>
      <c r="AEQ18" s="90">
        <f t="shared" ref="AEQ18:AEQ27" ca="1" si="834">AEQ17*(1 + NORMINV(RAND(), $D$4, $D$5))</f>
        <v>81.347525087536837</v>
      </c>
      <c r="AER18" s="90">
        <f t="shared" ref="AER18:AER27" ca="1" si="835">AER17*(1 + NORMINV(RAND(), $D$4, $D$5))</f>
        <v>81.100699659542116</v>
      </c>
      <c r="AES18" s="90">
        <f t="shared" ref="AES18:AES27" ca="1" si="836">AES17*(1 + NORMINV(RAND(), $D$4, $D$5))</f>
        <v>95.668168587057622</v>
      </c>
      <c r="AET18" s="90">
        <f t="shared" ref="AET18:AET27" ca="1" si="837">AET17*(1 + NORMINV(RAND(), $D$4, $D$5))</f>
        <v>63.980411270762644</v>
      </c>
      <c r="AEU18" s="90">
        <f t="shared" ref="AEU18:AEU27" ca="1" si="838">AEU17*(1 + NORMINV(RAND(), $D$4, $D$5))</f>
        <v>66.808006682376359</v>
      </c>
      <c r="AEV18" s="90">
        <f t="shared" ref="AEV18:AEV27" ca="1" si="839">AEV17*(1 + NORMINV(RAND(), $D$4, $D$5))</f>
        <v>70.185336471310421</v>
      </c>
      <c r="AEW18" s="90">
        <f t="shared" ref="AEW18:AEW27" ca="1" si="840">AEW17*(1 + NORMINV(RAND(), $D$4, $D$5))</f>
        <v>69.40754176090249</v>
      </c>
      <c r="AEX18" s="90">
        <f t="shared" ref="AEX18:AEX27" ca="1" si="841">AEX17*(1 + NORMINV(RAND(), $D$4, $D$5))</f>
        <v>92.754310467014761</v>
      </c>
      <c r="AEY18" s="90">
        <f t="shared" ref="AEY18:AEY27" ca="1" si="842">AEY17*(1 + NORMINV(RAND(), $D$4, $D$5))</f>
        <v>60.128571097797334</v>
      </c>
      <c r="AEZ18" s="90">
        <f t="shared" ref="AEZ18:AEZ27" ca="1" si="843">AEZ17*(1 + NORMINV(RAND(), $D$4, $D$5))</f>
        <v>46.562489843672722</v>
      </c>
      <c r="AFA18" s="90">
        <f t="shared" ref="AFA18:AFA27" ca="1" si="844">AFA17*(1 + NORMINV(RAND(), $D$4, $D$5))</f>
        <v>85.985939305300107</v>
      </c>
      <c r="AFB18" s="90">
        <f t="shared" ref="AFB18:AFB27" ca="1" si="845">AFB17*(1 + NORMINV(RAND(), $D$4, $D$5))</f>
        <v>57.721858535089034</v>
      </c>
      <c r="AFC18" s="90">
        <f t="shared" ref="AFC18:AFC27" ca="1" si="846">AFC17*(1 + NORMINV(RAND(), $D$4, $D$5))</f>
        <v>38.490578902771482</v>
      </c>
      <c r="AFD18" s="90">
        <f t="shared" ref="AFD18:AFD27" ca="1" si="847">AFD17*(1 + NORMINV(RAND(), $D$4, $D$5))</f>
        <v>75.589960875611013</v>
      </c>
      <c r="AFE18" s="90">
        <f t="shared" ref="AFE18:AFE27" ca="1" si="848">AFE17*(1 + NORMINV(RAND(), $D$4, $D$5))</f>
        <v>30.138170401270855</v>
      </c>
      <c r="AFF18" s="90">
        <f t="shared" ref="AFF18:AFF27" ca="1" si="849">AFF17*(1 + NORMINV(RAND(), $D$4, $D$5))</f>
        <v>70.349943049311022</v>
      </c>
      <c r="AFG18" s="90">
        <f t="shared" ref="AFG18:AFG27" ca="1" si="850">AFG17*(1 + NORMINV(RAND(), $D$4, $D$5))</f>
        <v>34.447752463764076</v>
      </c>
      <c r="AFH18" s="90">
        <f t="shared" ref="AFH18:AFH27" ca="1" si="851">AFH17*(1 + NORMINV(RAND(), $D$4, $D$5))</f>
        <v>59.376716383850571</v>
      </c>
      <c r="AFI18" s="90">
        <f t="shared" ref="AFI18:AFI27" ca="1" si="852">AFI17*(1 + NORMINV(RAND(), $D$4, $D$5))</f>
        <v>84.005422319432341</v>
      </c>
      <c r="AFJ18" s="90">
        <f t="shared" ref="AFJ18:AFJ27" ca="1" si="853">AFJ17*(1 + NORMINV(RAND(), $D$4, $D$5))</f>
        <v>71.161894284431455</v>
      </c>
      <c r="AFK18" s="90">
        <f t="shared" ref="AFK18:AFK27" ca="1" si="854">AFK17*(1 + NORMINV(RAND(), $D$4, $D$5))</f>
        <v>106.56823298966006</v>
      </c>
      <c r="AFL18" s="90">
        <f t="shared" ref="AFL18:AFL27" ca="1" si="855">AFL17*(1 + NORMINV(RAND(), $D$4, $D$5))</f>
        <v>78.308687959848385</v>
      </c>
      <c r="AFM18" s="90">
        <f t="shared" ref="AFM18:AFM27" ca="1" si="856">AFM17*(1 + NORMINV(RAND(), $D$4, $D$5))</f>
        <v>64.408449547348496</v>
      </c>
      <c r="AFN18" s="90">
        <f t="shared" ref="AFN18:AFN27" ca="1" si="857">AFN17*(1 + NORMINV(RAND(), $D$4, $D$5))</f>
        <v>47.265482325754043</v>
      </c>
      <c r="AFO18" s="90">
        <f t="shared" ref="AFO18:AFO27" ca="1" si="858">AFO17*(1 + NORMINV(RAND(), $D$4, $D$5))</f>
        <v>75.043800689185744</v>
      </c>
      <c r="AFP18" s="90">
        <f t="shared" ref="AFP18:AFP27" ca="1" si="859">AFP17*(1 + NORMINV(RAND(), $D$4, $D$5))</f>
        <v>75.091940907347606</v>
      </c>
      <c r="AFQ18" s="90">
        <f t="shared" ref="AFQ18:AFQ27" ca="1" si="860">AFQ17*(1 + NORMINV(RAND(), $D$4, $D$5))</f>
        <v>82.595262896784192</v>
      </c>
      <c r="AFR18" s="90">
        <f t="shared" ref="AFR18:AFR27" ca="1" si="861">AFR17*(1 + NORMINV(RAND(), $D$4, $D$5))</f>
        <v>46.892796744281441</v>
      </c>
      <c r="AFS18" s="90">
        <f t="shared" ref="AFS18:AFS27" ca="1" si="862">AFS17*(1 + NORMINV(RAND(), $D$4, $D$5))</f>
        <v>61.041612066572434</v>
      </c>
      <c r="AFT18" s="90">
        <f t="shared" ref="AFT18:AFT27" ca="1" si="863">AFT17*(1 + NORMINV(RAND(), $D$4, $D$5))</f>
        <v>67.724044771689279</v>
      </c>
      <c r="AFU18" s="90">
        <f t="shared" ref="AFU18:AFU27" ca="1" si="864">AFU17*(1 + NORMINV(RAND(), $D$4, $D$5))</f>
        <v>53.204562613109971</v>
      </c>
      <c r="AFV18" s="90">
        <f t="shared" ref="AFV18:AFV27" ca="1" si="865">AFV17*(1 + NORMINV(RAND(), $D$4, $D$5))</f>
        <v>105.3300224298799</v>
      </c>
      <c r="AFW18" s="90">
        <f t="shared" ref="AFW18:AFW27" ca="1" si="866">AFW17*(1 + NORMINV(RAND(), $D$4, $D$5))</f>
        <v>71.858843299208573</v>
      </c>
      <c r="AFX18" s="90">
        <f t="shared" ref="AFX18:AFX27" ca="1" si="867">AFX17*(1 + NORMINV(RAND(), $D$4, $D$5))</f>
        <v>69.957214057203501</v>
      </c>
      <c r="AFY18" s="90">
        <f t="shared" ref="AFY18:AFY27" ca="1" si="868">AFY17*(1 + NORMINV(RAND(), $D$4, $D$5))</f>
        <v>74.581127692092394</v>
      </c>
      <c r="AFZ18" s="90">
        <f t="shared" ref="AFZ18:AFZ27" ca="1" si="869">AFZ17*(1 + NORMINV(RAND(), $D$4, $D$5))</f>
        <v>36.749707193606355</v>
      </c>
      <c r="AGA18" s="90">
        <f t="shared" ref="AGA18:AGA27" ca="1" si="870">AGA17*(1 + NORMINV(RAND(), $D$4, $D$5))</f>
        <v>60.280947547240494</v>
      </c>
      <c r="AGB18" s="90">
        <f t="shared" ref="AGB18:AGB27" ca="1" si="871">AGB17*(1 + NORMINV(RAND(), $D$4, $D$5))</f>
        <v>56.984332937831788</v>
      </c>
      <c r="AGC18" s="90">
        <f t="shared" ref="AGC18:AGC27" ca="1" si="872">AGC17*(1 + NORMINV(RAND(), $D$4, $D$5))</f>
        <v>81.21827264216364</v>
      </c>
      <c r="AGD18" s="90">
        <f t="shared" ref="AGD18:AGD27" ca="1" si="873">AGD17*(1 + NORMINV(RAND(), $D$4, $D$5))</f>
        <v>55.190907146277617</v>
      </c>
      <c r="AGE18" s="90">
        <f t="shared" ref="AGE18:AGE27" ca="1" si="874">AGE17*(1 + NORMINV(RAND(), $D$4, $D$5))</f>
        <v>70.342513228608269</v>
      </c>
      <c r="AGF18" s="90">
        <f t="shared" ref="AGF18:AGF27" ca="1" si="875">AGF17*(1 + NORMINV(RAND(), $D$4, $D$5))</f>
        <v>54.041526066341682</v>
      </c>
      <c r="AGG18" s="90">
        <f t="shared" ref="AGG18:AGG27" ca="1" si="876">AGG17*(1 + NORMINV(RAND(), $D$4, $D$5))</f>
        <v>44.288122678181693</v>
      </c>
      <c r="AGH18" s="90">
        <f t="shared" ref="AGH18:AGH27" ca="1" si="877">AGH17*(1 + NORMINV(RAND(), $D$4, $D$5))</f>
        <v>100.10303917499778</v>
      </c>
      <c r="AGI18" s="90">
        <f t="shared" ref="AGI18:AGI27" ca="1" si="878">AGI17*(1 + NORMINV(RAND(), $D$4, $D$5))</f>
        <v>81.228474302855076</v>
      </c>
      <c r="AGJ18" s="90">
        <f t="shared" ref="AGJ18:AGJ27" ca="1" si="879">AGJ17*(1 + NORMINV(RAND(), $D$4, $D$5))</f>
        <v>93.050261649055471</v>
      </c>
      <c r="AGK18" s="90">
        <f t="shared" ref="AGK18:AGK27" ca="1" si="880">AGK17*(1 + NORMINV(RAND(), $D$4, $D$5))</f>
        <v>95.602006539863169</v>
      </c>
      <c r="AGL18" s="90">
        <f t="shared" ref="AGL18:AGL27" ca="1" si="881">AGL17*(1 + NORMINV(RAND(), $D$4, $D$5))</f>
        <v>71.467255008875725</v>
      </c>
      <c r="AGM18" s="90">
        <f t="shared" ref="AGM18:AGM27" ca="1" si="882">AGM17*(1 + NORMINV(RAND(), $D$4, $D$5))</f>
        <v>38.195016228369511</v>
      </c>
      <c r="AGN18" s="90">
        <f t="shared" ref="AGN18:AGN27" ca="1" si="883">AGN17*(1 + NORMINV(RAND(), $D$4, $D$5))</f>
        <v>77.64599779422052</v>
      </c>
      <c r="AGO18" s="90">
        <f t="shared" ref="AGO18:AGO27" ca="1" si="884">AGO17*(1 + NORMINV(RAND(), $D$4, $D$5))</f>
        <v>101.99941163814562</v>
      </c>
      <c r="AGP18" s="90">
        <f t="shared" ref="AGP18:AGP27" ca="1" si="885">AGP17*(1 + NORMINV(RAND(), $D$4, $D$5))</f>
        <v>59.450704592888115</v>
      </c>
      <c r="AGQ18" s="90">
        <f t="shared" ref="AGQ18:AGQ27" ca="1" si="886">AGQ17*(1 + NORMINV(RAND(), $D$4, $D$5))</f>
        <v>44.574910458016404</v>
      </c>
      <c r="AGR18" s="90">
        <f t="shared" ref="AGR18:AGR27" ca="1" si="887">AGR17*(1 + NORMINV(RAND(), $D$4, $D$5))</f>
        <v>56.096748004215186</v>
      </c>
      <c r="AGS18" s="90">
        <f t="shared" ref="AGS18:AGS27" ca="1" si="888">AGS17*(1 + NORMINV(RAND(), $D$4, $D$5))</f>
        <v>68.718723112226272</v>
      </c>
      <c r="AGT18" s="90">
        <f t="shared" ref="AGT18:AGT27" ca="1" si="889">AGT17*(1 + NORMINV(RAND(), $D$4, $D$5))</f>
        <v>63.627469553401667</v>
      </c>
      <c r="AGU18" s="90">
        <f t="shared" ref="AGU18:AGU27" ca="1" si="890">AGU17*(1 + NORMINV(RAND(), $D$4, $D$5))</f>
        <v>58.389435882524417</v>
      </c>
      <c r="AGV18" s="90">
        <f t="shared" ref="AGV18:AGV27" ca="1" si="891">AGV17*(1 + NORMINV(RAND(), $D$4, $D$5))</f>
        <v>40.767614352252906</v>
      </c>
      <c r="AGW18" s="90">
        <f t="shared" ref="AGW18:AGW27" ca="1" si="892">AGW17*(1 + NORMINV(RAND(), $D$4, $D$5))</f>
        <v>93.882717263955442</v>
      </c>
      <c r="AGX18" s="90">
        <f t="shared" ref="AGX18:AGX27" ca="1" si="893">AGX17*(1 + NORMINV(RAND(), $D$4, $D$5))</f>
        <v>50.439760823780993</v>
      </c>
      <c r="AGY18" s="90">
        <f t="shared" ref="AGY18:AGY27" ca="1" si="894">AGY17*(1 + NORMINV(RAND(), $D$4, $D$5))</f>
        <v>77.223281054054638</v>
      </c>
      <c r="AGZ18" s="90">
        <f t="shared" ref="AGZ18:AGZ27" ca="1" si="895">AGZ17*(1 + NORMINV(RAND(), $D$4, $D$5))</f>
        <v>99.55004795591509</v>
      </c>
      <c r="AHA18" s="90">
        <f t="shared" ref="AHA18:AHA27" ca="1" si="896">AHA17*(1 + NORMINV(RAND(), $D$4, $D$5))</f>
        <v>85.210281411963578</v>
      </c>
      <c r="AHB18" s="90">
        <f t="shared" ref="AHB18:AHB27" ca="1" si="897">AHB17*(1 + NORMINV(RAND(), $D$4, $D$5))</f>
        <v>71.993042550412355</v>
      </c>
      <c r="AHC18" s="90">
        <f t="shared" ref="AHC18:AHC27" ca="1" si="898">AHC17*(1 + NORMINV(RAND(), $D$4, $D$5))</f>
        <v>91.359786961310334</v>
      </c>
      <c r="AHD18" s="90">
        <f t="shared" ref="AHD18:AHD27" ca="1" si="899">AHD17*(1 + NORMINV(RAND(), $D$4, $D$5))</f>
        <v>102.8849578898531</v>
      </c>
      <c r="AHE18" s="90">
        <f t="shared" ref="AHE18:AHE27" ca="1" si="900">AHE17*(1 + NORMINV(RAND(), $D$4, $D$5))</f>
        <v>113.36823545977481</v>
      </c>
      <c r="AHF18" s="90">
        <f t="shared" ref="AHF18:AHF27" ca="1" si="901">AHF17*(1 + NORMINV(RAND(), $D$4, $D$5))</f>
        <v>99.430956017115847</v>
      </c>
      <c r="AHG18" s="90">
        <f t="shared" ref="AHG18:AHG27" ca="1" si="902">AHG17*(1 + NORMINV(RAND(), $D$4, $D$5))</f>
        <v>94.745537248382291</v>
      </c>
      <c r="AHH18" s="90">
        <f t="shared" ref="AHH18:AHH27" ca="1" si="903">AHH17*(1 + NORMINV(RAND(), $D$4, $D$5))</f>
        <v>83.327582098441781</v>
      </c>
      <c r="AHI18" s="90">
        <f t="shared" ref="AHI18:AHI27" ca="1" si="904">AHI17*(1 + NORMINV(RAND(), $D$4, $D$5))</f>
        <v>80.441430028438972</v>
      </c>
      <c r="AHJ18" s="90">
        <f t="shared" ref="AHJ18:AHJ27" ca="1" si="905">AHJ17*(1 + NORMINV(RAND(), $D$4, $D$5))</f>
        <v>73.321098244327658</v>
      </c>
      <c r="AHK18" s="90">
        <f t="shared" ref="AHK18:AHK27" ca="1" si="906">AHK17*(1 + NORMINV(RAND(), $D$4, $D$5))</f>
        <v>85.55548684704145</v>
      </c>
      <c r="AHL18" s="90">
        <f t="shared" ref="AHL18:AHL27" ca="1" si="907">AHL17*(1 + NORMINV(RAND(), $D$4, $D$5))</f>
        <v>56.829635434843283</v>
      </c>
      <c r="AHM18" s="90">
        <f t="shared" ref="AHM18:AHM27" ca="1" si="908">AHM17*(1 + NORMINV(RAND(), $D$4, $D$5))</f>
        <v>142.6969121894744</v>
      </c>
      <c r="AHN18" s="90">
        <f t="shared" ref="AHN18:AHN27" ca="1" si="909">AHN17*(1 + NORMINV(RAND(), $D$4, $D$5))</f>
        <v>85.873203871673027</v>
      </c>
      <c r="AHO18" s="90">
        <f t="shared" ref="AHO18:AHO27" ca="1" si="910">AHO17*(1 + NORMINV(RAND(), $D$4, $D$5))</f>
        <v>25.095239090001986</v>
      </c>
      <c r="AHP18" s="90">
        <f t="shared" ref="AHP18:AHP27" ca="1" si="911">AHP17*(1 + NORMINV(RAND(), $D$4, $D$5))</f>
        <v>61.616797241329294</v>
      </c>
      <c r="AHQ18" s="90">
        <f t="shared" ref="AHQ18:AHQ27" ca="1" si="912">AHQ17*(1 + NORMINV(RAND(), $D$4, $D$5))</f>
        <v>80.067855297598044</v>
      </c>
      <c r="AHR18" s="90">
        <f t="shared" ref="AHR18:AHR27" ca="1" si="913">AHR17*(1 + NORMINV(RAND(), $D$4, $D$5))</f>
        <v>78.020277215005635</v>
      </c>
      <c r="AHS18" s="90">
        <f t="shared" ref="AHS18:AHS27" ca="1" si="914">AHS17*(1 + NORMINV(RAND(), $D$4, $D$5))</f>
        <v>41.667436937611193</v>
      </c>
      <c r="AHT18" s="90">
        <f t="shared" ref="AHT18:AHT27" ca="1" si="915">AHT17*(1 + NORMINV(RAND(), $D$4, $D$5))</f>
        <v>51.14055702860513</v>
      </c>
      <c r="AHU18" s="90">
        <f t="shared" ref="AHU18:AHU27" ca="1" si="916">AHU17*(1 + NORMINV(RAND(), $D$4, $D$5))</f>
        <v>39.299723765788698</v>
      </c>
      <c r="AHV18" s="90">
        <f t="shared" ref="AHV18:AHV27" ca="1" si="917">AHV17*(1 + NORMINV(RAND(), $D$4, $D$5))</f>
        <v>82.41361401571416</v>
      </c>
      <c r="AHW18" s="90">
        <f t="shared" ref="AHW18:AHW27" ca="1" si="918">AHW17*(1 + NORMINV(RAND(), $D$4, $D$5))</f>
        <v>71.027209434096832</v>
      </c>
      <c r="AHX18" s="90">
        <f t="shared" ref="AHX18:AHX27" ca="1" si="919">AHX17*(1 + NORMINV(RAND(), $D$4, $D$5))</f>
        <v>63.399491863340302</v>
      </c>
      <c r="AHY18" s="90">
        <f t="shared" ref="AHY18:AHY27" ca="1" si="920">AHY17*(1 + NORMINV(RAND(), $D$4, $D$5))</f>
        <v>62.45448804132301</v>
      </c>
      <c r="AHZ18" s="90">
        <f t="shared" ref="AHZ18:AHZ27" ca="1" si="921">AHZ17*(1 + NORMINV(RAND(), $D$4, $D$5))</f>
        <v>104.43941878874951</v>
      </c>
      <c r="AIA18" s="90">
        <f t="shared" ref="AIA18:AIA27" ca="1" si="922">AIA17*(1 + NORMINV(RAND(), $D$4, $D$5))</f>
        <v>77.60738364496541</v>
      </c>
      <c r="AIB18" s="90">
        <f t="shared" ref="AIB18:AIB27" ca="1" si="923">AIB17*(1 + NORMINV(RAND(), $D$4, $D$5))</f>
        <v>47.554040103509799</v>
      </c>
      <c r="AIC18" s="90">
        <f t="shared" ref="AIC18:AIC27" ca="1" si="924">AIC17*(1 + NORMINV(RAND(), $D$4, $D$5))</f>
        <v>102.82103951764104</v>
      </c>
      <c r="AID18" s="90">
        <f t="shared" ref="AID18:AID27" ca="1" si="925">AID17*(1 + NORMINV(RAND(), $D$4, $D$5))</f>
        <v>98.17535615410273</v>
      </c>
      <c r="AIE18" s="90">
        <f t="shared" ref="AIE18:AIE27" ca="1" si="926">AIE17*(1 + NORMINV(RAND(), $D$4, $D$5))</f>
        <v>109.69661867548658</v>
      </c>
      <c r="AIF18" s="90">
        <f t="shared" ref="AIF18:AIF27" ca="1" si="927">AIF17*(1 + NORMINV(RAND(), $D$4, $D$5))</f>
        <v>133.8448005072151</v>
      </c>
      <c r="AIG18" s="90">
        <f t="shared" ref="AIG18:AIG27" ca="1" si="928">AIG17*(1 + NORMINV(RAND(), $D$4, $D$5))</f>
        <v>94.537756576111747</v>
      </c>
      <c r="AIH18" s="90">
        <f t="shared" ref="AIH18:AIH27" ca="1" si="929">AIH17*(1 + NORMINV(RAND(), $D$4, $D$5))</f>
        <v>57.00245442105188</v>
      </c>
      <c r="AII18" s="90">
        <f t="shared" ref="AII18:AII27" ca="1" si="930">AII17*(1 + NORMINV(RAND(), $D$4, $D$5))</f>
        <v>91.920900952489063</v>
      </c>
      <c r="AIJ18" s="90">
        <f t="shared" ref="AIJ18:AIJ27" ca="1" si="931">AIJ17*(1 + NORMINV(RAND(), $D$4, $D$5))</f>
        <v>81.468608646735589</v>
      </c>
      <c r="AIK18" s="90">
        <f t="shared" ref="AIK18:AIK27" ca="1" si="932">AIK17*(1 + NORMINV(RAND(), $D$4, $D$5))</f>
        <v>30.1808711923651</v>
      </c>
      <c r="AIL18" s="90">
        <f t="shared" ref="AIL18:AIL27" ca="1" si="933">AIL17*(1 + NORMINV(RAND(), $D$4, $D$5))</f>
        <v>55.163733534311532</v>
      </c>
      <c r="AIM18" s="90">
        <f t="shared" ref="AIM18:AIM27" ca="1" si="934">AIM17*(1 + NORMINV(RAND(), $D$4, $D$5))</f>
        <v>80.081694517687751</v>
      </c>
      <c r="AIN18" s="90">
        <f t="shared" ref="AIN18:AIN27" ca="1" si="935">AIN17*(1 + NORMINV(RAND(), $D$4, $D$5))</f>
        <v>58.173540348918266</v>
      </c>
      <c r="AIO18" s="90">
        <f t="shared" ref="AIO18:AIO27" ca="1" si="936">AIO17*(1 + NORMINV(RAND(), $D$4, $D$5))</f>
        <v>89.231181846299208</v>
      </c>
      <c r="AIP18" s="90">
        <f t="shared" ref="AIP18:AIP27" ca="1" si="937">AIP17*(1 + NORMINV(RAND(), $D$4, $D$5))</f>
        <v>62.902832520718547</v>
      </c>
      <c r="AIQ18" s="90">
        <f t="shared" ref="AIQ18:AIQ27" ca="1" si="938">AIQ17*(1 + NORMINV(RAND(), $D$4, $D$5))</f>
        <v>77.672803552416411</v>
      </c>
      <c r="AIR18" s="90">
        <f t="shared" ref="AIR18:AIR27" ca="1" si="939">AIR17*(1 + NORMINV(RAND(), $D$4, $D$5))</f>
        <v>111.93180623131171</v>
      </c>
      <c r="AIS18" s="90">
        <f t="shared" ref="AIS18:AIS27" ca="1" si="940">AIS17*(1 + NORMINV(RAND(), $D$4, $D$5))</f>
        <v>56.847228162334538</v>
      </c>
      <c r="AIT18" s="90">
        <f t="shared" ref="AIT18:AIT27" ca="1" si="941">AIT17*(1 + NORMINV(RAND(), $D$4, $D$5))</f>
        <v>56.734868166639217</v>
      </c>
      <c r="AIU18" s="90">
        <f t="shared" ref="AIU18:AIU27" ca="1" si="942">AIU17*(1 + NORMINV(RAND(), $D$4, $D$5))</f>
        <v>43.343647562685497</v>
      </c>
      <c r="AIV18" s="90">
        <f t="shared" ref="AIV18:AIV27" ca="1" si="943">AIV17*(1 + NORMINV(RAND(), $D$4, $D$5))</f>
        <v>42.757648034098153</v>
      </c>
      <c r="AIW18" s="90">
        <f t="shared" ref="AIW18:AIW27" ca="1" si="944">AIW17*(1 + NORMINV(RAND(), $D$4, $D$5))</f>
        <v>67.773105912760869</v>
      </c>
      <c r="AIX18" s="90">
        <f t="shared" ref="AIX18:AIX27" ca="1" si="945">AIX17*(1 + NORMINV(RAND(), $D$4, $D$5))</f>
        <v>70.427777633537488</v>
      </c>
      <c r="AIY18" s="90">
        <f t="shared" ref="AIY18:AIY27" ca="1" si="946">AIY17*(1 + NORMINV(RAND(), $D$4, $D$5))</f>
        <v>101.57798803957417</v>
      </c>
      <c r="AIZ18" s="90">
        <f t="shared" ref="AIZ18:AIZ27" ca="1" si="947">AIZ17*(1 + NORMINV(RAND(), $D$4, $D$5))</f>
        <v>69.625888186224927</v>
      </c>
      <c r="AJA18" s="90">
        <f t="shared" ref="AJA18:AJA27" ca="1" si="948">AJA17*(1 + NORMINV(RAND(), $D$4, $D$5))</f>
        <v>100.3002505034665</v>
      </c>
      <c r="AJB18" s="90">
        <f t="shared" ref="AJB18:AJB27" ca="1" si="949">AJB17*(1 + NORMINV(RAND(), $D$4, $D$5))</f>
        <v>59.726726638632073</v>
      </c>
      <c r="AJC18" s="90">
        <f t="shared" ref="AJC18:AJC27" ca="1" si="950">AJC17*(1 + NORMINV(RAND(), $D$4, $D$5))</f>
        <v>63.302647494538746</v>
      </c>
      <c r="AJD18" s="90">
        <f t="shared" ref="AJD18:AJD27" ca="1" si="951">AJD17*(1 + NORMINV(RAND(), $D$4, $D$5))</f>
        <v>71.387858906859378</v>
      </c>
      <c r="AJE18" s="90">
        <f t="shared" ref="AJE18:AJE27" ca="1" si="952">AJE17*(1 + NORMINV(RAND(), $D$4, $D$5))</f>
        <v>93.475069660650675</v>
      </c>
      <c r="AJF18" s="90">
        <f t="shared" ref="AJF18:AJF27" ca="1" si="953">AJF17*(1 + NORMINV(RAND(), $D$4, $D$5))</f>
        <v>26.590055630278616</v>
      </c>
      <c r="AJG18" s="90">
        <f t="shared" ref="AJG18:AJG27" ca="1" si="954">AJG17*(1 + NORMINV(RAND(), $D$4, $D$5))</f>
        <v>78.017246422846227</v>
      </c>
      <c r="AJH18" s="90">
        <f t="shared" ref="AJH18:AJH27" ca="1" si="955">AJH17*(1 + NORMINV(RAND(), $D$4, $D$5))</f>
        <v>31.676424990761461</v>
      </c>
      <c r="AJI18" s="90">
        <f t="shared" ref="AJI18:AJI27" ca="1" si="956">AJI17*(1 + NORMINV(RAND(), $D$4, $D$5))</f>
        <v>57.342286093940046</v>
      </c>
      <c r="AJJ18" s="90">
        <f t="shared" ref="AJJ18:AJJ27" ca="1" si="957">AJJ17*(1 + NORMINV(RAND(), $D$4, $D$5))</f>
        <v>78.543477813942431</v>
      </c>
      <c r="AJK18" s="90">
        <f t="shared" ref="AJK18:AJK27" ca="1" si="958">AJK17*(1 + NORMINV(RAND(), $D$4, $D$5))</f>
        <v>54.976654569986238</v>
      </c>
      <c r="AJL18" s="90">
        <f t="shared" ref="AJL18:AJL27" ca="1" si="959">AJL17*(1 + NORMINV(RAND(), $D$4, $D$5))</f>
        <v>49.241715197069873</v>
      </c>
      <c r="AJM18" s="90">
        <f t="shared" ref="AJM18:AJM27" ca="1" si="960">AJM17*(1 + NORMINV(RAND(), $D$4, $D$5))</f>
        <v>68.272542400667447</v>
      </c>
      <c r="AJN18" s="90">
        <f t="shared" ref="AJN18:AJN27" ca="1" si="961">AJN17*(1 + NORMINV(RAND(), $D$4, $D$5))</f>
        <v>55.922747003534113</v>
      </c>
      <c r="AJO18" s="90">
        <f t="shared" ref="AJO18:AJO27" ca="1" si="962">AJO17*(1 + NORMINV(RAND(), $D$4, $D$5))</f>
        <v>37.376895906468278</v>
      </c>
      <c r="AJP18" s="90">
        <f t="shared" ref="AJP18:AJP27" ca="1" si="963">AJP17*(1 + NORMINV(RAND(), $D$4, $D$5))</f>
        <v>108.65612180091516</v>
      </c>
      <c r="AJQ18" s="90">
        <f t="shared" ref="AJQ18:AJQ27" ca="1" si="964">AJQ17*(1 + NORMINV(RAND(), $D$4, $D$5))</f>
        <v>130.7788215097506</v>
      </c>
      <c r="AJR18" s="90">
        <f t="shared" ref="AJR18:AJR27" ca="1" si="965">AJR17*(1 + NORMINV(RAND(), $D$4, $D$5))</f>
        <v>56.946545699102678</v>
      </c>
      <c r="AJS18" s="90">
        <f t="shared" ref="AJS18:AJS27" ca="1" si="966">AJS17*(1 + NORMINV(RAND(), $D$4, $D$5))</f>
        <v>33.00392044217584</v>
      </c>
      <c r="AJT18" s="90">
        <f t="shared" ref="AJT18:AJT27" ca="1" si="967">AJT17*(1 + NORMINV(RAND(), $D$4, $D$5))</f>
        <v>67.152089169017103</v>
      </c>
      <c r="AJU18" s="90">
        <f t="shared" ref="AJU18:AJU27" ca="1" si="968">AJU17*(1 + NORMINV(RAND(), $D$4, $D$5))</f>
        <v>45.136177919359127</v>
      </c>
      <c r="AJV18" s="90">
        <f t="shared" ref="AJV18:AJV27" ca="1" si="969">AJV17*(1 + NORMINV(RAND(), $D$4, $D$5))</f>
        <v>105.47059951232241</v>
      </c>
      <c r="AJW18" s="90">
        <f t="shared" ref="AJW18:AJW27" ca="1" si="970">AJW17*(1 + NORMINV(RAND(), $D$4, $D$5))</f>
        <v>69.479124556524255</v>
      </c>
      <c r="AJX18" s="90">
        <f t="shared" ref="AJX18:AJX27" ca="1" si="971">AJX17*(1 + NORMINV(RAND(), $D$4, $D$5))</f>
        <v>45.439358568494256</v>
      </c>
      <c r="AJY18" s="90">
        <f t="shared" ref="AJY18:AJY27" ca="1" si="972">AJY17*(1 + NORMINV(RAND(), $D$4, $D$5))</f>
        <v>34.047179393450946</v>
      </c>
      <c r="AJZ18" s="90">
        <f t="shared" ref="AJZ18:AJZ27" ca="1" si="973">AJZ17*(1 + NORMINV(RAND(), $D$4, $D$5))</f>
        <v>88.554316859103054</v>
      </c>
      <c r="AKA18" s="90">
        <f t="shared" ref="AKA18:AKA27" ca="1" si="974">AKA17*(1 + NORMINV(RAND(), $D$4, $D$5))</f>
        <v>73.993426990437001</v>
      </c>
      <c r="AKB18" s="90">
        <f t="shared" ref="AKB18:AKB27" ca="1" si="975">AKB17*(1 + NORMINV(RAND(), $D$4, $D$5))</f>
        <v>33.22079209797068</v>
      </c>
      <c r="AKC18" s="90">
        <f t="shared" ref="AKC18:AKC27" ca="1" si="976">AKC17*(1 + NORMINV(RAND(), $D$4, $D$5))</f>
        <v>83.907112740495393</v>
      </c>
      <c r="AKD18" s="90">
        <f t="shared" ref="AKD18:AKD27" ca="1" si="977">AKD17*(1 + NORMINV(RAND(), $D$4, $D$5))</f>
        <v>120.14336880953586</v>
      </c>
      <c r="AKE18" s="90">
        <f t="shared" ref="AKE18:AKE27" ca="1" si="978">AKE17*(1 + NORMINV(RAND(), $D$4, $D$5))</f>
        <v>82.022759979690804</v>
      </c>
      <c r="AKF18" s="90">
        <f t="shared" ref="AKF18:AKF27" ca="1" si="979">AKF17*(1 + NORMINV(RAND(), $D$4, $D$5))</f>
        <v>53.632504518978593</v>
      </c>
      <c r="AKG18" s="90">
        <f t="shared" ref="AKG18:AKG27" ca="1" si="980">AKG17*(1 + NORMINV(RAND(), $D$4, $D$5))</f>
        <v>56.359582689667484</v>
      </c>
      <c r="AKH18" s="90">
        <f t="shared" ref="AKH18:AKH27" ca="1" si="981">AKH17*(1 + NORMINV(RAND(), $D$4, $D$5))</f>
        <v>20.66607470956513</v>
      </c>
      <c r="AKI18" s="90">
        <f t="shared" ref="AKI18:AKI27" ca="1" si="982">AKI17*(1 + NORMINV(RAND(), $D$4, $D$5))</f>
        <v>97.147843319471264</v>
      </c>
      <c r="AKJ18" s="90">
        <f t="shared" ref="AKJ18:AKJ27" ca="1" si="983">AKJ17*(1 + NORMINV(RAND(), $D$4, $D$5))</f>
        <v>82.769415106908269</v>
      </c>
      <c r="AKK18" s="90">
        <f t="shared" ref="AKK18:AKK27" ca="1" si="984">AKK17*(1 + NORMINV(RAND(), $D$4, $D$5))</f>
        <v>51.245663408860388</v>
      </c>
      <c r="AKL18" s="90">
        <f t="shared" ref="AKL18:AKL27" ca="1" si="985">AKL17*(1 + NORMINV(RAND(), $D$4, $D$5))</f>
        <v>52.548559639965617</v>
      </c>
      <c r="AKM18" s="90">
        <f t="shared" ref="AKM18:AKM27" ca="1" si="986">AKM17*(1 + NORMINV(RAND(), $D$4, $D$5))</f>
        <v>31.825694669378471</v>
      </c>
      <c r="AKN18" s="90">
        <f t="shared" ref="AKN18:AKN27" ca="1" si="987">AKN17*(1 + NORMINV(RAND(), $D$4, $D$5))</f>
        <v>35.743360918935139</v>
      </c>
      <c r="AKO18" s="90">
        <f t="shared" ref="AKO18:AKO27" ca="1" si="988">AKO17*(1 + NORMINV(RAND(), $D$4, $D$5))</f>
        <v>28.464416650970637</v>
      </c>
      <c r="AKP18" s="90">
        <f t="shared" ref="AKP18:AKP27" ca="1" si="989">AKP17*(1 + NORMINV(RAND(), $D$4, $D$5))</f>
        <v>38.32077047415536</v>
      </c>
      <c r="AKQ18" s="90">
        <f t="shared" ref="AKQ18:AKQ27" ca="1" si="990">AKQ17*(1 + NORMINV(RAND(), $D$4, $D$5))</f>
        <v>43.912944421918851</v>
      </c>
      <c r="AKR18" s="90">
        <f t="shared" ref="AKR18:AKR27" ca="1" si="991">AKR17*(1 + NORMINV(RAND(), $D$4, $D$5))</f>
        <v>39.242140329873692</v>
      </c>
      <c r="AKS18" s="90">
        <f t="shared" ref="AKS18:AKS27" ca="1" si="992">AKS17*(1 + NORMINV(RAND(), $D$4, $D$5))</f>
        <v>97.655116962189112</v>
      </c>
      <c r="AKT18" s="90">
        <f t="shared" ref="AKT18:AKT27" ca="1" si="993">AKT17*(1 + NORMINV(RAND(), $D$4, $D$5))</f>
        <v>35.777515223607494</v>
      </c>
      <c r="AKU18" s="90">
        <f t="shared" ref="AKU18:AKU27" ca="1" si="994">AKU17*(1 + NORMINV(RAND(), $D$4, $D$5))</f>
        <v>81.67970037094446</v>
      </c>
      <c r="AKV18" s="90">
        <f t="shared" ref="AKV18:AKV27" ca="1" si="995">AKV17*(1 + NORMINV(RAND(), $D$4, $D$5))</f>
        <v>54.760967231656217</v>
      </c>
      <c r="AKW18" s="90">
        <f t="shared" ref="AKW18:AKW27" ca="1" si="996">AKW17*(1 + NORMINV(RAND(), $D$4, $D$5))</f>
        <v>77.550693710487423</v>
      </c>
      <c r="AKX18" s="90">
        <f t="shared" ref="AKX18:AKX27" ca="1" si="997">AKX17*(1 + NORMINV(RAND(), $D$4, $D$5))</f>
        <v>67.508555111538229</v>
      </c>
      <c r="AKY18" s="90">
        <f t="shared" ref="AKY18:AKY27" ca="1" si="998">AKY17*(1 + NORMINV(RAND(), $D$4, $D$5))</f>
        <v>47.134951221587926</v>
      </c>
      <c r="AKZ18" s="90">
        <f t="shared" ref="AKZ18:AKZ27" ca="1" si="999">AKZ17*(1 + NORMINV(RAND(), $D$4, $D$5))</f>
        <v>75.673074104801643</v>
      </c>
      <c r="ALA18" s="90">
        <f t="shared" ref="ALA18:ALA27" ca="1" si="1000">ALA17*(1 + NORMINV(RAND(), $D$4, $D$5))</f>
        <v>89.11875970458324</v>
      </c>
      <c r="ALB18" s="90">
        <f t="shared" ref="ALB18:ALB27" ca="1" si="1001">ALB17*(1 + NORMINV(RAND(), $D$4, $D$5))</f>
        <v>52.595839689103549</v>
      </c>
      <c r="ALC18" s="90">
        <f t="shared" ref="ALC18:ALC27" ca="1" si="1002">ALC17*(1 + NORMINV(RAND(), $D$4, $D$5))</f>
        <v>91.223121008369759</v>
      </c>
      <c r="ALD18" s="90">
        <f t="shared" ref="ALD18:ALD27" ca="1" si="1003">ALD17*(1 + NORMINV(RAND(), $D$4, $D$5))</f>
        <v>102.26824760759422</v>
      </c>
      <c r="ALE18" s="90">
        <f t="shared" ref="ALE18:ALE27" ca="1" si="1004">ALE17*(1 + NORMINV(RAND(), $D$4, $D$5))</f>
        <v>77.346351157217939</v>
      </c>
      <c r="ALF18" s="90">
        <f t="shared" ref="ALF18:ALF27" ca="1" si="1005">ALF17*(1 + NORMINV(RAND(), $D$4, $D$5))</f>
        <v>95.574140573365909</v>
      </c>
      <c r="ALG18" s="90">
        <f t="shared" ref="ALG18:ALG27" ca="1" si="1006">ALG17*(1 + NORMINV(RAND(), $D$4, $D$5))</f>
        <v>82.257280069555279</v>
      </c>
      <c r="ALH18" s="90">
        <f t="shared" ref="ALH18:ALH27" ca="1" si="1007">ALH17*(1 + NORMINV(RAND(), $D$4, $D$5))</f>
        <v>45.678052838541426</v>
      </c>
      <c r="ALI18" s="90">
        <f t="shared" ref="ALI18:ALI27" ca="1" si="1008">ALI17*(1 + NORMINV(RAND(), $D$4, $D$5))</f>
        <v>76.779001894417775</v>
      </c>
      <c r="ALJ18" s="90">
        <f t="shared" ref="ALJ18:ALJ27" ca="1" si="1009">ALJ17*(1 + NORMINV(RAND(), $D$4, $D$5))</f>
        <v>70.567582342138408</v>
      </c>
      <c r="ALK18" s="90">
        <f t="shared" ref="ALK18:ALK27" ca="1" si="1010">ALK17*(1 + NORMINV(RAND(), $D$4, $D$5))</f>
        <v>69.228517648382194</v>
      </c>
      <c r="ALL18" s="90">
        <f t="shared" ref="ALL18:ALL27" ca="1" si="1011">ALL17*(1 + NORMINV(RAND(), $D$4, $D$5))</f>
        <v>78.213266578089019</v>
      </c>
      <c r="ALM18" s="90">
        <f t="shared" ref="ALM18:ALM27" ca="1" si="1012">ALM17*(1 + NORMINV(RAND(), $D$4, $D$5))</f>
        <v>60.835757655265759</v>
      </c>
      <c r="ALN18" s="90">
        <f t="shared" ref="ALN18:ALN27" ca="1" si="1013">ALN17*(1 + NORMINV(RAND(), $D$4, $D$5))</f>
        <v>62.605823289970836</v>
      </c>
      <c r="ALO18" s="90">
        <f t="shared" ref="ALO18:ALO27" ca="1" si="1014">ALO17*(1 + NORMINV(RAND(), $D$4, $D$5))</f>
        <v>118.97130584100982</v>
      </c>
      <c r="ALP18" s="90">
        <f t="shared" ref="ALP18:ALP27" ca="1" si="1015">ALP17*(1 + NORMINV(RAND(), $D$4, $D$5))</f>
        <v>91.039896838980624</v>
      </c>
      <c r="ALQ18" s="90">
        <f t="shared" ref="ALQ18:ALQ27" ca="1" si="1016">ALQ17*(1 + NORMINV(RAND(), $D$4, $D$5))</f>
        <v>74.819773835839456</v>
      </c>
    </row>
    <row r="19" spans="3:1005" x14ac:dyDescent="0.35">
      <c r="C19" s="61">
        <f t="shared" ca="1" si="17"/>
        <v>8.1306687491387475E-2</v>
      </c>
      <c r="D19" s="90">
        <f t="shared" ca="1" si="0"/>
        <v>75.278137947464018</v>
      </c>
      <c r="E19">
        <v>2</v>
      </c>
      <c r="F19" s="90">
        <f t="shared" ref="F19:F27" ca="1" si="1017">F18*(1 + NORMINV(RAND(), $D$4, $D$5))</f>
        <v>5.221374483072081</v>
      </c>
      <c r="G19" s="90">
        <f t="shared" ca="1" si="18"/>
        <v>49.319176608678497</v>
      </c>
      <c r="H19" s="90">
        <f t="shared" ca="1" si="19"/>
        <v>16.513025001631146</v>
      </c>
      <c r="I19" s="90">
        <f t="shared" ca="1" si="20"/>
        <v>89.172379891842908</v>
      </c>
      <c r="J19" s="90">
        <f t="shared" ca="1" si="21"/>
        <v>15.132095759440444</v>
      </c>
      <c r="K19" s="90">
        <f t="shared" ca="1" si="22"/>
        <v>175.13632924059291</v>
      </c>
      <c r="L19" s="90">
        <f t="shared" ca="1" si="23"/>
        <v>50.8446844609999</v>
      </c>
      <c r="M19" s="90">
        <f t="shared" ca="1" si="24"/>
        <v>53.303428214142556</v>
      </c>
      <c r="N19" s="90">
        <f t="shared" ca="1" si="25"/>
        <v>47.917114352857958</v>
      </c>
      <c r="O19" s="90">
        <f t="shared" ca="1" si="26"/>
        <v>46.180522643817149</v>
      </c>
      <c r="P19" s="90">
        <f t="shared" ca="1" si="27"/>
        <v>111.05079231732681</v>
      </c>
      <c r="Q19" s="90">
        <f t="shared" ca="1" si="28"/>
        <v>33.302901253368773</v>
      </c>
      <c r="R19" s="90">
        <f t="shared" ca="1" si="29"/>
        <v>63.545549953204024</v>
      </c>
      <c r="S19" s="90">
        <f t="shared" ca="1" si="30"/>
        <v>131.44864338666213</v>
      </c>
      <c r="T19" s="90">
        <f t="shared" ca="1" si="31"/>
        <v>118.47243338267964</v>
      </c>
      <c r="U19" s="90">
        <f t="shared" ca="1" si="32"/>
        <v>114.41145044936148</v>
      </c>
      <c r="V19" s="90">
        <f t="shared" ca="1" si="33"/>
        <v>86.153410928132089</v>
      </c>
      <c r="W19" s="90">
        <f t="shared" ca="1" si="34"/>
        <v>66.364187671136179</v>
      </c>
      <c r="X19" s="90">
        <f t="shared" ca="1" si="35"/>
        <v>161.99531899359118</v>
      </c>
      <c r="Y19" s="90">
        <f t="shared" ca="1" si="36"/>
        <v>155.42838742933608</v>
      </c>
      <c r="Z19" s="90">
        <f t="shared" ca="1" si="37"/>
        <v>88.023461861144867</v>
      </c>
      <c r="AA19" s="90">
        <f t="shared" ca="1" si="38"/>
        <v>47.191432139627153</v>
      </c>
      <c r="AB19" s="90">
        <f t="shared" ca="1" si="39"/>
        <v>74.30755616662006</v>
      </c>
      <c r="AC19" s="90">
        <f t="shared" ca="1" si="40"/>
        <v>56.423276972423771</v>
      </c>
      <c r="AD19" s="90">
        <f t="shared" ca="1" si="41"/>
        <v>172.32613541715463</v>
      </c>
      <c r="AE19" s="90">
        <f t="shared" ca="1" si="42"/>
        <v>144.39216144809026</v>
      </c>
      <c r="AF19" s="90">
        <f t="shared" ca="1" si="43"/>
        <v>140.24822554379074</v>
      </c>
      <c r="AG19" s="90">
        <f t="shared" ca="1" si="44"/>
        <v>63.672312792355896</v>
      </c>
      <c r="AH19" s="90">
        <f t="shared" ca="1" si="45"/>
        <v>36.120933527344036</v>
      </c>
      <c r="AI19" s="90">
        <f t="shared" ca="1" si="46"/>
        <v>111.07338619658715</v>
      </c>
      <c r="AJ19" s="90">
        <f t="shared" ca="1" si="47"/>
        <v>108.80571892213318</v>
      </c>
      <c r="AK19" s="90">
        <f t="shared" ca="1" si="48"/>
        <v>26.292274172519786</v>
      </c>
      <c r="AL19" s="90">
        <f t="shared" ca="1" si="49"/>
        <v>103.75788467555232</v>
      </c>
      <c r="AM19" s="90">
        <f t="shared" ca="1" si="50"/>
        <v>77.225992056147376</v>
      </c>
      <c r="AN19" s="90">
        <f t="shared" ca="1" si="51"/>
        <v>39.862254452455829</v>
      </c>
      <c r="AO19" s="90">
        <f t="shared" ca="1" si="52"/>
        <v>88.06752929168141</v>
      </c>
      <c r="AP19" s="90">
        <f t="shared" ca="1" si="53"/>
        <v>72.09570416986638</v>
      </c>
      <c r="AQ19" s="90">
        <f t="shared" ca="1" si="54"/>
        <v>34.242143912383959</v>
      </c>
      <c r="AR19" s="90">
        <f t="shared" ca="1" si="55"/>
        <v>37.290996008392099</v>
      </c>
      <c r="AS19" s="90">
        <f t="shared" ca="1" si="56"/>
        <v>97.555539143419495</v>
      </c>
      <c r="AT19" s="90">
        <f t="shared" ca="1" si="57"/>
        <v>38.864972166342014</v>
      </c>
      <c r="AU19" s="90">
        <f t="shared" ca="1" si="58"/>
        <v>130.57630172445661</v>
      </c>
      <c r="AV19" s="90">
        <f t="shared" ca="1" si="59"/>
        <v>43.653750071792302</v>
      </c>
      <c r="AW19" s="90">
        <f t="shared" ca="1" si="60"/>
        <v>88.183086534653611</v>
      </c>
      <c r="AX19" s="90">
        <f t="shared" ca="1" si="61"/>
        <v>57.540900623100939</v>
      </c>
      <c r="AY19" s="90">
        <f t="shared" ca="1" si="62"/>
        <v>77.324854244179647</v>
      </c>
      <c r="AZ19" s="90">
        <f t="shared" ca="1" si="63"/>
        <v>58.895073781345687</v>
      </c>
      <c r="BA19" s="90">
        <f t="shared" ca="1" si="64"/>
        <v>155.68722510528255</v>
      </c>
      <c r="BB19" s="90">
        <f t="shared" ca="1" si="65"/>
        <v>70.410871440238679</v>
      </c>
      <c r="BC19" s="90">
        <f t="shared" ca="1" si="66"/>
        <v>69.122240281979415</v>
      </c>
      <c r="BD19" s="90">
        <f t="shared" ca="1" si="67"/>
        <v>117.51882196212549</v>
      </c>
      <c r="BE19" s="90">
        <f t="shared" ca="1" si="68"/>
        <v>12.989013200550501</v>
      </c>
      <c r="BF19" s="90">
        <f t="shared" ca="1" si="69"/>
        <v>60.300855019735657</v>
      </c>
      <c r="BG19" s="90">
        <f t="shared" ca="1" si="70"/>
        <v>46.614475892933832</v>
      </c>
      <c r="BH19" s="90">
        <f t="shared" ca="1" si="71"/>
        <v>26.348296441561079</v>
      </c>
      <c r="BI19" s="90">
        <f t="shared" ca="1" si="72"/>
        <v>111.40299136853083</v>
      </c>
      <c r="BJ19" s="90">
        <f t="shared" ca="1" si="73"/>
        <v>21.169475219651712</v>
      </c>
      <c r="BK19" s="90">
        <f t="shared" ca="1" si="74"/>
        <v>3.8318495963359473</v>
      </c>
      <c r="BL19" s="90">
        <f t="shared" ca="1" si="75"/>
        <v>57.555962998284507</v>
      </c>
      <c r="BM19" s="90">
        <f t="shared" ca="1" si="76"/>
        <v>85.788955068534136</v>
      </c>
      <c r="BN19" s="90">
        <f t="shared" ca="1" si="77"/>
        <v>39.512343503099473</v>
      </c>
      <c r="BO19" s="90">
        <f t="shared" ca="1" si="78"/>
        <v>90.045833620464961</v>
      </c>
      <c r="BP19" s="90">
        <f t="shared" ca="1" si="79"/>
        <v>29.764182337578365</v>
      </c>
      <c r="BQ19" s="90">
        <f t="shared" ca="1" si="80"/>
        <v>84.28752445108249</v>
      </c>
      <c r="BR19" s="90">
        <f t="shared" ca="1" si="81"/>
        <v>123.15962211453562</v>
      </c>
      <c r="BS19" s="90">
        <f t="shared" ca="1" si="82"/>
        <v>91.240873947149808</v>
      </c>
      <c r="BT19" s="90">
        <f t="shared" ca="1" si="83"/>
        <v>37.471502274277107</v>
      </c>
      <c r="BU19" s="90">
        <f t="shared" ca="1" si="84"/>
        <v>69.799378228777741</v>
      </c>
      <c r="BV19" s="90">
        <f t="shared" ca="1" si="85"/>
        <v>54.36208119972288</v>
      </c>
      <c r="BW19" s="90">
        <f t="shared" ca="1" si="86"/>
        <v>86.105337056642725</v>
      </c>
      <c r="BX19" s="90">
        <f t="shared" ca="1" si="87"/>
        <v>17.302073720861568</v>
      </c>
      <c r="BY19" s="90">
        <f t="shared" ca="1" si="88"/>
        <v>80.905729096930401</v>
      </c>
      <c r="BZ19" s="90">
        <f t="shared" ca="1" si="89"/>
        <v>85.591914900379408</v>
      </c>
      <c r="CA19" s="90">
        <f t="shared" ca="1" si="90"/>
        <v>70.930783431721878</v>
      </c>
      <c r="CB19" s="90">
        <f t="shared" ca="1" si="91"/>
        <v>35.277255185157983</v>
      </c>
      <c r="CC19" s="90">
        <f t="shared" ca="1" si="92"/>
        <v>56.585534416647938</v>
      </c>
      <c r="CD19" s="90">
        <f t="shared" ca="1" si="93"/>
        <v>55.055815121159149</v>
      </c>
      <c r="CE19" s="90">
        <f t="shared" ca="1" si="94"/>
        <v>39.127398354553939</v>
      </c>
      <c r="CF19" s="90">
        <f t="shared" ca="1" si="95"/>
        <v>38.129612913450408</v>
      </c>
      <c r="CG19" s="90">
        <f t="shared" ca="1" si="96"/>
        <v>81.006980545285302</v>
      </c>
      <c r="CH19" s="90">
        <f t="shared" ca="1" si="97"/>
        <v>80.262147494253824</v>
      </c>
      <c r="CI19" s="90">
        <f t="shared" ca="1" si="98"/>
        <v>15.871330205382714</v>
      </c>
      <c r="CJ19" s="90">
        <f t="shared" ca="1" si="99"/>
        <v>29.537682914114733</v>
      </c>
      <c r="CK19" s="90">
        <f t="shared" ca="1" si="100"/>
        <v>46.524144976875149</v>
      </c>
      <c r="CL19" s="90">
        <f t="shared" ca="1" si="101"/>
        <v>43.841251712959142</v>
      </c>
      <c r="CM19" s="90">
        <f t="shared" ca="1" si="102"/>
        <v>50.921726094060467</v>
      </c>
      <c r="CN19" s="90">
        <f t="shared" ca="1" si="103"/>
        <v>130.23202324496114</v>
      </c>
      <c r="CO19" s="90">
        <f t="shared" ca="1" si="104"/>
        <v>153.73390322529187</v>
      </c>
      <c r="CP19" s="90">
        <f t="shared" ca="1" si="105"/>
        <v>125.40875497731598</v>
      </c>
      <c r="CQ19" s="90">
        <f t="shared" ca="1" si="106"/>
        <v>31.624102897334964</v>
      </c>
      <c r="CR19" s="90">
        <f t="shared" ca="1" si="107"/>
        <v>50.414464977739073</v>
      </c>
      <c r="CS19" s="90">
        <f t="shared" ca="1" si="108"/>
        <v>47.345158929945796</v>
      </c>
      <c r="CT19" s="90">
        <f t="shared" ca="1" si="109"/>
        <v>53.602829212781636</v>
      </c>
      <c r="CU19" s="90">
        <f t="shared" ca="1" si="110"/>
        <v>21.46506133474103</v>
      </c>
      <c r="CV19" s="90">
        <f t="shared" ca="1" si="111"/>
        <v>104.05528651683036</v>
      </c>
      <c r="CW19" s="90">
        <f t="shared" ca="1" si="112"/>
        <v>91.116279787027338</v>
      </c>
      <c r="CX19" s="90">
        <f t="shared" ca="1" si="113"/>
        <v>77.830542639479404</v>
      </c>
      <c r="CY19" s="90">
        <f t="shared" ca="1" si="114"/>
        <v>64.955325442663366</v>
      </c>
      <c r="CZ19" s="90">
        <f t="shared" ca="1" si="115"/>
        <v>132.19060016776271</v>
      </c>
      <c r="DA19" s="90">
        <f t="shared" ca="1" si="116"/>
        <v>78.310103245878636</v>
      </c>
      <c r="DB19" s="90">
        <f t="shared" ca="1" si="117"/>
        <v>90.424139190825102</v>
      </c>
      <c r="DC19" s="90">
        <f t="shared" ca="1" si="118"/>
        <v>47.305821473387681</v>
      </c>
      <c r="DD19" s="90">
        <f t="shared" ca="1" si="119"/>
        <v>117.83183011402708</v>
      </c>
      <c r="DE19" s="90">
        <f t="shared" ca="1" si="120"/>
        <v>91.816318046220374</v>
      </c>
      <c r="DF19" s="90">
        <f t="shared" ca="1" si="121"/>
        <v>21.860442877033908</v>
      </c>
      <c r="DG19" s="90">
        <f t="shared" ca="1" si="122"/>
        <v>41.375201900903065</v>
      </c>
      <c r="DH19" s="90">
        <f t="shared" ca="1" si="123"/>
        <v>65.833561756430072</v>
      </c>
      <c r="DI19" s="90">
        <f t="shared" ca="1" si="124"/>
        <v>87.817454237694591</v>
      </c>
      <c r="DJ19" s="90">
        <f t="shared" ca="1" si="125"/>
        <v>105.90351521302732</v>
      </c>
      <c r="DK19" s="90">
        <f t="shared" ca="1" si="126"/>
        <v>88.715935330297157</v>
      </c>
      <c r="DL19" s="90">
        <f t="shared" ca="1" si="127"/>
        <v>52.394370185249329</v>
      </c>
      <c r="DM19" s="90">
        <f t="shared" ca="1" si="128"/>
        <v>24.494060519825158</v>
      </c>
      <c r="DN19" s="90">
        <f t="shared" ca="1" si="129"/>
        <v>71.65064909557762</v>
      </c>
      <c r="DO19" s="90">
        <f t="shared" ca="1" si="130"/>
        <v>170.67437349337925</v>
      </c>
      <c r="DP19" s="90">
        <f t="shared" ca="1" si="131"/>
        <v>51.136616543214288</v>
      </c>
      <c r="DQ19" s="90">
        <f t="shared" ca="1" si="132"/>
        <v>121.21355315652397</v>
      </c>
      <c r="DR19" s="90">
        <f t="shared" ca="1" si="133"/>
        <v>129.05795076806811</v>
      </c>
      <c r="DS19" s="90">
        <f t="shared" ca="1" si="134"/>
        <v>90.973580870002976</v>
      </c>
      <c r="DT19" s="90">
        <f t="shared" ca="1" si="135"/>
        <v>-3.7359773329573698</v>
      </c>
      <c r="DU19" s="90">
        <f t="shared" ca="1" si="136"/>
        <v>48.170970054089388</v>
      </c>
      <c r="DV19" s="90">
        <f t="shared" ca="1" si="137"/>
        <v>125.81459793551399</v>
      </c>
      <c r="DW19" s="90">
        <f t="shared" ca="1" si="138"/>
        <v>156.73123075827357</v>
      </c>
      <c r="DX19" s="90">
        <f t="shared" ca="1" si="139"/>
        <v>90.433392949443927</v>
      </c>
      <c r="DY19" s="90">
        <f t="shared" ca="1" si="140"/>
        <v>67.023653869032302</v>
      </c>
      <c r="DZ19" s="90">
        <f t="shared" ca="1" si="141"/>
        <v>113.83106072059159</v>
      </c>
      <c r="EA19" s="90">
        <f t="shared" ca="1" si="142"/>
        <v>82.295803738208548</v>
      </c>
      <c r="EB19" s="90">
        <f t="shared" ca="1" si="143"/>
        <v>94.226778759443533</v>
      </c>
      <c r="EC19" s="90">
        <f t="shared" ca="1" si="144"/>
        <v>58.94657683909324</v>
      </c>
      <c r="ED19" s="90">
        <f t="shared" ca="1" si="145"/>
        <v>68.067018070495806</v>
      </c>
      <c r="EE19" s="90">
        <f t="shared" ca="1" si="146"/>
        <v>-8.3092031717446844</v>
      </c>
      <c r="EF19" s="90">
        <f t="shared" ca="1" si="147"/>
        <v>117.53173223373194</v>
      </c>
      <c r="EG19" s="90">
        <f t="shared" ca="1" si="148"/>
        <v>72.94854257517143</v>
      </c>
      <c r="EH19" s="90">
        <f t="shared" ca="1" si="149"/>
        <v>70.200033253270831</v>
      </c>
      <c r="EI19" s="90">
        <f t="shared" ca="1" si="150"/>
        <v>121.12908282646187</v>
      </c>
      <c r="EJ19" s="90">
        <f t="shared" ca="1" si="151"/>
        <v>146.71130212059691</v>
      </c>
      <c r="EK19" s="90">
        <f t="shared" ca="1" si="152"/>
        <v>40.637778631513157</v>
      </c>
      <c r="EL19" s="90">
        <f t="shared" ca="1" si="153"/>
        <v>149.1860544239081</v>
      </c>
      <c r="EM19" s="90">
        <f t="shared" ca="1" si="154"/>
        <v>12.2032833019355</v>
      </c>
      <c r="EN19" s="90">
        <f t="shared" ca="1" si="155"/>
        <v>74.557337655882549</v>
      </c>
      <c r="EO19" s="90">
        <f t="shared" ca="1" si="156"/>
        <v>111.2310983030878</v>
      </c>
      <c r="EP19" s="90">
        <f t="shared" ca="1" si="157"/>
        <v>77.978164101759049</v>
      </c>
      <c r="EQ19" s="90">
        <f t="shared" ca="1" si="158"/>
        <v>99.665716304109807</v>
      </c>
      <c r="ER19" s="90">
        <f t="shared" ca="1" si="159"/>
        <v>67.381712102875568</v>
      </c>
      <c r="ES19" s="90">
        <f t="shared" ca="1" si="160"/>
        <v>156.2140225049647</v>
      </c>
      <c r="ET19" s="90">
        <f t="shared" ca="1" si="161"/>
        <v>75.601697102438706</v>
      </c>
      <c r="EU19" s="90">
        <f t="shared" ca="1" si="162"/>
        <v>47.570478163895835</v>
      </c>
      <c r="EV19" s="90">
        <f t="shared" ca="1" si="163"/>
        <v>123.31398438973494</v>
      </c>
      <c r="EW19" s="90">
        <f t="shared" ca="1" si="164"/>
        <v>68.419367528861585</v>
      </c>
      <c r="EX19" s="90">
        <f t="shared" ca="1" si="165"/>
        <v>29.40360723068839</v>
      </c>
      <c r="EY19" s="90">
        <f t="shared" ca="1" si="166"/>
        <v>45.312057820476419</v>
      </c>
      <c r="EZ19" s="90">
        <f t="shared" ca="1" si="167"/>
        <v>67.12780777125711</v>
      </c>
      <c r="FA19" s="90">
        <f t="shared" ca="1" si="168"/>
        <v>70.562465454374518</v>
      </c>
      <c r="FB19" s="90">
        <f t="shared" ca="1" si="169"/>
        <v>76.479605757674335</v>
      </c>
      <c r="FC19" s="90">
        <f t="shared" ca="1" si="170"/>
        <v>198.61240526003505</v>
      </c>
      <c r="FD19" s="90">
        <f t="shared" ca="1" si="171"/>
        <v>110.14625233118767</v>
      </c>
      <c r="FE19" s="90">
        <f t="shared" ca="1" si="172"/>
        <v>19.308146296050314</v>
      </c>
      <c r="FF19" s="90">
        <f t="shared" ca="1" si="173"/>
        <v>180.55916134760844</v>
      </c>
      <c r="FG19" s="90">
        <f t="shared" ca="1" si="174"/>
        <v>130.23369203946879</v>
      </c>
      <c r="FH19" s="90">
        <f t="shared" ca="1" si="175"/>
        <v>116.63482990506743</v>
      </c>
      <c r="FI19" s="90">
        <f t="shared" ca="1" si="176"/>
        <v>33.943075625004191</v>
      </c>
      <c r="FJ19" s="90">
        <f t="shared" ca="1" si="177"/>
        <v>78.061597543351169</v>
      </c>
      <c r="FK19" s="90">
        <f t="shared" ca="1" si="178"/>
        <v>52.079303534858454</v>
      </c>
      <c r="FL19" s="90">
        <f t="shared" ca="1" si="179"/>
        <v>225.06924882819382</v>
      </c>
      <c r="FM19" s="90">
        <f t="shared" ca="1" si="180"/>
        <v>102.90682790288785</v>
      </c>
      <c r="FN19" s="90">
        <f t="shared" ca="1" si="181"/>
        <v>64.27803495021729</v>
      </c>
      <c r="FO19" s="90">
        <f t="shared" ca="1" si="182"/>
        <v>104.35712116745789</v>
      </c>
      <c r="FP19" s="90">
        <f t="shared" ca="1" si="183"/>
        <v>43.367973394991481</v>
      </c>
      <c r="FQ19" s="90">
        <f t="shared" ca="1" si="184"/>
        <v>70.112786709888582</v>
      </c>
      <c r="FR19" s="90">
        <f t="shared" ca="1" si="185"/>
        <v>75.117087392956705</v>
      </c>
      <c r="FS19" s="90">
        <f t="shared" ca="1" si="186"/>
        <v>138.34591801388677</v>
      </c>
      <c r="FT19" s="90">
        <f t="shared" ca="1" si="187"/>
        <v>116.19757767587473</v>
      </c>
      <c r="FU19" s="90">
        <f t="shared" ca="1" si="188"/>
        <v>103.14640753402711</v>
      </c>
      <c r="FV19" s="90">
        <f t="shared" ca="1" si="189"/>
        <v>93.553060735467312</v>
      </c>
      <c r="FW19" s="90">
        <f t="shared" ca="1" si="190"/>
        <v>40.438929645424707</v>
      </c>
      <c r="FX19" s="90">
        <f t="shared" ca="1" si="191"/>
        <v>55.349699713680565</v>
      </c>
      <c r="FY19" s="90">
        <f t="shared" ca="1" si="192"/>
        <v>71.966266183046812</v>
      </c>
      <c r="FZ19" s="90">
        <f t="shared" ca="1" si="193"/>
        <v>34.14835873819905</v>
      </c>
      <c r="GA19" s="90">
        <f t="shared" ca="1" si="194"/>
        <v>15.790659054599402</v>
      </c>
      <c r="GB19" s="90">
        <f t="shared" ca="1" si="195"/>
        <v>95.419704729545998</v>
      </c>
      <c r="GC19" s="90">
        <f t="shared" ca="1" si="196"/>
        <v>56.013102046430923</v>
      </c>
      <c r="GD19" s="90">
        <f t="shared" ca="1" si="197"/>
        <v>107.06670623015151</v>
      </c>
      <c r="GE19" s="90">
        <f t="shared" ca="1" si="198"/>
        <v>8.2592177392627626</v>
      </c>
      <c r="GF19" s="90">
        <f t="shared" ca="1" si="199"/>
        <v>101.76115971559325</v>
      </c>
      <c r="GG19" s="90">
        <f t="shared" ca="1" si="200"/>
        <v>114.56111375355964</v>
      </c>
      <c r="GH19" s="90">
        <f t="shared" ca="1" si="201"/>
        <v>105.33333375360557</v>
      </c>
      <c r="GI19" s="90">
        <f t="shared" ca="1" si="202"/>
        <v>56.326619952298323</v>
      </c>
      <c r="GJ19" s="90">
        <f t="shared" ca="1" si="203"/>
        <v>103.46150225293903</v>
      </c>
      <c r="GK19" s="90">
        <f t="shared" ca="1" si="204"/>
        <v>149.04093675755061</v>
      </c>
      <c r="GL19" s="90">
        <f t="shared" ca="1" si="205"/>
        <v>138.63074849241235</v>
      </c>
      <c r="GM19" s="90">
        <f t="shared" ca="1" si="206"/>
        <v>19.358079931319683</v>
      </c>
      <c r="GN19" s="90">
        <f t="shared" ca="1" si="207"/>
        <v>52.615194428707277</v>
      </c>
      <c r="GO19" s="90">
        <f t="shared" ca="1" si="208"/>
        <v>68.897799482254641</v>
      </c>
      <c r="GP19" s="90">
        <f t="shared" ca="1" si="209"/>
        <v>124.29162582724167</v>
      </c>
      <c r="GQ19" s="90">
        <f t="shared" ca="1" si="210"/>
        <v>76.112664897526415</v>
      </c>
      <c r="GR19" s="90">
        <f t="shared" ca="1" si="211"/>
        <v>87.397508488788844</v>
      </c>
      <c r="GS19" s="90">
        <f t="shared" ca="1" si="212"/>
        <v>49.677596494146158</v>
      </c>
      <c r="GT19" s="90">
        <f t="shared" ca="1" si="213"/>
        <v>11.216927475205022</v>
      </c>
      <c r="GU19" s="90">
        <f t="shared" ca="1" si="214"/>
        <v>103.3405795991449</v>
      </c>
      <c r="GV19" s="90">
        <f t="shared" ca="1" si="215"/>
        <v>77.204918585367409</v>
      </c>
      <c r="GW19" s="90">
        <f t="shared" ca="1" si="216"/>
        <v>70.767616354700436</v>
      </c>
      <c r="GX19" s="90">
        <f t="shared" ca="1" si="217"/>
        <v>132.81666908834737</v>
      </c>
      <c r="GY19" s="90">
        <f t="shared" ca="1" si="218"/>
        <v>82.759554579896772</v>
      </c>
      <c r="GZ19" s="90">
        <f t="shared" ca="1" si="219"/>
        <v>62.99646270745172</v>
      </c>
      <c r="HA19" s="90">
        <f t="shared" ca="1" si="220"/>
        <v>101.77995731052445</v>
      </c>
      <c r="HB19" s="90">
        <f t="shared" ca="1" si="221"/>
        <v>70.851982858476049</v>
      </c>
      <c r="HC19" s="90">
        <f t="shared" ca="1" si="222"/>
        <v>108.31014618405926</v>
      </c>
      <c r="HD19" s="90">
        <f t="shared" ca="1" si="223"/>
        <v>59.037885171648327</v>
      </c>
      <c r="HE19" s="90">
        <f t="shared" ca="1" si="224"/>
        <v>53.46741214680145</v>
      </c>
      <c r="HF19" s="90">
        <f t="shared" ca="1" si="225"/>
        <v>75.996506850724529</v>
      </c>
      <c r="HG19" s="90">
        <f t="shared" ca="1" si="226"/>
        <v>87.91094256164736</v>
      </c>
      <c r="HH19" s="90">
        <f t="shared" ca="1" si="227"/>
        <v>54.993061046508146</v>
      </c>
      <c r="HI19" s="90">
        <f t="shared" ca="1" si="228"/>
        <v>142.88902274649234</v>
      </c>
      <c r="HJ19" s="90">
        <f t="shared" ca="1" si="229"/>
        <v>128.39026754077503</v>
      </c>
      <c r="HK19" s="90">
        <f t="shared" ca="1" si="230"/>
        <v>59.495913679186806</v>
      </c>
      <c r="HL19" s="90">
        <f t="shared" ca="1" si="231"/>
        <v>164.35476690065218</v>
      </c>
      <c r="HM19" s="90">
        <f t="shared" ca="1" si="232"/>
        <v>43.098787094606124</v>
      </c>
      <c r="HN19" s="90">
        <f t="shared" ca="1" si="233"/>
        <v>161.13382368739082</v>
      </c>
      <c r="HO19" s="90">
        <f t="shared" ca="1" si="234"/>
        <v>130.01885469365808</v>
      </c>
      <c r="HP19" s="90">
        <f t="shared" ca="1" si="235"/>
        <v>75.478690680798337</v>
      </c>
      <c r="HQ19" s="90">
        <f t="shared" ca="1" si="236"/>
        <v>86.964416871814848</v>
      </c>
      <c r="HR19" s="90">
        <f t="shared" ca="1" si="237"/>
        <v>68.565491584121261</v>
      </c>
      <c r="HS19" s="90">
        <f t="shared" ca="1" si="238"/>
        <v>21.428878313110442</v>
      </c>
      <c r="HT19" s="90">
        <f t="shared" ca="1" si="239"/>
        <v>85.297636097923544</v>
      </c>
      <c r="HU19" s="90">
        <f t="shared" ca="1" si="240"/>
        <v>89.619686824204948</v>
      </c>
      <c r="HV19" s="90">
        <f t="shared" ca="1" si="241"/>
        <v>90.996487408059991</v>
      </c>
      <c r="HW19" s="90">
        <f t="shared" ca="1" si="242"/>
        <v>40.219785357703415</v>
      </c>
      <c r="HX19" s="90">
        <f t="shared" ca="1" si="243"/>
        <v>131.6073125966638</v>
      </c>
      <c r="HY19" s="90">
        <f t="shared" ca="1" si="244"/>
        <v>110.3489165225419</v>
      </c>
      <c r="HZ19" s="90">
        <f t="shared" ca="1" si="245"/>
        <v>79.63053421787528</v>
      </c>
      <c r="IA19" s="90">
        <f t="shared" ca="1" si="246"/>
        <v>50.353466154870851</v>
      </c>
      <c r="IB19" s="90">
        <f t="shared" ca="1" si="247"/>
        <v>102.01837830012498</v>
      </c>
      <c r="IC19" s="90">
        <f t="shared" ca="1" si="248"/>
        <v>8.6269807158624019</v>
      </c>
      <c r="ID19" s="90">
        <f t="shared" ca="1" si="249"/>
        <v>44.351912235839002</v>
      </c>
      <c r="IE19" s="90">
        <f t="shared" ca="1" si="250"/>
        <v>78.571746810735519</v>
      </c>
      <c r="IF19" s="90">
        <f t="shared" ca="1" si="251"/>
        <v>117.60999921237696</v>
      </c>
      <c r="IG19" s="90">
        <f t="shared" ca="1" si="252"/>
        <v>66.682454342806125</v>
      </c>
      <c r="IH19" s="90">
        <f t="shared" ca="1" si="253"/>
        <v>78.653206826582618</v>
      </c>
      <c r="II19" s="90">
        <f t="shared" ca="1" si="254"/>
        <v>22.722743525886152</v>
      </c>
      <c r="IJ19" s="90">
        <f t="shared" ca="1" si="255"/>
        <v>39.003232366986722</v>
      </c>
      <c r="IK19" s="90">
        <f t="shared" ca="1" si="256"/>
        <v>98.847723982911461</v>
      </c>
      <c r="IL19" s="90">
        <f t="shared" ca="1" si="257"/>
        <v>102.61150896844272</v>
      </c>
      <c r="IM19" s="90">
        <f t="shared" ca="1" si="258"/>
        <v>114.15527381789099</v>
      </c>
      <c r="IN19" s="90">
        <f t="shared" ca="1" si="259"/>
        <v>49.868818766154085</v>
      </c>
      <c r="IO19" s="90">
        <f t="shared" ca="1" si="260"/>
        <v>10.336467726691401</v>
      </c>
      <c r="IP19" s="90">
        <f t="shared" ca="1" si="261"/>
        <v>58.524221987382212</v>
      </c>
      <c r="IQ19" s="90">
        <f t="shared" ca="1" si="262"/>
        <v>54.045536660571877</v>
      </c>
      <c r="IR19" s="90">
        <f t="shared" ca="1" si="263"/>
        <v>55.396969454336784</v>
      </c>
      <c r="IS19" s="90">
        <f t="shared" ca="1" si="264"/>
        <v>23.289462647106443</v>
      </c>
      <c r="IT19" s="90">
        <f t="shared" ca="1" si="265"/>
        <v>105.58889270381083</v>
      </c>
      <c r="IU19" s="90">
        <f t="shared" ca="1" si="266"/>
        <v>141.01362775974596</v>
      </c>
      <c r="IV19" s="90">
        <f t="shared" ca="1" si="267"/>
        <v>29.498796823653617</v>
      </c>
      <c r="IW19" s="90">
        <f t="shared" ca="1" si="268"/>
        <v>33.774897557799157</v>
      </c>
      <c r="IX19" s="90">
        <f t="shared" ca="1" si="269"/>
        <v>47.128155777001879</v>
      </c>
      <c r="IY19" s="90">
        <f t="shared" ca="1" si="270"/>
        <v>133.77050025106234</v>
      </c>
      <c r="IZ19" s="90">
        <f t="shared" ca="1" si="271"/>
        <v>109.92012799530535</v>
      </c>
      <c r="JA19" s="90">
        <f t="shared" ca="1" si="272"/>
        <v>50.725698456082426</v>
      </c>
      <c r="JB19" s="90">
        <f t="shared" ca="1" si="273"/>
        <v>41.177752797614758</v>
      </c>
      <c r="JC19" s="90">
        <f t="shared" ca="1" si="274"/>
        <v>129.42117424153599</v>
      </c>
      <c r="JD19" s="90">
        <f t="shared" ca="1" si="275"/>
        <v>65.413309919732612</v>
      </c>
      <c r="JE19" s="90">
        <f t="shared" ca="1" si="276"/>
        <v>130.59126908386429</v>
      </c>
      <c r="JF19" s="90">
        <f t="shared" ca="1" si="277"/>
        <v>64.360408118480336</v>
      </c>
      <c r="JG19" s="90">
        <f t="shared" ca="1" si="278"/>
        <v>81.291774901213756</v>
      </c>
      <c r="JH19" s="90">
        <f t="shared" ca="1" si="279"/>
        <v>19.51852585690872</v>
      </c>
      <c r="JI19" s="90">
        <f t="shared" ca="1" si="280"/>
        <v>31.457935962965891</v>
      </c>
      <c r="JJ19" s="90">
        <f t="shared" ca="1" si="281"/>
        <v>60.667085607535597</v>
      </c>
      <c r="JK19" s="90">
        <f t="shared" ca="1" si="282"/>
        <v>50.693414430178258</v>
      </c>
      <c r="JL19" s="90">
        <f t="shared" ca="1" si="283"/>
        <v>119.71250851452892</v>
      </c>
      <c r="JM19" s="90">
        <f t="shared" ca="1" si="284"/>
        <v>50.570506184206067</v>
      </c>
      <c r="JN19" s="90">
        <f t="shared" ca="1" si="285"/>
        <v>75.151301052793357</v>
      </c>
      <c r="JO19" s="90">
        <f t="shared" ca="1" si="286"/>
        <v>31.561113553563736</v>
      </c>
      <c r="JP19" s="90">
        <f t="shared" ca="1" si="287"/>
        <v>11.875599802359076</v>
      </c>
      <c r="JQ19" s="90">
        <f t="shared" ca="1" si="288"/>
        <v>61.082374020763112</v>
      </c>
      <c r="JR19" s="90">
        <f t="shared" ca="1" si="289"/>
        <v>63.171842670534083</v>
      </c>
      <c r="JS19" s="90">
        <f t="shared" ca="1" si="290"/>
        <v>60.457964124357915</v>
      </c>
      <c r="JT19" s="90">
        <f t="shared" ca="1" si="291"/>
        <v>37.469166027786777</v>
      </c>
      <c r="JU19" s="90">
        <f t="shared" ca="1" si="292"/>
        <v>74.149823102989401</v>
      </c>
      <c r="JV19" s="90">
        <f t="shared" ca="1" si="293"/>
        <v>74.039391327488232</v>
      </c>
      <c r="JW19" s="90">
        <f t="shared" ca="1" si="294"/>
        <v>67.078325553292771</v>
      </c>
      <c r="JX19" s="90">
        <f t="shared" ca="1" si="295"/>
        <v>90.555793257840762</v>
      </c>
      <c r="JY19" s="90">
        <f t="shared" ca="1" si="296"/>
        <v>114.53039597263131</v>
      </c>
      <c r="JZ19" s="90">
        <f t="shared" ca="1" si="297"/>
        <v>83.926107765868707</v>
      </c>
      <c r="KA19" s="90">
        <f t="shared" ca="1" si="298"/>
        <v>57.388925627047733</v>
      </c>
      <c r="KB19" s="90">
        <f t="shared" ca="1" si="299"/>
        <v>60.133624269678556</v>
      </c>
      <c r="KC19" s="90">
        <f t="shared" ca="1" si="300"/>
        <v>36.760708684016663</v>
      </c>
      <c r="KD19" s="90">
        <f t="shared" ca="1" si="301"/>
        <v>51.682973689789677</v>
      </c>
      <c r="KE19" s="90">
        <f t="shared" ca="1" si="302"/>
        <v>55.064102613873509</v>
      </c>
      <c r="KF19" s="90">
        <f t="shared" ca="1" si="303"/>
        <v>39.556583236021645</v>
      </c>
      <c r="KG19" s="90">
        <f t="shared" ca="1" si="304"/>
        <v>148.24520713775698</v>
      </c>
      <c r="KH19" s="90">
        <f t="shared" ca="1" si="305"/>
        <v>119.76313897901902</v>
      </c>
      <c r="KI19" s="90">
        <f t="shared" ca="1" si="306"/>
        <v>118.66686448665318</v>
      </c>
      <c r="KJ19" s="90">
        <f t="shared" ca="1" si="307"/>
        <v>75.951393890164198</v>
      </c>
      <c r="KK19" s="90">
        <f t="shared" ca="1" si="308"/>
        <v>13.898585944340264</v>
      </c>
      <c r="KL19" s="90">
        <f t="shared" ca="1" si="309"/>
        <v>14.598659839230297</v>
      </c>
      <c r="KM19" s="90">
        <f t="shared" ca="1" si="310"/>
        <v>23.030242532857301</v>
      </c>
      <c r="KN19" s="90">
        <f t="shared" ca="1" si="311"/>
        <v>120.1466559509068</v>
      </c>
      <c r="KO19" s="90">
        <f t="shared" ca="1" si="312"/>
        <v>107.83012974507787</v>
      </c>
      <c r="KP19" s="90">
        <f t="shared" ca="1" si="313"/>
        <v>65.075753491763081</v>
      </c>
      <c r="KQ19" s="90">
        <f t="shared" ca="1" si="314"/>
        <v>48.591473442399824</v>
      </c>
      <c r="KR19" s="90">
        <f t="shared" ca="1" si="315"/>
        <v>116.15773405945419</v>
      </c>
      <c r="KS19" s="90">
        <f t="shared" ca="1" si="316"/>
        <v>78.479582949517805</v>
      </c>
      <c r="KT19" s="90">
        <f t="shared" ca="1" si="317"/>
        <v>114.64647424281054</v>
      </c>
      <c r="KU19" s="90">
        <f t="shared" ca="1" si="318"/>
        <v>71.749207291750693</v>
      </c>
      <c r="KV19" s="90">
        <f t="shared" ca="1" si="319"/>
        <v>65.209073989452349</v>
      </c>
      <c r="KW19" s="90">
        <f t="shared" ca="1" si="320"/>
        <v>111.5239992464804</v>
      </c>
      <c r="KX19" s="90">
        <f t="shared" ca="1" si="321"/>
        <v>30.038403811958577</v>
      </c>
      <c r="KY19" s="90">
        <f t="shared" ca="1" si="322"/>
        <v>101.09040474252345</v>
      </c>
      <c r="KZ19" s="90">
        <f t="shared" ca="1" si="323"/>
        <v>86.502317893030366</v>
      </c>
      <c r="LA19" s="90">
        <f t="shared" ca="1" si="324"/>
        <v>61.084442210927435</v>
      </c>
      <c r="LB19" s="90">
        <f t="shared" ca="1" si="325"/>
        <v>52.969315131031273</v>
      </c>
      <c r="LC19" s="90">
        <f t="shared" ca="1" si="326"/>
        <v>152.66810174404355</v>
      </c>
      <c r="LD19" s="90">
        <f t="shared" ca="1" si="327"/>
        <v>55.419111595329973</v>
      </c>
      <c r="LE19" s="90">
        <f t="shared" ca="1" si="328"/>
        <v>40.141919868098384</v>
      </c>
      <c r="LF19" s="90">
        <f t="shared" ca="1" si="329"/>
        <v>37.391360386606763</v>
      </c>
      <c r="LG19" s="90">
        <f t="shared" ca="1" si="330"/>
        <v>81.069177495979403</v>
      </c>
      <c r="LH19" s="90">
        <f t="shared" ca="1" si="331"/>
        <v>49.686163275645853</v>
      </c>
      <c r="LI19" s="90">
        <f t="shared" ca="1" si="332"/>
        <v>71.42849530808374</v>
      </c>
      <c r="LJ19" s="90">
        <f t="shared" ca="1" si="333"/>
        <v>80.105238216889262</v>
      </c>
      <c r="LK19" s="90">
        <f t="shared" ca="1" si="334"/>
        <v>31.239206397106109</v>
      </c>
      <c r="LL19" s="90">
        <f t="shared" ca="1" si="335"/>
        <v>59.194880736181666</v>
      </c>
      <c r="LM19" s="90">
        <f t="shared" ca="1" si="336"/>
        <v>55.118543500919316</v>
      </c>
      <c r="LN19" s="90">
        <f t="shared" ca="1" si="337"/>
        <v>17.822178217721348</v>
      </c>
      <c r="LO19" s="90">
        <f t="shared" ca="1" si="338"/>
        <v>51.338255732082949</v>
      </c>
      <c r="LP19" s="90">
        <f t="shared" ca="1" si="339"/>
        <v>17.545325432439054</v>
      </c>
      <c r="LQ19" s="90">
        <f t="shared" ca="1" si="340"/>
        <v>99.670757918473527</v>
      </c>
      <c r="LR19" s="90">
        <f t="shared" ca="1" si="341"/>
        <v>90.387747978732406</v>
      </c>
      <c r="LS19" s="90">
        <f t="shared" ca="1" si="342"/>
        <v>92.016892188754028</v>
      </c>
      <c r="LT19" s="90">
        <f t="shared" ca="1" si="343"/>
        <v>32.761142225909808</v>
      </c>
      <c r="LU19" s="90">
        <f t="shared" ca="1" si="344"/>
        <v>145.39970821076517</v>
      </c>
      <c r="LV19" s="90">
        <f t="shared" ca="1" si="345"/>
        <v>98.56885465437999</v>
      </c>
      <c r="LW19" s="90">
        <f t="shared" ca="1" si="346"/>
        <v>98.234259796277343</v>
      </c>
      <c r="LX19" s="90">
        <f t="shared" ca="1" si="347"/>
        <v>65.124836656022055</v>
      </c>
      <c r="LY19" s="90">
        <f t="shared" ca="1" si="348"/>
        <v>93.303020450074698</v>
      </c>
      <c r="LZ19" s="90">
        <f t="shared" ca="1" si="349"/>
        <v>100.10055100638148</v>
      </c>
      <c r="MA19" s="90">
        <f t="shared" ca="1" si="350"/>
        <v>67.040317214677216</v>
      </c>
      <c r="MB19" s="90">
        <f t="shared" ca="1" si="351"/>
        <v>14.942104003281234</v>
      </c>
      <c r="MC19" s="90">
        <f t="shared" ca="1" si="352"/>
        <v>130.43296996972848</v>
      </c>
      <c r="MD19" s="90">
        <f t="shared" ca="1" si="353"/>
        <v>136.34124231863203</v>
      </c>
      <c r="ME19" s="90">
        <f t="shared" ca="1" si="354"/>
        <v>55.581962585043591</v>
      </c>
      <c r="MF19" s="90">
        <f t="shared" ca="1" si="355"/>
        <v>99.90250145466932</v>
      </c>
      <c r="MG19" s="90">
        <f t="shared" ca="1" si="356"/>
        <v>119.62692160441499</v>
      </c>
      <c r="MH19" s="90">
        <f t="shared" ca="1" si="357"/>
        <v>57.627733655764281</v>
      </c>
      <c r="MI19" s="90">
        <f t="shared" ca="1" si="358"/>
        <v>39.388657514881828</v>
      </c>
      <c r="MJ19" s="90">
        <f t="shared" ca="1" si="359"/>
        <v>39.866234085131069</v>
      </c>
      <c r="MK19" s="90">
        <f t="shared" ca="1" si="360"/>
        <v>118.68174666709686</v>
      </c>
      <c r="ML19" s="90">
        <f t="shared" ca="1" si="361"/>
        <v>159.26057434291297</v>
      </c>
      <c r="MM19" s="90">
        <f t="shared" ca="1" si="362"/>
        <v>59.045272368956212</v>
      </c>
      <c r="MN19" s="90">
        <f t="shared" ca="1" si="363"/>
        <v>113.99135475818699</v>
      </c>
      <c r="MO19" s="90">
        <f t="shared" ca="1" si="364"/>
        <v>74.412972199660686</v>
      </c>
      <c r="MP19" s="90">
        <f t="shared" ca="1" si="365"/>
        <v>130.36607449553534</v>
      </c>
      <c r="MQ19" s="90">
        <f t="shared" ca="1" si="366"/>
        <v>32.851800893356263</v>
      </c>
      <c r="MR19" s="90">
        <f t="shared" ca="1" si="367"/>
        <v>59.285078014115278</v>
      </c>
      <c r="MS19" s="90">
        <f t="shared" ca="1" si="368"/>
        <v>92.637606023886391</v>
      </c>
      <c r="MT19" s="90">
        <f t="shared" ca="1" si="369"/>
        <v>60.406512043931642</v>
      </c>
      <c r="MU19" s="90">
        <f t="shared" ca="1" si="370"/>
        <v>17.008527896473414</v>
      </c>
      <c r="MV19" s="90">
        <f t="shared" ca="1" si="371"/>
        <v>111.43182092381265</v>
      </c>
      <c r="MW19" s="90">
        <f t="shared" ca="1" si="372"/>
        <v>73.239501293847326</v>
      </c>
      <c r="MX19" s="90">
        <f t="shared" ca="1" si="373"/>
        <v>51.643020868761113</v>
      </c>
      <c r="MY19" s="90">
        <f t="shared" ca="1" si="374"/>
        <v>117.96983025896115</v>
      </c>
      <c r="MZ19" s="90">
        <f t="shared" ca="1" si="375"/>
        <v>161.06818990674321</v>
      </c>
      <c r="NA19" s="90">
        <f t="shared" ca="1" si="376"/>
        <v>84.04944937805665</v>
      </c>
      <c r="NB19" s="90">
        <f t="shared" ca="1" si="377"/>
        <v>51.016412867457746</v>
      </c>
      <c r="NC19" s="90">
        <f t="shared" ca="1" si="378"/>
        <v>14.566114267568112</v>
      </c>
      <c r="ND19" s="90">
        <f t="shared" ca="1" si="379"/>
        <v>64.187327777926811</v>
      </c>
      <c r="NE19" s="90">
        <f t="shared" ca="1" si="380"/>
        <v>32.863913981058815</v>
      </c>
      <c r="NF19" s="90">
        <f t="shared" ca="1" si="381"/>
        <v>87.51363151770957</v>
      </c>
      <c r="NG19" s="90">
        <f t="shared" ca="1" si="382"/>
        <v>52.316564802972465</v>
      </c>
      <c r="NH19" s="90">
        <f t="shared" ca="1" si="383"/>
        <v>68.594921826896723</v>
      </c>
      <c r="NI19" s="90">
        <f t="shared" ca="1" si="384"/>
        <v>71.931635030868676</v>
      </c>
      <c r="NJ19" s="90">
        <f t="shared" ca="1" si="385"/>
        <v>112.40459432578221</v>
      </c>
      <c r="NK19" s="90">
        <f t="shared" ca="1" si="386"/>
        <v>81.722049443340168</v>
      </c>
      <c r="NL19" s="90">
        <f t="shared" ca="1" si="387"/>
        <v>115.67325717041616</v>
      </c>
      <c r="NM19" s="90">
        <f t="shared" ca="1" si="388"/>
        <v>81.949090429985176</v>
      </c>
      <c r="NN19" s="90">
        <f t="shared" ca="1" si="389"/>
        <v>28.374064927449606</v>
      </c>
      <c r="NO19" s="90">
        <f t="shared" ca="1" si="390"/>
        <v>169.99056808790564</v>
      </c>
      <c r="NP19" s="90">
        <f t="shared" ca="1" si="391"/>
        <v>50.671953423884688</v>
      </c>
      <c r="NQ19" s="90">
        <f t="shared" ca="1" si="392"/>
        <v>71.877450598670862</v>
      </c>
      <c r="NR19" s="90">
        <f t="shared" ca="1" si="393"/>
        <v>39.78252221927864</v>
      </c>
      <c r="NS19" s="90">
        <f t="shared" ca="1" si="394"/>
        <v>-20.201903372947204</v>
      </c>
      <c r="NT19" s="90">
        <f t="shared" ca="1" si="395"/>
        <v>-2.2909092712555976</v>
      </c>
      <c r="NU19" s="90">
        <f t="shared" ca="1" si="396"/>
        <v>25.310752826063911</v>
      </c>
      <c r="NV19" s="90">
        <f t="shared" ca="1" si="397"/>
        <v>106.77433448550077</v>
      </c>
      <c r="NW19" s="90">
        <f t="shared" ca="1" si="398"/>
        <v>112.74737532231148</v>
      </c>
      <c r="NX19" s="90">
        <f t="shared" ca="1" si="399"/>
        <v>100.87884903270555</v>
      </c>
      <c r="NY19" s="90">
        <f t="shared" ca="1" si="400"/>
        <v>39.968158131666407</v>
      </c>
      <c r="NZ19" s="90">
        <f t="shared" ca="1" si="401"/>
        <v>119.97667416987319</v>
      </c>
      <c r="OA19" s="90">
        <f t="shared" ca="1" si="402"/>
        <v>61.9278744100559</v>
      </c>
      <c r="OB19" s="90">
        <f t="shared" ca="1" si="403"/>
        <v>192.23059584800467</v>
      </c>
      <c r="OC19" s="90">
        <f t="shared" ca="1" si="404"/>
        <v>131.67887633659558</v>
      </c>
      <c r="OD19" s="90">
        <f t="shared" ca="1" si="405"/>
        <v>70.917789800547212</v>
      </c>
      <c r="OE19" s="90">
        <f t="shared" ca="1" si="406"/>
        <v>63.282418341731116</v>
      </c>
      <c r="OF19" s="90">
        <f t="shared" ca="1" si="407"/>
        <v>65.285912587308431</v>
      </c>
      <c r="OG19" s="90">
        <f t="shared" ca="1" si="408"/>
        <v>90.067972023183358</v>
      </c>
      <c r="OH19" s="90">
        <f t="shared" ca="1" si="409"/>
        <v>65.991401869278192</v>
      </c>
      <c r="OI19" s="90">
        <f t="shared" ca="1" si="410"/>
        <v>136.60071987826049</v>
      </c>
      <c r="OJ19" s="90">
        <f t="shared" ca="1" si="411"/>
        <v>-6.8464633773537846</v>
      </c>
      <c r="OK19" s="90">
        <f t="shared" ca="1" si="412"/>
        <v>140.52670243796038</v>
      </c>
      <c r="OL19" s="90">
        <f t="shared" ca="1" si="413"/>
        <v>92.288522154378271</v>
      </c>
      <c r="OM19" s="90">
        <f t="shared" ca="1" si="414"/>
        <v>93.836218804013825</v>
      </c>
      <c r="ON19" s="90">
        <f t="shared" ca="1" si="415"/>
        <v>35.869739000069025</v>
      </c>
      <c r="OO19" s="90">
        <f t="shared" ca="1" si="416"/>
        <v>44.81454973768399</v>
      </c>
      <c r="OP19" s="90">
        <f t="shared" ca="1" si="417"/>
        <v>7.7978351127921766</v>
      </c>
      <c r="OQ19" s="90">
        <f t="shared" ca="1" si="418"/>
        <v>48.238699781543424</v>
      </c>
      <c r="OR19" s="90">
        <f t="shared" ca="1" si="419"/>
        <v>128.43992971527129</v>
      </c>
      <c r="OS19" s="90">
        <f t="shared" ca="1" si="420"/>
        <v>77.145113468530283</v>
      </c>
      <c r="OT19" s="90">
        <f t="shared" ca="1" si="421"/>
        <v>65.485454625626417</v>
      </c>
      <c r="OU19" s="90">
        <f t="shared" ca="1" si="422"/>
        <v>43.345500892951613</v>
      </c>
      <c r="OV19" s="90">
        <f t="shared" ca="1" si="423"/>
        <v>98.37851845426394</v>
      </c>
      <c r="OW19" s="90">
        <f t="shared" ca="1" si="424"/>
        <v>95.151215066492554</v>
      </c>
      <c r="OX19" s="90">
        <f t="shared" ca="1" si="425"/>
        <v>29.033113560755233</v>
      </c>
      <c r="OY19" s="90">
        <f t="shared" ca="1" si="426"/>
        <v>48.121447130380496</v>
      </c>
      <c r="OZ19" s="90">
        <f t="shared" ca="1" si="427"/>
        <v>48.810358637362889</v>
      </c>
      <c r="PA19" s="90">
        <f t="shared" ca="1" si="428"/>
        <v>92.496796299905668</v>
      </c>
      <c r="PB19" s="90">
        <f t="shared" ca="1" si="429"/>
        <v>51.439364791461514</v>
      </c>
      <c r="PC19" s="90">
        <f t="shared" ca="1" si="430"/>
        <v>17.174681761675732</v>
      </c>
      <c r="PD19" s="90">
        <f t="shared" ca="1" si="431"/>
        <v>46.440732894923315</v>
      </c>
      <c r="PE19" s="90">
        <f t="shared" ca="1" si="432"/>
        <v>120.67652955077457</v>
      </c>
      <c r="PF19" s="90">
        <f t="shared" ca="1" si="433"/>
        <v>80.557819128975822</v>
      </c>
      <c r="PG19" s="90">
        <f t="shared" ca="1" si="434"/>
        <v>75.436712464760802</v>
      </c>
      <c r="PH19" s="90">
        <f t="shared" ca="1" si="435"/>
        <v>99.022079151838241</v>
      </c>
      <c r="PI19" s="90">
        <f t="shared" ca="1" si="436"/>
        <v>69.853477025251607</v>
      </c>
      <c r="PJ19" s="90">
        <f t="shared" ca="1" si="437"/>
        <v>87.279674657456312</v>
      </c>
      <c r="PK19" s="90">
        <f t="shared" ca="1" si="438"/>
        <v>36.707856341783305</v>
      </c>
      <c r="PL19" s="90">
        <f t="shared" ca="1" si="439"/>
        <v>89.01645019020296</v>
      </c>
      <c r="PM19" s="90">
        <f t="shared" ca="1" si="440"/>
        <v>115.96675199492265</v>
      </c>
      <c r="PN19" s="90">
        <f t="shared" ca="1" si="441"/>
        <v>30.53873670445503</v>
      </c>
      <c r="PO19" s="90">
        <f t="shared" ca="1" si="442"/>
        <v>89.80571958504369</v>
      </c>
      <c r="PP19" s="90">
        <f t="shared" ca="1" si="443"/>
        <v>43.267204798546295</v>
      </c>
      <c r="PQ19" s="90">
        <f t="shared" ca="1" si="444"/>
        <v>103.78154230191383</v>
      </c>
      <c r="PR19" s="90">
        <f t="shared" ca="1" si="445"/>
        <v>104.86359329260635</v>
      </c>
      <c r="PS19" s="90">
        <f t="shared" ca="1" si="446"/>
        <v>72.614029058141753</v>
      </c>
      <c r="PT19" s="90">
        <f t="shared" ca="1" si="447"/>
        <v>71.025242048805225</v>
      </c>
      <c r="PU19" s="90">
        <f t="shared" ca="1" si="448"/>
        <v>41.920809891164147</v>
      </c>
      <c r="PV19" s="90">
        <f t="shared" ca="1" si="449"/>
        <v>28.593619268994388</v>
      </c>
      <c r="PW19" s="90">
        <f t="shared" ca="1" si="450"/>
        <v>94.871254962476414</v>
      </c>
      <c r="PX19" s="90">
        <f t="shared" ca="1" si="451"/>
        <v>151.11143365850523</v>
      </c>
      <c r="PY19" s="90">
        <f t="shared" ca="1" si="452"/>
        <v>93.672647712335632</v>
      </c>
      <c r="PZ19" s="90">
        <f t="shared" ca="1" si="453"/>
        <v>117.88135880968346</v>
      </c>
      <c r="QA19" s="90">
        <f t="shared" ca="1" si="454"/>
        <v>96.035025791225848</v>
      </c>
      <c r="QB19" s="90">
        <f t="shared" ca="1" si="455"/>
        <v>95.840155209614224</v>
      </c>
      <c r="QC19" s="90">
        <f t="shared" ca="1" si="456"/>
        <v>61.99774023300958</v>
      </c>
      <c r="QD19" s="90">
        <f t="shared" ca="1" si="457"/>
        <v>64.118714677486267</v>
      </c>
      <c r="QE19" s="90">
        <f t="shared" ca="1" si="458"/>
        <v>41.634886863872403</v>
      </c>
      <c r="QF19" s="90">
        <f t="shared" ca="1" si="459"/>
        <v>98.490009780194242</v>
      </c>
      <c r="QG19" s="90">
        <f t="shared" ca="1" si="460"/>
        <v>36.373816177050223</v>
      </c>
      <c r="QH19" s="90">
        <f t="shared" ca="1" si="461"/>
        <v>54.922589930521966</v>
      </c>
      <c r="QI19" s="90">
        <f t="shared" ca="1" si="462"/>
        <v>43.09209657142253</v>
      </c>
      <c r="QJ19" s="90">
        <f t="shared" ca="1" si="463"/>
        <v>80.671832747234319</v>
      </c>
      <c r="QK19" s="90">
        <f t="shared" ca="1" si="464"/>
        <v>182.44586872703377</v>
      </c>
      <c r="QL19" s="90">
        <f t="shared" ca="1" si="465"/>
        <v>61.105692249765653</v>
      </c>
      <c r="QM19" s="90">
        <f t="shared" ca="1" si="466"/>
        <v>99.68351196102077</v>
      </c>
      <c r="QN19" s="90">
        <f t="shared" ca="1" si="467"/>
        <v>36.397563356945241</v>
      </c>
      <c r="QO19" s="90">
        <f t="shared" ca="1" si="468"/>
        <v>87.379466326220509</v>
      </c>
      <c r="QP19" s="90">
        <f t="shared" ca="1" si="469"/>
        <v>59.555969103696192</v>
      </c>
      <c r="QQ19" s="90">
        <f t="shared" ca="1" si="470"/>
        <v>127.43493212208533</v>
      </c>
      <c r="QR19" s="90">
        <f t="shared" ca="1" si="471"/>
        <v>116.60508355950293</v>
      </c>
      <c r="QS19" s="90">
        <f t="shared" ca="1" si="472"/>
        <v>113.5612114987601</v>
      </c>
      <c r="QT19" s="90">
        <f t="shared" ca="1" si="473"/>
        <v>61.007357661439656</v>
      </c>
      <c r="QU19" s="90">
        <f t="shared" ca="1" si="474"/>
        <v>70.625375900885302</v>
      </c>
      <c r="QV19" s="90">
        <f t="shared" ca="1" si="475"/>
        <v>105.7203763664202</v>
      </c>
      <c r="QW19" s="90">
        <f t="shared" ca="1" si="476"/>
        <v>80.757743672404203</v>
      </c>
      <c r="QX19" s="90">
        <f t="shared" ca="1" si="477"/>
        <v>48.401486877795286</v>
      </c>
      <c r="QY19" s="90">
        <f t="shared" ca="1" si="478"/>
        <v>60.787791779400948</v>
      </c>
      <c r="QZ19" s="90">
        <f t="shared" ca="1" si="479"/>
        <v>79.930797659120188</v>
      </c>
      <c r="RA19" s="90">
        <f t="shared" ca="1" si="480"/>
        <v>132.38364760564738</v>
      </c>
      <c r="RB19" s="90">
        <f t="shared" ca="1" si="481"/>
        <v>139.2570580406844</v>
      </c>
      <c r="RC19" s="90">
        <f t="shared" ca="1" si="482"/>
        <v>76.169791117589284</v>
      </c>
      <c r="RD19" s="90">
        <f t="shared" ca="1" si="483"/>
        <v>63.007029814035477</v>
      </c>
      <c r="RE19" s="90">
        <f t="shared" ca="1" si="484"/>
        <v>87.339531464559641</v>
      </c>
      <c r="RF19" s="90">
        <f t="shared" ca="1" si="485"/>
        <v>151.57450890334701</v>
      </c>
      <c r="RG19" s="90">
        <f t="shared" ca="1" si="486"/>
        <v>38.969383664812717</v>
      </c>
      <c r="RH19" s="90">
        <f t="shared" ca="1" si="487"/>
        <v>86.415140824261599</v>
      </c>
      <c r="RI19" s="90">
        <f t="shared" ca="1" si="488"/>
        <v>65.209968754345653</v>
      </c>
      <c r="RJ19" s="90">
        <f t="shared" ca="1" si="489"/>
        <v>39.113395547803869</v>
      </c>
      <c r="RK19" s="90">
        <f t="shared" ca="1" si="490"/>
        <v>67.944091973565975</v>
      </c>
      <c r="RL19" s="90">
        <f t="shared" ca="1" si="491"/>
        <v>19.963420441867534</v>
      </c>
      <c r="RM19" s="90">
        <f t="shared" ca="1" si="492"/>
        <v>28.853616441958977</v>
      </c>
      <c r="RN19" s="90">
        <f t="shared" ca="1" si="493"/>
        <v>103.43673618524174</v>
      </c>
      <c r="RO19" s="90">
        <f t="shared" ca="1" si="494"/>
        <v>90.650404166260842</v>
      </c>
      <c r="RP19" s="90">
        <f t="shared" ca="1" si="495"/>
        <v>75.05584516798848</v>
      </c>
      <c r="RQ19" s="90">
        <f t="shared" ca="1" si="496"/>
        <v>65.465420563348218</v>
      </c>
      <c r="RR19" s="90">
        <f t="shared" ca="1" si="497"/>
        <v>36.526586847052052</v>
      </c>
      <c r="RS19" s="90">
        <f t="shared" ca="1" si="498"/>
        <v>39.17118044549597</v>
      </c>
      <c r="RT19" s="90">
        <f t="shared" ca="1" si="499"/>
        <v>115.16969933625772</v>
      </c>
      <c r="RU19" s="90">
        <f t="shared" ca="1" si="500"/>
        <v>151.61842427496819</v>
      </c>
      <c r="RV19" s="90">
        <f t="shared" ca="1" si="501"/>
        <v>71.918555762241368</v>
      </c>
      <c r="RW19" s="90">
        <f t="shared" ca="1" si="502"/>
        <v>90.751603634112769</v>
      </c>
      <c r="RX19" s="90">
        <f t="shared" ca="1" si="503"/>
        <v>56.014839145738932</v>
      </c>
      <c r="RY19" s="90">
        <f t="shared" ca="1" si="504"/>
        <v>35.233565314769237</v>
      </c>
      <c r="RZ19" s="90">
        <f t="shared" ca="1" si="505"/>
        <v>20.991763234403866</v>
      </c>
      <c r="SA19" s="90">
        <f t="shared" ca="1" si="506"/>
        <v>101.80451374310753</v>
      </c>
      <c r="SB19" s="90">
        <f t="shared" ca="1" si="507"/>
        <v>78.693257101212112</v>
      </c>
      <c r="SC19" s="90">
        <f t="shared" ca="1" si="508"/>
        <v>43.768420151125675</v>
      </c>
      <c r="SD19" s="90">
        <f t="shared" ca="1" si="509"/>
        <v>28.784774559439835</v>
      </c>
      <c r="SE19" s="90">
        <f t="shared" ca="1" si="510"/>
        <v>9.3733660832413808</v>
      </c>
      <c r="SF19" s="90">
        <f t="shared" ca="1" si="511"/>
        <v>50.245604398343993</v>
      </c>
      <c r="SG19" s="90">
        <f t="shared" ca="1" si="512"/>
        <v>85.4002274284083</v>
      </c>
      <c r="SH19" s="90">
        <f t="shared" ca="1" si="513"/>
        <v>87.160395620092316</v>
      </c>
      <c r="SI19" s="90">
        <f t="shared" ca="1" si="514"/>
        <v>77.80234465225756</v>
      </c>
      <c r="SJ19" s="90">
        <f t="shared" ca="1" si="515"/>
        <v>35.957073934891206</v>
      </c>
      <c r="SK19" s="90">
        <f t="shared" ca="1" si="516"/>
        <v>50.141251218013814</v>
      </c>
      <c r="SL19" s="90">
        <f t="shared" ca="1" si="517"/>
        <v>35.586327712277757</v>
      </c>
      <c r="SM19" s="90">
        <f t="shared" ca="1" si="518"/>
        <v>100.59569364395617</v>
      </c>
      <c r="SN19" s="90">
        <f t="shared" ca="1" si="519"/>
        <v>87.491324461803075</v>
      </c>
      <c r="SO19" s="90">
        <f t="shared" ca="1" si="520"/>
        <v>55.504268618967373</v>
      </c>
      <c r="SP19" s="90">
        <f t="shared" ca="1" si="521"/>
        <v>114.70347285534578</v>
      </c>
      <c r="SQ19" s="90">
        <f t="shared" ca="1" si="522"/>
        <v>79.932980551095341</v>
      </c>
      <c r="SR19" s="90">
        <f t="shared" ca="1" si="523"/>
        <v>77.540291498245509</v>
      </c>
      <c r="SS19" s="90">
        <f t="shared" ca="1" si="524"/>
        <v>49.592180036129633</v>
      </c>
      <c r="ST19" s="90">
        <f t="shared" ca="1" si="525"/>
        <v>111.88526109826711</v>
      </c>
      <c r="SU19" s="90">
        <f t="shared" ca="1" si="526"/>
        <v>138.22020293150098</v>
      </c>
      <c r="SV19" s="90">
        <f t="shared" ca="1" si="527"/>
        <v>79.185210331426205</v>
      </c>
      <c r="SW19" s="90">
        <f t="shared" ca="1" si="528"/>
        <v>153.14722486987836</v>
      </c>
      <c r="SX19" s="90">
        <f t="shared" ca="1" si="529"/>
        <v>63.329816312484176</v>
      </c>
      <c r="SY19" s="90">
        <f t="shared" ca="1" si="530"/>
        <v>51.135305743474156</v>
      </c>
      <c r="SZ19" s="90">
        <f t="shared" ca="1" si="531"/>
        <v>110.19745880668815</v>
      </c>
      <c r="TA19" s="90">
        <f t="shared" ca="1" si="532"/>
        <v>39.876404216352803</v>
      </c>
      <c r="TB19" s="90">
        <f t="shared" ca="1" si="533"/>
        <v>147.56892397968147</v>
      </c>
      <c r="TC19" s="90">
        <f t="shared" ca="1" si="534"/>
        <v>104.43549508274965</v>
      </c>
      <c r="TD19" s="90">
        <f t="shared" ca="1" si="535"/>
        <v>75.566037650299236</v>
      </c>
      <c r="TE19" s="90">
        <f t="shared" ca="1" si="536"/>
        <v>77.878354722671162</v>
      </c>
      <c r="TF19" s="90">
        <f t="shared" ca="1" si="537"/>
        <v>47.754236500087075</v>
      </c>
      <c r="TG19" s="90">
        <f t="shared" ca="1" si="538"/>
        <v>97.446277621710266</v>
      </c>
      <c r="TH19" s="90">
        <f t="shared" ca="1" si="539"/>
        <v>76.073177650201998</v>
      </c>
      <c r="TI19" s="90">
        <f t="shared" ca="1" si="540"/>
        <v>58.655959611565684</v>
      </c>
      <c r="TJ19" s="90">
        <f t="shared" ca="1" si="541"/>
        <v>82.235955905946668</v>
      </c>
      <c r="TK19" s="90">
        <f t="shared" ca="1" si="542"/>
        <v>92.859946081839979</v>
      </c>
      <c r="TL19" s="90">
        <f t="shared" ca="1" si="543"/>
        <v>69.320534855558975</v>
      </c>
      <c r="TM19" s="90">
        <f t="shared" ca="1" si="544"/>
        <v>114.56643581027696</v>
      </c>
      <c r="TN19" s="90">
        <f t="shared" ca="1" si="545"/>
        <v>87.704591001363426</v>
      </c>
      <c r="TO19" s="90">
        <f t="shared" ca="1" si="546"/>
        <v>132.07802359993687</v>
      </c>
      <c r="TP19" s="90">
        <f t="shared" ca="1" si="547"/>
        <v>30.822713519203401</v>
      </c>
      <c r="TQ19" s="90">
        <f t="shared" ca="1" si="548"/>
        <v>89.65234319823314</v>
      </c>
      <c r="TR19" s="90">
        <f t="shared" ca="1" si="549"/>
        <v>45.928769771958066</v>
      </c>
      <c r="TS19" s="90">
        <f t="shared" ca="1" si="550"/>
        <v>53.431765816755203</v>
      </c>
      <c r="TT19" s="90">
        <f t="shared" ca="1" si="551"/>
        <v>89.624456046769481</v>
      </c>
      <c r="TU19" s="90">
        <f t="shared" ca="1" si="552"/>
        <v>58.245943023237132</v>
      </c>
      <c r="TV19" s="90">
        <f t="shared" ca="1" si="553"/>
        <v>52.684042870712261</v>
      </c>
      <c r="TW19" s="90">
        <f t="shared" ca="1" si="554"/>
        <v>52.389787548970467</v>
      </c>
      <c r="TX19" s="90">
        <f t="shared" ca="1" si="555"/>
        <v>33.65960058629841</v>
      </c>
      <c r="TY19" s="90">
        <f t="shared" ca="1" si="556"/>
        <v>112.32057431817576</v>
      </c>
      <c r="TZ19" s="90">
        <f t="shared" ca="1" si="557"/>
        <v>57.387778843733599</v>
      </c>
      <c r="UA19" s="90">
        <f t="shared" ca="1" si="558"/>
        <v>83.333132026496372</v>
      </c>
      <c r="UB19" s="90">
        <f t="shared" ca="1" si="559"/>
        <v>30.963806653151074</v>
      </c>
      <c r="UC19" s="90">
        <f t="shared" ca="1" si="560"/>
        <v>23.589830083300203</v>
      </c>
      <c r="UD19" s="90">
        <f t="shared" ca="1" si="561"/>
        <v>107.34620578401135</v>
      </c>
      <c r="UE19" s="90">
        <f t="shared" ca="1" si="562"/>
        <v>147.23246272151482</v>
      </c>
      <c r="UF19" s="90">
        <f t="shared" ca="1" si="563"/>
        <v>59.582541673226636</v>
      </c>
      <c r="UG19" s="90">
        <f t="shared" ca="1" si="564"/>
        <v>45.477988910386294</v>
      </c>
      <c r="UH19" s="90">
        <f t="shared" ca="1" si="565"/>
        <v>71.070146409777593</v>
      </c>
      <c r="UI19" s="90">
        <f t="shared" ca="1" si="566"/>
        <v>83.64088412682392</v>
      </c>
      <c r="UJ19" s="90">
        <f t="shared" ca="1" si="567"/>
        <v>121.59318258545395</v>
      </c>
      <c r="UK19" s="90">
        <f t="shared" ca="1" si="568"/>
        <v>27.660456897763815</v>
      </c>
      <c r="UL19" s="90">
        <f t="shared" ca="1" si="569"/>
        <v>66.45609899812041</v>
      </c>
      <c r="UM19" s="90">
        <f t="shared" ca="1" si="570"/>
        <v>23.673371482222908</v>
      </c>
      <c r="UN19" s="90">
        <f t="shared" ca="1" si="571"/>
        <v>78.021890381421869</v>
      </c>
      <c r="UO19" s="90">
        <f t="shared" ca="1" si="572"/>
        <v>100.26802528503696</v>
      </c>
      <c r="UP19" s="90">
        <f t="shared" ca="1" si="573"/>
        <v>75.941895344344033</v>
      </c>
      <c r="UQ19" s="90">
        <f t="shared" ca="1" si="574"/>
        <v>91.43523784544908</v>
      </c>
      <c r="UR19" s="90">
        <f t="shared" ca="1" si="575"/>
        <v>103.42382033117441</v>
      </c>
      <c r="US19" s="90">
        <f t="shared" ca="1" si="576"/>
        <v>37.471103953567912</v>
      </c>
      <c r="UT19" s="90">
        <f t="shared" ca="1" si="577"/>
        <v>104.85412064806528</v>
      </c>
      <c r="UU19" s="90">
        <f t="shared" ca="1" si="578"/>
        <v>2.0036467815111139</v>
      </c>
      <c r="UV19" s="90">
        <f t="shared" ca="1" si="579"/>
        <v>90.136633539842862</v>
      </c>
      <c r="UW19" s="90">
        <f t="shared" ca="1" si="580"/>
        <v>82.971858644285518</v>
      </c>
      <c r="UX19" s="90">
        <f t="shared" ca="1" si="581"/>
        <v>78.952742897037481</v>
      </c>
      <c r="UY19" s="90">
        <f t="shared" ca="1" si="582"/>
        <v>149.32551495611364</v>
      </c>
      <c r="UZ19" s="90">
        <f t="shared" ca="1" si="583"/>
        <v>90.60518766074081</v>
      </c>
      <c r="VA19" s="90">
        <f t="shared" ca="1" si="584"/>
        <v>45.713320633058458</v>
      </c>
      <c r="VB19" s="90">
        <f t="shared" ca="1" si="585"/>
        <v>42.099375586816173</v>
      </c>
      <c r="VC19" s="90">
        <f t="shared" ca="1" si="586"/>
        <v>73.048650502822483</v>
      </c>
      <c r="VD19" s="90">
        <f t="shared" ca="1" si="587"/>
        <v>39.900140353789297</v>
      </c>
      <c r="VE19" s="90">
        <f t="shared" ca="1" si="588"/>
        <v>110.49634284903253</v>
      </c>
      <c r="VF19" s="90">
        <f t="shared" ca="1" si="589"/>
        <v>30.223891098471331</v>
      </c>
      <c r="VG19" s="90">
        <f t="shared" ca="1" si="590"/>
        <v>32.522909947003612</v>
      </c>
      <c r="VH19" s="90">
        <f t="shared" ca="1" si="591"/>
        <v>101.78668456854813</v>
      </c>
      <c r="VI19" s="90">
        <f t="shared" ca="1" si="592"/>
        <v>56.798073439387998</v>
      </c>
      <c r="VJ19" s="90">
        <f t="shared" ca="1" si="593"/>
        <v>94.227328917348231</v>
      </c>
      <c r="VK19" s="90">
        <f t="shared" ca="1" si="594"/>
        <v>9.8351422732641627</v>
      </c>
      <c r="VL19" s="90">
        <f t="shared" ca="1" si="595"/>
        <v>59.073655218634407</v>
      </c>
      <c r="VM19" s="90">
        <f t="shared" ca="1" si="596"/>
        <v>117.76087551561609</v>
      </c>
      <c r="VN19" s="90">
        <f t="shared" ca="1" si="597"/>
        <v>99.240800114621294</v>
      </c>
      <c r="VO19" s="90">
        <f t="shared" ca="1" si="598"/>
        <v>31.447863158193211</v>
      </c>
      <c r="VP19" s="90">
        <f t="shared" ca="1" si="599"/>
        <v>21.569413795596695</v>
      </c>
      <c r="VQ19" s="90">
        <f t="shared" ca="1" si="600"/>
        <v>100.02022518649316</v>
      </c>
      <c r="VR19" s="90">
        <f t="shared" ca="1" si="601"/>
        <v>37.560733372352345</v>
      </c>
      <c r="VS19" s="90">
        <f t="shared" ca="1" si="602"/>
        <v>6.0188652653459362</v>
      </c>
      <c r="VT19" s="90">
        <f t="shared" ca="1" si="603"/>
        <v>121.65293135581578</v>
      </c>
      <c r="VU19" s="90">
        <f t="shared" ca="1" si="604"/>
        <v>64.512906921333382</v>
      </c>
      <c r="VV19" s="90">
        <f t="shared" ca="1" si="605"/>
        <v>62.157557466491703</v>
      </c>
      <c r="VW19" s="90">
        <f t="shared" ca="1" si="606"/>
        <v>50.112975989463131</v>
      </c>
      <c r="VX19" s="90">
        <f t="shared" ca="1" si="607"/>
        <v>88.988378419462379</v>
      </c>
      <c r="VY19" s="90">
        <f t="shared" ca="1" si="608"/>
        <v>83.787943812225691</v>
      </c>
      <c r="VZ19" s="90">
        <f t="shared" ca="1" si="609"/>
        <v>66.251906434810877</v>
      </c>
      <c r="WA19" s="90">
        <f t="shared" ca="1" si="610"/>
        <v>52.897332105342215</v>
      </c>
      <c r="WB19" s="90">
        <f t="shared" ca="1" si="611"/>
        <v>119.20698448800353</v>
      </c>
      <c r="WC19" s="90">
        <f t="shared" ca="1" si="612"/>
        <v>137.58432893780815</v>
      </c>
      <c r="WD19" s="90">
        <f t="shared" ca="1" si="613"/>
        <v>71.17818440614974</v>
      </c>
      <c r="WE19" s="90">
        <f t="shared" ca="1" si="614"/>
        <v>51.521870925742185</v>
      </c>
      <c r="WF19" s="90">
        <f t="shared" ca="1" si="615"/>
        <v>19.911456117803979</v>
      </c>
      <c r="WG19" s="90">
        <f t="shared" ca="1" si="616"/>
        <v>72.838735526377164</v>
      </c>
      <c r="WH19" s="90">
        <f t="shared" ca="1" si="617"/>
        <v>86.731263834466176</v>
      </c>
      <c r="WI19" s="90">
        <f t="shared" ca="1" si="618"/>
        <v>43.566341365920287</v>
      </c>
      <c r="WJ19" s="90">
        <f t="shared" ca="1" si="619"/>
        <v>50.072306252303918</v>
      </c>
      <c r="WK19" s="90">
        <f t="shared" ca="1" si="620"/>
        <v>34.768867961403423</v>
      </c>
      <c r="WL19" s="90">
        <f t="shared" ca="1" si="621"/>
        <v>61.726678100183911</v>
      </c>
      <c r="WM19" s="90">
        <f t="shared" ca="1" si="622"/>
        <v>86.105717323495497</v>
      </c>
      <c r="WN19" s="90">
        <f t="shared" ca="1" si="623"/>
        <v>64.262803332678089</v>
      </c>
      <c r="WO19" s="90">
        <f t="shared" ca="1" si="624"/>
        <v>54.285377858465544</v>
      </c>
      <c r="WP19" s="90">
        <f t="shared" ca="1" si="625"/>
        <v>95.827913657773863</v>
      </c>
      <c r="WQ19" s="90">
        <f t="shared" ca="1" si="626"/>
        <v>84.429662001625843</v>
      </c>
      <c r="WR19" s="90">
        <f t="shared" ca="1" si="627"/>
        <v>59.773130934131537</v>
      </c>
      <c r="WS19" s="90">
        <f t="shared" ca="1" si="628"/>
        <v>44.030914858966767</v>
      </c>
      <c r="WT19" s="90">
        <f t="shared" ca="1" si="629"/>
        <v>49.020036659262672</v>
      </c>
      <c r="WU19" s="90">
        <f t="shared" ca="1" si="630"/>
        <v>67.193907251282823</v>
      </c>
      <c r="WV19" s="90">
        <f t="shared" ca="1" si="631"/>
        <v>167.28461490082728</v>
      </c>
      <c r="WW19" s="90">
        <f t="shared" ca="1" si="632"/>
        <v>115.08194850576392</v>
      </c>
      <c r="WX19" s="90">
        <f t="shared" ca="1" si="633"/>
        <v>55.478190942157148</v>
      </c>
      <c r="WY19" s="90">
        <f t="shared" ca="1" si="634"/>
        <v>107.00056856865456</v>
      </c>
      <c r="WZ19" s="90">
        <f t="shared" ca="1" si="635"/>
        <v>35.393521647584706</v>
      </c>
      <c r="XA19" s="90">
        <f t="shared" ca="1" si="636"/>
        <v>76.950663021323152</v>
      </c>
      <c r="XB19" s="90">
        <f t="shared" ca="1" si="637"/>
        <v>79.493189470933572</v>
      </c>
      <c r="XC19" s="90">
        <f t="shared" ca="1" si="638"/>
        <v>84.2164667059495</v>
      </c>
      <c r="XD19" s="90">
        <f t="shared" ca="1" si="639"/>
        <v>75.391133056942991</v>
      </c>
      <c r="XE19" s="90">
        <f t="shared" ca="1" si="640"/>
        <v>107.43440506318682</v>
      </c>
      <c r="XF19" s="90">
        <f t="shared" ca="1" si="641"/>
        <v>61.467847491126086</v>
      </c>
      <c r="XG19" s="90">
        <f t="shared" ca="1" si="642"/>
        <v>95.28328703645677</v>
      </c>
      <c r="XH19" s="90">
        <f t="shared" ca="1" si="643"/>
        <v>52.388155225244802</v>
      </c>
      <c r="XI19" s="90">
        <f t="shared" ca="1" si="644"/>
        <v>83.617362887750417</v>
      </c>
      <c r="XJ19" s="90">
        <f t="shared" ca="1" si="645"/>
        <v>35.433263324280496</v>
      </c>
      <c r="XK19" s="90">
        <f t="shared" ca="1" si="646"/>
        <v>86.991962088674057</v>
      </c>
      <c r="XL19" s="90">
        <f t="shared" ca="1" si="647"/>
        <v>42.784525699460779</v>
      </c>
      <c r="XM19" s="90">
        <f t="shared" ca="1" si="648"/>
        <v>70.320619707416157</v>
      </c>
      <c r="XN19" s="90">
        <f t="shared" ca="1" si="649"/>
        <v>52.31678979425601</v>
      </c>
      <c r="XO19" s="90">
        <f t="shared" ca="1" si="650"/>
        <v>83.718223381746768</v>
      </c>
      <c r="XP19" s="90">
        <f t="shared" ca="1" si="651"/>
        <v>5.496241157099762</v>
      </c>
      <c r="XQ19" s="90">
        <f t="shared" ca="1" si="652"/>
        <v>94.474210388994777</v>
      </c>
      <c r="XR19" s="90">
        <f t="shared" ca="1" si="653"/>
        <v>33.407749861054889</v>
      </c>
      <c r="XS19" s="90">
        <f t="shared" ca="1" si="654"/>
        <v>83.845998339005988</v>
      </c>
      <c r="XT19" s="90">
        <f t="shared" ca="1" si="655"/>
        <v>41.036742577814387</v>
      </c>
      <c r="XU19" s="90">
        <f t="shared" ca="1" si="656"/>
        <v>35.500848114213717</v>
      </c>
      <c r="XV19" s="90">
        <f t="shared" ca="1" si="657"/>
        <v>19.65674689345655</v>
      </c>
      <c r="XW19" s="90">
        <f t="shared" ca="1" si="658"/>
        <v>94.011544765506912</v>
      </c>
      <c r="XX19" s="90">
        <f t="shared" ca="1" si="659"/>
        <v>83.165074266818195</v>
      </c>
      <c r="XY19" s="90">
        <f t="shared" ca="1" si="660"/>
        <v>26.909349931347474</v>
      </c>
      <c r="XZ19" s="90">
        <f t="shared" ca="1" si="661"/>
        <v>82.925198106569638</v>
      </c>
      <c r="YA19" s="90">
        <f t="shared" ca="1" si="662"/>
        <v>70.549116620145298</v>
      </c>
      <c r="YB19" s="90">
        <f t="shared" ca="1" si="663"/>
        <v>117.97977005330458</v>
      </c>
      <c r="YC19" s="90">
        <f t="shared" ca="1" si="664"/>
        <v>42.933028842954442</v>
      </c>
      <c r="YD19" s="90">
        <f t="shared" ca="1" si="665"/>
        <v>62.629392242940916</v>
      </c>
      <c r="YE19" s="90">
        <f t="shared" ca="1" si="666"/>
        <v>121.52959037182815</v>
      </c>
      <c r="YF19" s="90">
        <f t="shared" ca="1" si="667"/>
        <v>67.948600823043321</v>
      </c>
      <c r="YG19" s="90">
        <f t="shared" ca="1" si="668"/>
        <v>29.597641260526103</v>
      </c>
      <c r="YH19" s="90">
        <f t="shared" ca="1" si="669"/>
        <v>90.648432176742588</v>
      </c>
      <c r="YI19" s="90">
        <f t="shared" ca="1" si="670"/>
        <v>29.663599462219821</v>
      </c>
      <c r="YJ19" s="90">
        <f t="shared" ca="1" si="671"/>
        <v>70.179342640833241</v>
      </c>
      <c r="YK19" s="90">
        <f t="shared" ca="1" si="672"/>
        <v>51.449541315287917</v>
      </c>
      <c r="YL19" s="90">
        <f t="shared" ca="1" si="673"/>
        <v>165.64659893003389</v>
      </c>
      <c r="YM19" s="90">
        <f t="shared" ca="1" si="674"/>
        <v>29.483069971081076</v>
      </c>
      <c r="YN19" s="90">
        <f t="shared" ca="1" si="675"/>
        <v>32.825443827881735</v>
      </c>
      <c r="YO19" s="90">
        <f t="shared" ca="1" si="676"/>
        <v>6.5115960473992098</v>
      </c>
      <c r="YP19" s="90">
        <f t="shared" ca="1" si="677"/>
        <v>129.04461467328491</v>
      </c>
      <c r="YQ19" s="90">
        <f t="shared" ca="1" si="678"/>
        <v>92.493366495271687</v>
      </c>
      <c r="YR19" s="90">
        <f t="shared" ca="1" si="679"/>
        <v>1.9566070916732488</v>
      </c>
      <c r="YS19" s="90">
        <f t="shared" ca="1" si="680"/>
        <v>161.13297357387285</v>
      </c>
      <c r="YT19" s="90">
        <f t="shared" ca="1" si="681"/>
        <v>73.144338060855205</v>
      </c>
      <c r="YU19" s="90">
        <f t="shared" ca="1" si="682"/>
        <v>119.21786027880255</v>
      </c>
      <c r="YV19" s="90">
        <f t="shared" ca="1" si="683"/>
        <v>89.069850107469492</v>
      </c>
      <c r="YW19" s="90">
        <f t="shared" ca="1" si="684"/>
        <v>90.159447566727764</v>
      </c>
      <c r="YX19" s="90">
        <f t="shared" ca="1" si="685"/>
        <v>96.434045903191063</v>
      </c>
      <c r="YY19" s="90">
        <f t="shared" ca="1" si="686"/>
        <v>49.162477630808965</v>
      </c>
      <c r="YZ19" s="90">
        <f t="shared" ca="1" si="687"/>
        <v>83.18994705728791</v>
      </c>
      <c r="ZA19" s="90">
        <f t="shared" ca="1" si="688"/>
        <v>132.77391378245318</v>
      </c>
      <c r="ZB19" s="90">
        <f t="shared" ca="1" si="689"/>
        <v>163.01442184933879</v>
      </c>
      <c r="ZC19" s="90">
        <f t="shared" ca="1" si="690"/>
        <v>103.50664382714645</v>
      </c>
      <c r="ZD19" s="90">
        <f t="shared" ca="1" si="691"/>
        <v>123.52106548827325</v>
      </c>
      <c r="ZE19" s="90">
        <f t="shared" ca="1" si="692"/>
        <v>44.655641078284042</v>
      </c>
      <c r="ZF19" s="90">
        <f t="shared" ca="1" si="693"/>
        <v>121.32275154536295</v>
      </c>
      <c r="ZG19" s="90">
        <f t="shared" ca="1" si="694"/>
        <v>107.38912032365845</v>
      </c>
      <c r="ZH19" s="90">
        <f t="shared" ca="1" si="695"/>
        <v>122.68286746038802</v>
      </c>
      <c r="ZI19" s="90">
        <f t="shared" ca="1" si="696"/>
        <v>43.86000965419543</v>
      </c>
      <c r="ZJ19" s="90">
        <f t="shared" ca="1" si="697"/>
        <v>173.88269483176035</v>
      </c>
      <c r="ZK19" s="90">
        <f t="shared" ca="1" si="698"/>
        <v>35.710425773703285</v>
      </c>
      <c r="ZL19" s="90">
        <f t="shared" ca="1" si="699"/>
        <v>137.25201217773949</v>
      </c>
      <c r="ZM19" s="90">
        <f t="shared" ca="1" si="700"/>
        <v>128.23299077990148</v>
      </c>
      <c r="ZN19" s="90">
        <f t="shared" ca="1" si="701"/>
        <v>96.928359835117888</v>
      </c>
      <c r="ZO19" s="90">
        <f t="shared" ca="1" si="702"/>
        <v>48.499851853387916</v>
      </c>
      <c r="ZP19" s="90">
        <f t="shared" ca="1" si="703"/>
        <v>78.617685198964253</v>
      </c>
      <c r="ZQ19" s="90">
        <f t="shared" ca="1" si="704"/>
        <v>84.979581561694388</v>
      </c>
      <c r="ZR19" s="90">
        <f t="shared" ca="1" si="705"/>
        <v>32.696143773395946</v>
      </c>
      <c r="ZS19" s="90">
        <f t="shared" ca="1" si="706"/>
        <v>48.34521116896007</v>
      </c>
      <c r="ZT19" s="90">
        <f t="shared" ca="1" si="707"/>
        <v>92.713333114943509</v>
      </c>
      <c r="ZU19" s="90">
        <f t="shared" ca="1" si="708"/>
        <v>36.193473883181802</v>
      </c>
      <c r="ZV19" s="90">
        <f t="shared" ca="1" si="709"/>
        <v>89.147233627706228</v>
      </c>
      <c r="ZW19" s="90">
        <f t="shared" ca="1" si="710"/>
        <v>26.65753935639475</v>
      </c>
      <c r="ZX19" s="90">
        <f t="shared" ca="1" si="711"/>
        <v>73.681426658246849</v>
      </c>
      <c r="ZY19" s="90">
        <f t="shared" ca="1" si="712"/>
        <v>53.491939299224434</v>
      </c>
      <c r="ZZ19" s="90">
        <f t="shared" ca="1" si="713"/>
        <v>68.103350235929</v>
      </c>
      <c r="AAA19" s="90">
        <f t="shared" ca="1" si="714"/>
        <v>126.47591023985646</v>
      </c>
      <c r="AAB19" s="90">
        <f t="shared" ca="1" si="715"/>
        <v>79.222975056341454</v>
      </c>
      <c r="AAC19" s="90">
        <f t="shared" ca="1" si="716"/>
        <v>102.58127608258276</v>
      </c>
      <c r="AAD19" s="90">
        <f t="shared" ca="1" si="717"/>
        <v>60.463778869444816</v>
      </c>
      <c r="AAE19" s="90">
        <f t="shared" ca="1" si="718"/>
        <v>100.86423943844612</v>
      </c>
      <c r="AAF19" s="90">
        <f t="shared" ca="1" si="719"/>
        <v>18.662721568887392</v>
      </c>
      <c r="AAG19" s="90">
        <f t="shared" ca="1" si="720"/>
        <v>72.811198010131022</v>
      </c>
      <c r="AAH19" s="90">
        <f t="shared" ca="1" si="721"/>
        <v>162.89098898598931</v>
      </c>
      <c r="AAI19" s="90">
        <f t="shared" ca="1" si="722"/>
        <v>-6.1079664032571221</v>
      </c>
      <c r="AAJ19" s="90">
        <f t="shared" ca="1" si="723"/>
        <v>133.5313927294533</v>
      </c>
      <c r="AAK19" s="90">
        <f t="shared" ca="1" si="724"/>
        <v>68.539856005099793</v>
      </c>
      <c r="AAL19" s="90">
        <f t="shared" ca="1" si="725"/>
        <v>142.74160291963699</v>
      </c>
      <c r="AAM19" s="90">
        <f t="shared" ca="1" si="726"/>
        <v>93.280652702700536</v>
      </c>
      <c r="AAN19" s="90">
        <f t="shared" ca="1" si="727"/>
        <v>97.500420457575672</v>
      </c>
      <c r="AAO19" s="90">
        <f t="shared" ca="1" si="728"/>
        <v>60.003789928958099</v>
      </c>
      <c r="AAP19" s="90">
        <f t="shared" ca="1" si="729"/>
        <v>139.4862127604691</v>
      </c>
      <c r="AAQ19" s="90">
        <f t="shared" ca="1" si="730"/>
        <v>116.37341902728494</v>
      </c>
      <c r="AAR19" s="90">
        <f t="shared" ca="1" si="731"/>
        <v>66.336908979247184</v>
      </c>
      <c r="AAS19" s="90">
        <f t="shared" ca="1" si="732"/>
        <v>40.884850304293366</v>
      </c>
      <c r="AAT19" s="90">
        <f t="shared" ca="1" si="733"/>
        <v>94.164492994542314</v>
      </c>
      <c r="AAU19" s="90">
        <f t="shared" ca="1" si="734"/>
        <v>73.762406428485633</v>
      </c>
      <c r="AAV19" s="90">
        <f t="shared" ca="1" si="735"/>
        <v>65.817409273065621</v>
      </c>
      <c r="AAW19" s="90">
        <f t="shared" ca="1" si="736"/>
        <v>112.52061707386154</v>
      </c>
      <c r="AAX19" s="90">
        <f t="shared" ca="1" si="737"/>
        <v>86.825708338012461</v>
      </c>
      <c r="AAY19" s="90">
        <f t="shared" ca="1" si="738"/>
        <v>97.727995950812854</v>
      </c>
      <c r="AAZ19" s="90">
        <f t="shared" ca="1" si="739"/>
        <v>70.924670197132471</v>
      </c>
      <c r="ABA19" s="90">
        <f t="shared" ca="1" si="740"/>
        <v>58.103846230608262</v>
      </c>
      <c r="ABB19" s="90">
        <f t="shared" ca="1" si="741"/>
        <v>9.2841105332381346</v>
      </c>
      <c r="ABC19" s="90">
        <f t="shared" ca="1" si="742"/>
        <v>115.16967700952779</v>
      </c>
      <c r="ABD19" s="90">
        <f t="shared" ca="1" si="743"/>
        <v>81.592418043125022</v>
      </c>
      <c r="ABE19" s="90">
        <f t="shared" ca="1" si="744"/>
        <v>112.85379420154518</v>
      </c>
      <c r="ABF19" s="90">
        <f t="shared" ca="1" si="745"/>
        <v>83.058082856631486</v>
      </c>
      <c r="ABG19" s="90">
        <f t="shared" ca="1" si="746"/>
        <v>38.430702136423335</v>
      </c>
      <c r="ABH19" s="90">
        <f t="shared" ca="1" si="747"/>
        <v>86.847370650722738</v>
      </c>
      <c r="ABI19" s="90">
        <f t="shared" ca="1" si="748"/>
        <v>24.606613398594881</v>
      </c>
      <c r="ABJ19" s="90">
        <f t="shared" ca="1" si="749"/>
        <v>51.626917237369028</v>
      </c>
      <c r="ABK19" s="90">
        <f t="shared" ca="1" si="750"/>
        <v>95.508496903999756</v>
      </c>
      <c r="ABL19" s="90">
        <f t="shared" ca="1" si="751"/>
        <v>133.53217543427684</v>
      </c>
      <c r="ABM19" s="90">
        <f t="shared" ca="1" si="752"/>
        <v>116.44347885541148</v>
      </c>
      <c r="ABN19" s="90">
        <f t="shared" ca="1" si="753"/>
        <v>25.019951296002752</v>
      </c>
      <c r="ABO19" s="90">
        <f t="shared" ca="1" si="754"/>
        <v>38.897333460265521</v>
      </c>
      <c r="ABP19" s="90">
        <f t="shared" ca="1" si="755"/>
        <v>39.007497148439114</v>
      </c>
      <c r="ABQ19" s="90">
        <f t="shared" ca="1" si="756"/>
        <v>44.604901112674575</v>
      </c>
      <c r="ABR19" s="90">
        <f t="shared" ca="1" si="757"/>
        <v>68.944701682013971</v>
      </c>
      <c r="ABS19" s="90">
        <f t="shared" ca="1" si="758"/>
        <v>61.243084641075569</v>
      </c>
      <c r="ABT19" s="90">
        <f t="shared" ca="1" si="759"/>
        <v>78.420525503861711</v>
      </c>
      <c r="ABU19" s="90">
        <f t="shared" ca="1" si="760"/>
        <v>48.820073045373874</v>
      </c>
      <c r="ABV19" s="90">
        <f t="shared" ca="1" si="761"/>
        <v>89.488956328085365</v>
      </c>
      <c r="ABW19" s="90">
        <f t="shared" ca="1" si="762"/>
        <v>7.7942161727659967</v>
      </c>
      <c r="ABX19" s="90">
        <f t="shared" ca="1" si="763"/>
        <v>64.948252459435977</v>
      </c>
      <c r="ABY19" s="90">
        <f t="shared" ca="1" si="764"/>
        <v>34.966541645491375</v>
      </c>
      <c r="ABZ19" s="90">
        <f t="shared" ca="1" si="765"/>
        <v>82.738907003037539</v>
      </c>
      <c r="ACA19" s="90">
        <f t="shared" ca="1" si="766"/>
        <v>182.98514317615414</v>
      </c>
      <c r="ACB19" s="90">
        <f t="shared" ca="1" si="767"/>
        <v>89.39738415475216</v>
      </c>
      <c r="ACC19" s="90">
        <f t="shared" ca="1" si="768"/>
        <v>51.418016535851052</v>
      </c>
      <c r="ACD19" s="90">
        <f t="shared" ca="1" si="769"/>
        <v>104.1059235238246</v>
      </c>
      <c r="ACE19" s="90">
        <f t="shared" ca="1" si="770"/>
        <v>103.83750941775681</v>
      </c>
      <c r="ACF19" s="90">
        <f t="shared" ca="1" si="771"/>
        <v>59.305383074400979</v>
      </c>
      <c r="ACG19" s="90">
        <f t="shared" ca="1" si="772"/>
        <v>67.655161570552821</v>
      </c>
      <c r="ACH19" s="90">
        <f t="shared" ca="1" si="773"/>
        <v>93.545735944401571</v>
      </c>
      <c r="ACI19" s="90">
        <f t="shared" ca="1" si="774"/>
        <v>14.350504240265725</v>
      </c>
      <c r="ACJ19" s="90">
        <f t="shared" ca="1" si="775"/>
        <v>44.798348260492887</v>
      </c>
      <c r="ACK19" s="90">
        <f t="shared" ca="1" si="776"/>
        <v>91.375556132335419</v>
      </c>
      <c r="ACL19" s="90">
        <f t="shared" ca="1" si="777"/>
        <v>78.931930535573926</v>
      </c>
      <c r="ACM19" s="90">
        <f t="shared" ca="1" si="778"/>
        <v>191.97912930454228</v>
      </c>
      <c r="ACN19" s="90">
        <f t="shared" ca="1" si="779"/>
        <v>66.011790451951114</v>
      </c>
      <c r="ACO19" s="90">
        <f t="shared" ca="1" si="780"/>
        <v>46.086129570736716</v>
      </c>
      <c r="ACP19" s="90">
        <f t="shared" ca="1" si="781"/>
        <v>51.416172061101641</v>
      </c>
      <c r="ACQ19" s="90">
        <f t="shared" ca="1" si="782"/>
        <v>104.12569145690647</v>
      </c>
      <c r="ACR19" s="90">
        <f t="shared" ca="1" si="783"/>
        <v>56.989238574654628</v>
      </c>
      <c r="ACS19" s="90">
        <f t="shared" ca="1" si="784"/>
        <v>116.56302608868312</v>
      </c>
      <c r="ACT19" s="90">
        <f t="shared" ca="1" si="785"/>
        <v>28.502142509681242</v>
      </c>
      <c r="ACU19" s="90">
        <f t="shared" ca="1" si="786"/>
        <v>64.924308958465346</v>
      </c>
      <c r="ACV19" s="90">
        <f t="shared" ca="1" si="787"/>
        <v>70.596103066516832</v>
      </c>
      <c r="ACW19" s="90">
        <f t="shared" ca="1" si="788"/>
        <v>139.03245835261819</v>
      </c>
      <c r="ACX19" s="90">
        <f t="shared" ca="1" si="789"/>
        <v>8.4401746342404564</v>
      </c>
      <c r="ACY19" s="90">
        <f t="shared" ca="1" si="790"/>
        <v>92.577617790305183</v>
      </c>
      <c r="ACZ19" s="90">
        <f t="shared" ca="1" si="791"/>
        <v>33.035067437187777</v>
      </c>
      <c r="ADA19" s="90">
        <f t="shared" ca="1" si="792"/>
        <v>88.915256524174495</v>
      </c>
      <c r="ADB19" s="90">
        <f t="shared" ca="1" si="793"/>
        <v>59.176624249773369</v>
      </c>
      <c r="ADC19" s="90">
        <f t="shared" ca="1" si="794"/>
        <v>105.64571407362551</v>
      </c>
      <c r="ADD19" s="90">
        <f t="shared" ca="1" si="795"/>
        <v>62.37502194726423</v>
      </c>
      <c r="ADE19" s="90">
        <f t="shared" ca="1" si="796"/>
        <v>75.16619376377794</v>
      </c>
      <c r="ADF19" s="90">
        <f t="shared" ca="1" si="797"/>
        <v>106.89664517613576</v>
      </c>
      <c r="ADG19" s="90">
        <f t="shared" ca="1" si="798"/>
        <v>57.840590771112268</v>
      </c>
      <c r="ADH19" s="90">
        <f t="shared" ca="1" si="799"/>
        <v>34.410898530286318</v>
      </c>
      <c r="ADI19" s="90">
        <f t="shared" ca="1" si="800"/>
        <v>103.46196929790155</v>
      </c>
      <c r="ADJ19" s="90">
        <f t="shared" ca="1" si="801"/>
        <v>29.680169006644608</v>
      </c>
      <c r="ADK19" s="90">
        <f t="shared" ca="1" si="802"/>
        <v>96.043006778596819</v>
      </c>
      <c r="ADL19" s="90">
        <f t="shared" ca="1" si="803"/>
        <v>42.316533164862527</v>
      </c>
      <c r="ADM19" s="90">
        <f t="shared" ca="1" si="804"/>
        <v>45.000271055543905</v>
      </c>
      <c r="ADN19" s="90">
        <f t="shared" ca="1" si="805"/>
        <v>87.865424596691298</v>
      </c>
      <c r="ADO19" s="90">
        <f t="shared" ca="1" si="806"/>
        <v>45.226325786331138</v>
      </c>
      <c r="ADP19" s="90">
        <f t="shared" ca="1" si="807"/>
        <v>112.40880032556156</v>
      </c>
      <c r="ADQ19" s="90">
        <f t="shared" ca="1" si="808"/>
        <v>101.09632831516285</v>
      </c>
      <c r="ADR19" s="90">
        <f t="shared" ca="1" si="809"/>
        <v>111.86500223767908</v>
      </c>
      <c r="ADS19" s="90">
        <f t="shared" ca="1" si="810"/>
        <v>43.279158301248991</v>
      </c>
      <c r="ADT19" s="90">
        <f t="shared" ca="1" si="811"/>
        <v>79.042966438026681</v>
      </c>
      <c r="ADU19" s="90">
        <f t="shared" ca="1" si="812"/>
        <v>63.317407484207692</v>
      </c>
      <c r="ADV19" s="90">
        <f t="shared" ca="1" si="813"/>
        <v>57.475299163396535</v>
      </c>
      <c r="ADW19" s="90">
        <f t="shared" ca="1" si="814"/>
        <v>46.405181494866753</v>
      </c>
      <c r="ADX19" s="90">
        <f t="shared" ca="1" si="815"/>
        <v>72.061741066034685</v>
      </c>
      <c r="ADY19" s="90">
        <f t="shared" ca="1" si="816"/>
        <v>34.545794769416965</v>
      </c>
      <c r="ADZ19" s="90">
        <f t="shared" ca="1" si="817"/>
        <v>45.083703620712953</v>
      </c>
      <c r="AEA19" s="90">
        <f t="shared" ca="1" si="818"/>
        <v>59.847190429056376</v>
      </c>
      <c r="AEB19" s="90">
        <f t="shared" ca="1" si="819"/>
        <v>18.572719208553057</v>
      </c>
      <c r="AEC19" s="90">
        <f t="shared" ca="1" si="820"/>
        <v>66.425090271967477</v>
      </c>
      <c r="AED19" s="90">
        <f t="shared" ca="1" si="821"/>
        <v>39.855099720031617</v>
      </c>
      <c r="AEE19" s="90">
        <f t="shared" ca="1" si="822"/>
        <v>114.06157134215557</v>
      </c>
      <c r="AEF19" s="90">
        <f t="shared" ca="1" si="823"/>
        <v>58.629437960819651</v>
      </c>
      <c r="AEG19" s="90">
        <f t="shared" ca="1" si="824"/>
        <v>102.39904312523171</v>
      </c>
      <c r="AEH19" s="90">
        <f t="shared" ca="1" si="825"/>
        <v>93.64112595514969</v>
      </c>
      <c r="AEI19" s="90">
        <f t="shared" ca="1" si="826"/>
        <v>49.746692639180274</v>
      </c>
      <c r="AEJ19" s="90">
        <f t="shared" ca="1" si="827"/>
        <v>47.581461039180041</v>
      </c>
      <c r="AEK19" s="90">
        <f t="shared" ca="1" si="828"/>
        <v>127.50071098233958</v>
      </c>
      <c r="AEL19" s="90">
        <f t="shared" ca="1" si="829"/>
        <v>6.0170204944974479</v>
      </c>
      <c r="AEM19" s="90">
        <f t="shared" ca="1" si="830"/>
        <v>55.332668007819009</v>
      </c>
      <c r="AEN19" s="90">
        <f t="shared" ca="1" si="831"/>
        <v>32.287736680019925</v>
      </c>
      <c r="AEO19" s="90">
        <f t="shared" ca="1" si="832"/>
        <v>25.422267176140949</v>
      </c>
      <c r="AEP19" s="90">
        <f t="shared" ca="1" si="833"/>
        <v>18.916865052218416</v>
      </c>
      <c r="AEQ19" s="90">
        <f t="shared" ca="1" si="834"/>
        <v>48.572109247473144</v>
      </c>
      <c r="AER19" s="90">
        <f t="shared" ca="1" si="835"/>
        <v>39.20339645305117</v>
      </c>
      <c r="AES19" s="90">
        <f t="shared" ca="1" si="836"/>
        <v>168.91326786169586</v>
      </c>
      <c r="AET19" s="90">
        <f t="shared" ca="1" si="837"/>
        <v>80.73757910231231</v>
      </c>
      <c r="AEU19" s="90">
        <f t="shared" ca="1" si="838"/>
        <v>86.970460327691953</v>
      </c>
      <c r="AEV19" s="90">
        <f t="shared" ca="1" si="839"/>
        <v>86.785630890135081</v>
      </c>
      <c r="AEW19" s="90">
        <f t="shared" ca="1" si="840"/>
        <v>81.302394526628504</v>
      </c>
      <c r="AEX19" s="90">
        <f t="shared" ca="1" si="841"/>
        <v>106.02576364419926</v>
      </c>
      <c r="AEY19" s="90">
        <f t="shared" ca="1" si="842"/>
        <v>39.048558285101365</v>
      </c>
      <c r="AEZ19" s="90">
        <f t="shared" ca="1" si="843"/>
        <v>33.936429730069442</v>
      </c>
      <c r="AFA19" s="90">
        <f t="shared" ca="1" si="844"/>
        <v>112.83215203303563</v>
      </c>
      <c r="AFB19" s="90">
        <f t="shared" ca="1" si="845"/>
        <v>75.679513792756126</v>
      </c>
      <c r="AFC19" s="90">
        <f t="shared" ca="1" si="846"/>
        <v>36.415484421983841</v>
      </c>
      <c r="AFD19" s="90">
        <f t="shared" ca="1" si="847"/>
        <v>79.980516496931386</v>
      </c>
      <c r="AFE19" s="90">
        <f t="shared" ca="1" si="848"/>
        <v>26.993531793999516</v>
      </c>
      <c r="AFF19" s="90">
        <f t="shared" ca="1" si="849"/>
        <v>62.167025108049771</v>
      </c>
      <c r="AFG19" s="90">
        <f t="shared" ca="1" si="850"/>
        <v>35.002325787780933</v>
      </c>
      <c r="AFH19" s="90">
        <f t="shared" ca="1" si="851"/>
        <v>91.47399513554484</v>
      </c>
      <c r="AFI19" s="90">
        <f t="shared" ca="1" si="852"/>
        <v>115.06781407967699</v>
      </c>
      <c r="AFJ19" s="90">
        <f t="shared" ca="1" si="853"/>
        <v>62.91869274786162</v>
      </c>
      <c r="AFK19" s="90">
        <f t="shared" ca="1" si="854"/>
        <v>55.651318437697398</v>
      </c>
      <c r="AFL19" s="90">
        <f t="shared" ca="1" si="855"/>
        <v>31.933197938699688</v>
      </c>
      <c r="AFM19" s="90">
        <f t="shared" ca="1" si="856"/>
        <v>67.464604295624866</v>
      </c>
      <c r="AFN19" s="90">
        <f t="shared" ca="1" si="857"/>
        <v>46.893188010680831</v>
      </c>
      <c r="AFO19" s="90">
        <f t="shared" ca="1" si="858"/>
        <v>84.470238661761798</v>
      </c>
      <c r="AFP19" s="90">
        <f t="shared" ca="1" si="859"/>
        <v>93.806905118752468</v>
      </c>
      <c r="AFQ19" s="90">
        <f t="shared" ca="1" si="860"/>
        <v>94.714547531381641</v>
      </c>
      <c r="AFR19" s="90">
        <f t="shared" ca="1" si="861"/>
        <v>32.3826442065142</v>
      </c>
      <c r="AFS19" s="90">
        <f t="shared" ca="1" si="862"/>
        <v>106.44508798621989</v>
      </c>
      <c r="AFT19" s="90">
        <f t="shared" ca="1" si="863"/>
        <v>76.433306281817622</v>
      </c>
      <c r="AFU19" s="90">
        <f t="shared" ca="1" si="864"/>
        <v>48.581735876752347</v>
      </c>
      <c r="AFV19" s="90">
        <f t="shared" ca="1" si="865"/>
        <v>119.2022809853915</v>
      </c>
      <c r="AFW19" s="90">
        <f t="shared" ca="1" si="866"/>
        <v>92.942603088999405</v>
      </c>
      <c r="AFX19" s="90">
        <f t="shared" ca="1" si="867"/>
        <v>74.742732288839235</v>
      </c>
      <c r="AFY19" s="90">
        <f t="shared" ca="1" si="868"/>
        <v>83.620222183697578</v>
      </c>
      <c r="AFZ19" s="90">
        <f t="shared" ca="1" si="869"/>
        <v>41.3601267851515</v>
      </c>
      <c r="AGA19" s="90">
        <f t="shared" ca="1" si="870"/>
        <v>81.480923004067279</v>
      </c>
      <c r="AGB19" s="90">
        <f t="shared" ca="1" si="871"/>
        <v>90.292422348854856</v>
      </c>
      <c r="AGC19" s="90">
        <f t="shared" ca="1" si="872"/>
        <v>59.778640762520354</v>
      </c>
      <c r="AGD19" s="90">
        <f t="shared" ca="1" si="873"/>
        <v>72.927947714409896</v>
      </c>
      <c r="AGE19" s="90">
        <f t="shared" ca="1" si="874"/>
        <v>77.869957198601</v>
      </c>
      <c r="AGF19" s="90">
        <f t="shared" ca="1" si="875"/>
        <v>36.254230390050523</v>
      </c>
      <c r="AGG19" s="90">
        <f t="shared" ca="1" si="876"/>
        <v>52.278252105033857</v>
      </c>
      <c r="AGH19" s="90">
        <f t="shared" ca="1" si="877"/>
        <v>179.18862513431247</v>
      </c>
      <c r="AGI19" s="90">
        <f t="shared" ca="1" si="878"/>
        <v>100.08968398011893</v>
      </c>
      <c r="AGJ19" s="90">
        <f t="shared" ca="1" si="879"/>
        <v>116.06761476651674</v>
      </c>
      <c r="AGK19" s="90">
        <f t="shared" ca="1" si="880"/>
        <v>83.592448719341533</v>
      </c>
      <c r="AGL19" s="90">
        <f t="shared" ca="1" si="881"/>
        <v>67.163942016101842</v>
      </c>
      <c r="AGM19" s="90">
        <f t="shared" ca="1" si="882"/>
        <v>50.444318256480621</v>
      </c>
      <c r="AGN19" s="90">
        <f t="shared" ca="1" si="883"/>
        <v>55.912768843090021</v>
      </c>
      <c r="AGO19" s="90">
        <f t="shared" ca="1" si="884"/>
        <v>54.693254321751027</v>
      </c>
      <c r="AGP19" s="90">
        <f t="shared" ca="1" si="885"/>
        <v>66.96050666075476</v>
      </c>
      <c r="AGQ19" s="90">
        <f t="shared" ca="1" si="886"/>
        <v>15.449060188012226</v>
      </c>
      <c r="AGR19" s="90">
        <f t="shared" ca="1" si="887"/>
        <v>59.326138112481296</v>
      </c>
      <c r="AGS19" s="90">
        <f t="shared" ca="1" si="888"/>
        <v>78.320892060198503</v>
      </c>
      <c r="AGT19" s="90">
        <f t="shared" ca="1" si="889"/>
        <v>71.939844266078538</v>
      </c>
      <c r="AGU19" s="90">
        <f t="shared" ca="1" si="890"/>
        <v>96.00847208403404</v>
      </c>
      <c r="AGV19" s="90">
        <f t="shared" ca="1" si="891"/>
        <v>25.554209898248011</v>
      </c>
      <c r="AGW19" s="90">
        <f t="shared" ca="1" si="892"/>
        <v>112.75556336204133</v>
      </c>
      <c r="AGX19" s="90">
        <f t="shared" ca="1" si="893"/>
        <v>77.296721008304743</v>
      </c>
      <c r="AGY19" s="90">
        <f t="shared" ca="1" si="894"/>
        <v>68.853885432587887</v>
      </c>
      <c r="AGZ19" s="90">
        <f t="shared" ca="1" si="895"/>
        <v>107.78798298445193</v>
      </c>
      <c r="AHA19" s="90">
        <f t="shared" ca="1" si="896"/>
        <v>109.89017404841105</v>
      </c>
      <c r="AHB19" s="90">
        <f t="shared" ca="1" si="897"/>
        <v>67.887034775797417</v>
      </c>
      <c r="AHC19" s="90">
        <f t="shared" ca="1" si="898"/>
        <v>168.33396495087899</v>
      </c>
      <c r="AHD19" s="90">
        <f t="shared" ca="1" si="899"/>
        <v>114.3840472190719</v>
      </c>
      <c r="AHE19" s="90">
        <f t="shared" ca="1" si="900"/>
        <v>117.00243866461095</v>
      </c>
      <c r="AHF19" s="90">
        <f t="shared" ca="1" si="901"/>
        <v>71.569741311150906</v>
      </c>
      <c r="AHG19" s="90">
        <f t="shared" ca="1" si="902"/>
        <v>159.69284316759621</v>
      </c>
      <c r="AHH19" s="90">
        <f t="shared" ca="1" si="903"/>
        <v>139.42557465947922</v>
      </c>
      <c r="AHI19" s="90">
        <f t="shared" ca="1" si="904"/>
        <v>49.81422056619671</v>
      </c>
      <c r="AHJ19" s="90">
        <f t="shared" ca="1" si="905"/>
        <v>76.049608055092975</v>
      </c>
      <c r="AHK19" s="90">
        <f t="shared" ca="1" si="906"/>
        <v>56.126635107911667</v>
      </c>
      <c r="AHL19" s="90">
        <f t="shared" ca="1" si="907"/>
        <v>13.974687938474965</v>
      </c>
      <c r="AHM19" s="90">
        <f t="shared" ca="1" si="908"/>
        <v>121.9213043875646</v>
      </c>
      <c r="AHN19" s="90">
        <f t="shared" ca="1" si="909"/>
        <v>81.308589813816468</v>
      </c>
      <c r="AHO19" s="90">
        <f t="shared" ca="1" si="910"/>
        <v>26.680341617812076</v>
      </c>
      <c r="AHP19" s="90">
        <f t="shared" ca="1" si="911"/>
        <v>96.782593811778852</v>
      </c>
      <c r="AHQ19" s="90">
        <f t="shared" ca="1" si="912"/>
        <v>95.032652786989928</v>
      </c>
      <c r="AHR19" s="90">
        <f t="shared" ca="1" si="913"/>
        <v>-8.3875388150760397</v>
      </c>
      <c r="AHS19" s="90">
        <f t="shared" ca="1" si="914"/>
        <v>31.969586943597445</v>
      </c>
      <c r="AHT19" s="90">
        <f t="shared" ca="1" si="915"/>
        <v>64.91467544780167</v>
      </c>
      <c r="AHU19" s="90">
        <f t="shared" ca="1" si="916"/>
        <v>45.36210691523155</v>
      </c>
      <c r="AHV19" s="90">
        <f t="shared" ca="1" si="917"/>
        <v>74.020310673526751</v>
      </c>
      <c r="AHW19" s="90">
        <f t="shared" ca="1" si="918"/>
        <v>66.522012169259895</v>
      </c>
      <c r="AHX19" s="90">
        <f t="shared" ca="1" si="919"/>
        <v>53.80676426072317</v>
      </c>
      <c r="AHY19" s="90">
        <f t="shared" ca="1" si="920"/>
        <v>71.955901823614909</v>
      </c>
      <c r="AHZ19" s="90">
        <f t="shared" ca="1" si="921"/>
        <v>110.32236114928013</v>
      </c>
      <c r="AIA19" s="90">
        <f t="shared" ca="1" si="922"/>
        <v>91.181495770365672</v>
      </c>
      <c r="AIB19" s="90">
        <f t="shared" ca="1" si="923"/>
        <v>52.709317350221973</v>
      </c>
      <c r="AIC19" s="90">
        <f t="shared" ca="1" si="924"/>
        <v>56.269142855499233</v>
      </c>
      <c r="AID19" s="90">
        <f t="shared" ca="1" si="925"/>
        <v>91.387131971116858</v>
      </c>
      <c r="AIE19" s="90">
        <f t="shared" ca="1" si="926"/>
        <v>161.62408180515257</v>
      </c>
      <c r="AIF19" s="90">
        <f t="shared" ca="1" si="927"/>
        <v>155.99426691535587</v>
      </c>
      <c r="AIG19" s="90">
        <f t="shared" ca="1" si="928"/>
        <v>100.19541348367429</v>
      </c>
      <c r="AIH19" s="90">
        <f t="shared" ca="1" si="929"/>
        <v>63.383383317550866</v>
      </c>
      <c r="AII19" s="90">
        <f t="shared" ca="1" si="930"/>
        <v>143.34526449846371</v>
      </c>
      <c r="AIJ19" s="90">
        <f t="shared" ca="1" si="931"/>
        <v>24.668910260551826</v>
      </c>
      <c r="AIK19" s="90">
        <f t="shared" ca="1" si="932"/>
        <v>31.449728273108644</v>
      </c>
      <c r="AIL19" s="90">
        <f t="shared" ca="1" si="933"/>
        <v>73.829526167633588</v>
      </c>
      <c r="AIM19" s="90">
        <f t="shared" ca="1" si="934"/>
        <v>109.36421786693008</v>
      </c>
      <c r="AIN19" s="90">
        <f t="shared" ca="1" si="935"/>
        <v>39.651648730478918</v>
      </c>
      <c r="AIO19" s="90">
        <f t="shared" ca="1" si="936"/>
        <v>34.724470243055464</v>
      </c>
      <c r="AIP19" s="90">
        <f t="shared" ca="1" si="937"/>
        <v>88.042371859778157</v>
      </c>
      <c r="AIQ19" s="90">
        <f t="shared" ca="1" si="938"/>
        <v>-9.6504434534813353</v>
      </c>
      <c r="AIR19" s="90">
        <f t="shared" ca="1" si="939"/>
        <v>85.93781276991902</v>
      </c>
      <c r="AIS19" s="90">
        <f t="shared" ca="1" si="940"/>
        <v>28.044714577724406</v>
      </c>
      <c r="AIT19" s="90">
        <f t="shared" ca="1" si="941"/>
        <v>82.831204227623871</v>
      </c>
      <c r="AIU19" s="90">
        <f t="shared" ca="1" si="942"/>
        <v>42.775118060031865</v>
      </c>
      <c r="AIV19" s="90">
        <f t="shared" ca="1" si="943"/>
        <v>68.990613825516263</v>
      </c>
      <c r="AIW19" s="90">
        <f t="shared" ca="1" si="944"/>
        <v>100.671274705561</v>
      </c>
      <c r="AIX19" s="90">
        <f t="shared" ca="1" si="945"/>
        <v>78.897693495286148</v>
      </c>
      <c r="AIY19" s="90">
        <f t="shared" ca="1" si="946"/>
        <v>86.596148811008106</v>
      </c>
      <c r="AIZ19" s="90">
        <f t="shared" ca="1" si="947"/>
        <v>75.778650819792219</v>
      </c>
      <c r="AJA19" s="90">
        <f t="shared" ca="1" si="948"/>
        <v>152.23035018576221</v>
      </c>
      <c r="AJB19" s="90">
        <f t="shared" ca="1" si="949"/>
        <v>32.698429531770763</v>
      </c>
      <c r="AJC19" s="90">
        <f t="shared" ca="1" si="950"/>
        <v>-2.4133093560953909</v>
      </c>
      <c r="AJD19" s="90">
        <f t="shared" ca="1" si="951"/>
        <v>121.99929314175493</v>
      </c>
      <c r="AJE19" s="90">
        <f t="shared" ca="1" si="952"/>
        <v>82.55609607555391</v>
      </c>
      <c r="AJF19" s="90">
        <f t="shared" ca="1" si="953"/>
        <v>30.621256804043124</v>
      </c>
      <c r="AJG19" s="90">
        <f t="shared" ca="1" si="954"/>
        <v>90.105992929756269</v>
      </c>
      <c r="AJH19" s="90">
        <f t="shared" ca="1" si="955"/>
        <v>36.716023694133625</v>
      </c>
      <c r="AJI19" s="90">
        <f t="shared" ca="1" si="956"/>
        <v>64.356114234780193</v>
      </c>
      <c r="AJJ19" s="90">
        <f t="shared" ca="1" si="957"/>
        <v>73.388903262876298</v>
      </c>
      <c r="AJK19" s="90">
        <f t="shared" ca="1" si="958"/>
        <v>89.862281013560164</v>
      </c>
      <c r="AJL19" s="90">
        <f t="shared" ca="1" si="959"/>
        <v>40.758022188316161</v>
      </c>
      <c r="AJM19" s="90">
        <f t="shared" ca="1" si="960"/>
        <v>73.53859685006401</v>
      </c>
      <c r="AJN19" s="90">
        <f t="shared" ca="1" si="961"/>
        <v>51.618191936714119</v>
      </c>
      <c r="AJO19" s="90">
        <f t="shared" ca="1" si="962"/>
        <v>34.176882415093488</v>
      </c>
      <c r="AJP19" s="90">
        <f t="shared" ca="1" si="963"/>
        <v>147.49435884378443</v>
      </c>
      <c r="AJQ19" s="90">
        <f t="shared" ca="1" si="964"/>
        <v>146.33141628845507</v>
      </c>
      <c r="AJR19" s="90">
        <f t="shared" ca="1" si="965"/>
        <v>56.568122301822086</v>
      </c>
      <c r="AJS19" s="90">
        <f t="shared" ca="1" si="966"/>
        <v>37.232348271897315</v>
      </c>
      <c r="AJT19" s="90">
        <f t="shared" ca="1" si="967"/>
        <v>76.308591026475696</v>
      </c>
      <c r="AJU19" s="90">
        <f t="shared" ca="1" si="968"/>
        <v>27.918581078885392</v>
      </c>
      <c r="AJV19" s="90">
        <f t="shared" ca="1" si="969"/>
        <v>123.44489631219402</v>
      </c>
      <c r="AJW19" s="90">
        <f t="shared" ca="1" si="970"/>
        <v>59.060798174484482</v>
      </c>
      <c r="AJX19" s="90">
        <f t="shared" ca="1" si="971"/>
        <v>31.886589912339584</v>
      </c>
      <c r="AJY19" s="90">
        <f t="shared" ca="1" si="972"/>
        <v>27.608476682931265</v>
      </c>
      <c r="AJZ19" s="90">
        <f t="shared" ca="1" si="973"/>
        <v>135.39444820902736</v>
      </c>
      <c r="AKA19" s="90">
        <f t="shared" ca="1" si="974"/>
        <v>57.768302033866085</v>
      </c>
      <c r="AKB19" s="90">
        <f t="shared" ca="1" si="975"/>
        <v>52.718930584669494</v>
      </c>
      <c r="AKC19" s="90">
        <f t="shared" ca="1" si="976"/>
        <v>92.967472923054999</v>
      </c>
      <c r="AKD19" s="90">
        <f t="shared" ca="1" si="977"/>
        <v>191.97821576204618</v>
      </c>
      <c r="AKE19" s="90">
        <f t="shared" ca="1" si="978"/>
        <v>58.142433127541565</v>
      </c>
      <c r="AKF19" s="90">
        <f t="shared" ca="1" si="979"/>
        <v>52.19484231263948</v>
      </c>
      <c r="AKG19" s="90">
        <f t="shared" ca="1" si="980"/>
        <v>83.911558409130109</v>
      </c>
      <c r="AKH19" s="90">
        <f t="shared" ca="1" si="981"/>
        <v>17.949634669539016</v>
      </c>
      <c r="AKI19" s="90">
        <f t="shared" ca="1" si="982"/>
        <v>123.7193429143032</v>
      </c>
      <c r="AKJ19" s="90">
        <f t="shared" ca="1" si="983"/>
        <v>126.20151864543594</v>
      </c>
      <c r="AKK19" s="90">
        <f t="shared" ca="1" si="984"/>
        <v>19.188765243599331</v>
      </c>
      <c r="AKL19" s="90">
        <f t="shared" ca="1" si="985"/>
        <v>35.739975291781619</v>
      </c>
      <c r="AKM19" s="90">
        <f t="shared" ca="1" si="986"/>
        <v>45.234593843726159</v>
      </c>
      <c r="AKN19" s="90">
        <f t="shared" ca="1" si="987"/>
        <v>33.994905266006128</v>
      </c>
      <c r="AKO19" s="90">
        <f t="shared" ca="1" si="988"/>
        <v>26.235796182879906</v>
      </c>
      <c r="AKP19" s="90">
        <f t="shared" ca="1" si="989"/>
        <v>57.842014380006326</v>
      </c>
      <c r="AKQ19" s="90">
        <f t="shared" ca="1" si="990"/>
        <v>53.112278138761255</v>
      </c>
      <c r="AKR19" s="90">
        <f t="shared" ca="1" si="991"/>
        <v>19.394472067634744</v>
      </c>
      <c r="AKS19" s="90">
        <f t="shared" ca="1" si="992"/>
        <v>82.572072313156269</v>
      </c>
      <c r="AKT19" s="90">
        <f t="shared" ca="1" si="993"/>
        <v>45.152876331249963</v>
      </c>
      <c r="AKU19" s="90">
        <f t="shared" ca="1" si="994"/>
        <v>87.907837956188132</v>
      </c>
      <c r="AKV19" s="90">
        <f t="shared" ca="1" si="995"/>
        <v>51.027855403727933</v>
      </c>
      <c r="AKW19" s="90">
        <f t="shared" ca="1" si="996"/>
        <v>130.93143187506277</v>
      </c>
      <c r="AKX19" s="90">
        <f t="shared" ca="1" si="997"/>
        <v>68.540163101079457</v>
      </c>
      <c r="AKY19" s="90">
        <f t="shared" ca="1" si="998"/>
        <v>70.019571099503921</v>
      </c>
      <c r="AKZ19" s="90">
        <f t="shared" ca="1" si="999"/>
        <v>101.28681121166863</v>
      </c>
      <c r="ALA19" s="90">
        <f t="shared" ca="1" si="1000"/>
        <v>152.0926961849178</v>
      </c>
      <c r="ALB19" s="90">
        <f t="shared" ca="1" si="1001"/>
        <v>46.646861140928131</v>
      </c>
      <c r="ALC19" s="90">
        <f t="shared" ca="1" si="1002"/>
        <v>118.8550280718303</v>
      </c>
      <c r="ALD19" s="90">
        <f t="shared" ca="1" si="1003"/>
        <v>160.53730852577388</v>
      </c>
      <c r="ALE19" s="90">
        <f t="shared" ca="1" si="1004"/>
        <v>87.212619000989577</v>
      </c>
      <c r="ALF19" s="90">
        <f t="shared" ca="1" si="1005"/>
        <v>118.44177993078299</v>
      </c>
      <c r="ALG19" s="90">
        <f t="shared" ca="1" si="1006"/>
        <v>102.34071340537439</v>
      </c>
      <c r="ALH19" s="90">
        <f t="shared" ca="1" si="1007"/>
        <v>6.0741918265338519</v>
      </c>
      <c r="ALI19" s="90">
        <f t="shared" ca="1" si="1008"/>
        <v>138.25260328499613</v>
      </c>
      <c r="ALJ19" s="90">
        <f t="shared" ca="1" si="1009"/>
        <v>85.589908022924149</v>
      </c>
      <c r="ALK19" s="90">
        <f t="shared" ca="1" si="1010"/>
        <v>27.623706388771474</v>
      </c>
      <c r="ALL19" s="90">
        <f t="shared" ca="1" si="1011"/>
        <v>99.754327907300208</v>
      </c>
      <c r="ALM19" s="90">
        <f t="shared" ca="1" si="1012"/>
        <v>25.23861059255195</v>
      </c>
      <c r="ALN19" s="90">
        <f t="shared" ca="1" si="1013"/>
        <v>92.504846960003064</v>
      </c>
      <c r="ALO19" s="90">
        <f t="shared" ca="1" si="1014"/>
        <v>93.267145290257574</v>
      </c>
      <c r="ALP19" s="90">
        <f t="shared" ca="1" si="1015"/>
        <v>120.14545770485914</v>
      </c>
      <c r="ALQ19" s="90">
        <f t="shared" ca="1" si="1016"/>
        <v>20.888487460308326</v>
      </c>
    </row>
    <row r="20" spans="3:1005" x14ac:dyDescent="0.35">
      <c r="C20" s="61">
        <f t="shared" ca="1" si="17"/>
        <v>0.11215530937536933</v>
      </c>
      <c r="D20" s="90">
        <f t="shared" ca="1" si="0"/>
        <v>83.720980798163566</v>
      </c>
      <c r="E20">
        <v>3</v>
      </c>
      <c r="F20" s="90">
        <f t="shared" ca="1" si="1017"/>
        <v>2.6665886582225338</v>
      </c>
      <c r="G20" s="90">
        <f t="shared" ca="1" si="18"/>
        <v>36.909537049584024</v>
      </c>
      <c r="H20" s="90">
        <f t="shared" ca="1" si="19"/>
        <v>16.103340147839642</v>
      </c>
      <c r="I20" s="90">
        <f t="shared" ca="1" si="20"/>
        <v>114.1366349721238</v>
      </c>
      <c r="J20" s="90">
        <f t="shared" ca="1" si="21"/>
        <v>26.097897136930154</v>
      </c>
      <c r="K20" s="90">
        <f t="shared" ca="1" si="22"/>
        <v>165.51597330587194</v>
      </c>
      <c r="L20" s="90">
        <f t="shared" ca="1" si="23"/>
        <v>59.297729630374789</v>
      </c>
      <c r="M20" s="90">
        <f t="shared" ca="1" si="24"/>
        <v>26.173131436076094</v>
      </c>
      <c r="N20" s="90">
        <f t="shared" ca="1" si="25"/>
        <v>61.928631845675191</v>
      </c>
      <c r="O20" s="90">
        <f t="shared" ca="1" si="26"/>
        <v>62.422356341577789</v>
      </c>
      <c r="P20" s="90">
        <f t="shared" ca="1" si="27"/>
        <v>58.090110778810114</v>
      </c>
      <c r="Q20" s="90">
        <f t="shared" ca="1" si="28"/>
        <v>36.220899391955939</v>
      </c>
      <c r="R20" s="90">
        <f t="shared" ca="1" si="29"/>
        <v>107.52746430184929</v>
      </c>
      <c r="S20" s="90">
        <f t="shared" ca="1" si="30"/>
        <v>251.33209956669532</v>
      </c>
      <c r="T20" s="90">
        <f t="shared" ca="1" si="31"/>
        <v>125.8674976835469</v>
      </c>
      <c r="U20" s="90">
        <f t="shared" ca="1" si="32"/>
        <v>54.820308904347712</v>
      </c>
      <c r="V20" s="90">
        <f t="shared" ca="1" si="33"/>
        <v>70.658974270579535</v>
      </c>
      <c r="W20" s="90">
        <f t="shared" ca="1" si="34"/>
        <v>93.554349227168515</v>
      </c>
      <c r="X20" s="90">
        <f t="shared" ca="1" si="35"/>
        <v>162.1499783080165</v>
      </c>
      <c r="Y20" s="90">
        <f t="shared" ca="1" si="36"/>
        <v>310.5635202144764</v>
      </c>
      <c r="Z20" s="90">
        <f t="shared" ca="1" si="37"/>
        <v>78.765702084000623</v>
      </c>
      <c r="AA20" s="90">
        <f t="shared" ca="1" si="38"/>
        <v>55.797864079834639</v>
      </c>
      <c r="AB20" s="90">
        <f t="shared" ca="1" si="39"/>
        <v>89.64803810895306</v>
      </c>
      <c r="AC20" s="90">
        <f t="shared" ca="1" si="40"/>
        <v>57.67788998683978</v>
      </c>
      <c r="AD20" s="90">
        <f t="shared" ca="1" si="41"/>
        <v>220.93630766907231</v>
      </c>
      <c r="AE20" s="90">
        <f t="shared" ca="1" si="42"/>
        <v>107.61024218677576</v>
      </c>
      <c r="AF20" s="90">
        <f t="shared" ca="1" si="43"/>
        <v>156.78352502751497</v>
      </c>
      <c r="AG20" s="90">
        <f t="shared" ca="1" si="44"/>
        <v>71.689516314883107</v>
      </c>
      <c r="AH20" s="90">
        <f t="shared" ca="1" si="45"/>
        <v>37.231187481802969</v>
      </c>
      <c r="AI20" s="90">
        <f t="shared" ca="1" si="46"/>
        <v>125.66710968182912</v>
      </c>
      <c r="AJ20" s="90">
        <f t="shared" ca="1" si="47"/>
        <v>145.77424928377394</v>
      </c>
      <c r="AK20" s="90">
        <f t="shared" ca="1" si="48"/>
        <v>35.157270165419028</v>
      </c>
      <c r="AL20" s="90">
        <f t="shared" ca="1" si="49"/>
        <v>160.12414921397178</v>
      </c>
      <c r="AM20" s="90">
        <f t="shared" ca="1" si="50"/>
        <v>79.764276651857003</v>
      </c>
      <c r="AN20" s="90">
        <f t="shared" ca="1" si="51"/>
        <v>44.887840142338689</v>
      </c>
      <c r="AO20" s="90">
        <f t="shared" ca="1" si="52"/>
        <v>106.99179393447847</v>
      </c>
      <c r="AP20" s="90">
        <f t="shared" ca="1" si="53"/>
        <v>69.288675819851193</v>
      </c>
      <c r="AQ20" s="90">
        <f t="shared" ca="1" si="54"/>
        <v>45.190238378817064</v>
      </c>
      <c r="AR20" s="90">
        <f t="shared" ca="1" si="55"/>
        <v>24.894887342218706</v>
      </c>
      <c r="AS20" s="90">
        <f t="shared" ca="1" si="56"/>
        <v>154.10649534721463</v>
      </c>
      <c r="AT20" s="90">
        <f t="shared" ca="1" si="57"/>
        <v>69.151460172283947</v>
      </c>
      <c r="AU20" s="90">
        <f t="shared" ca="1" si="58"/>
        <v>141.07345573000836</v>
      </c>
      <c r="AV20" s="90">
        <f t="shared" ca="1" si="59"/>
        <v>52.693426534006321</v>
      </c>
      <c r="AW20" s="90">
        <f t="shared" ca="1" si="60"/>
        <v>94.318289225337153</v>
      </c>
      <c r="AX20" s="90">
        <f t="shared" ca="1" si="61"/>
        <v>63.387077402914628</v>
      </c>
      <c r="AY20" s="90">
        <f t="shared" ca="1" si="62"/>
        <v>126.33255614838536</v>
      </c>
      <c r="AZ20" s="90">
        <f t="shared" ca="1" si="63"/>
        <v>87.143090840588556</v>
      </c>
      <c r="BA20" s="90">
        <f t="shared" ca="1" si="64"/>
        <v>98.413368429424239</v>
      </c>
      <c r="BB20" s="90">
        <f t="shared" ca="1" si="65"/>
        <v>84.263971337718161</v>
      </c>
      <c r="BC20" s="90">
        <f t="shared" ca="1" si="66"/>
        <v>87.67745687943642</v>
      </c>
      <c r="BD20" s="90">
        <f t="shared" ca="1" si="67"/>
        <v>143.88256533459187</v>
      </c>
      <c r="BE20" s="90">
        <f t="shared" ca="1" si="68"/>
        <v>10.013790355216353</v>
      </c>
      <c r="BF20" s="90">
        <f t="shared" ca="1" si="69"/>
        <v>30.353795009399168</v>
      </c>
      <c r="BG20" s="90">
        <f t="shared" ca="1" si="70"/>
        <v>32.603037428544624</v>
      </c>
      <c r="BH20" s="90">
        <f t="shared" ca="1" si="71"/>
        <v>24.252735762167827</v>
      </c>
      <c r="BI20" s="90">
        <f t="shared" ca="1" si="72"/>
        <v>59.44677647348135</v>
      </c>
      <c r="BJ20" s="90">
        <f t="shared" ca="1" si="73"/>
        <v>18.764664284084088</v>
      </c>
      <c r="BK20" s="90">
        <f t="shared" ca="1" si="74"/>
        <v>5.6422139069848871</v>
      </c>
      <c r="BL20" s="90">
        <f t="shared" ca="1" si="75"/>
        <v>96.93478206238315</v>
      </c>
      <c r="BM20" s="90">
        <f t="shared" ca="1" si="76"/>
        <v>86.449342762510554</v>
      </c>
      <c r="BN20" s="90">
        <f t="shared" ca="1" si="77"/>
        <v>30.991731276543209</v>
      </c>
      <c r="BO20" s="90">
        <f t="shared" ca="1" si="78"/>
        <v>144.00649824439688</v>
      </c>
      <c r="BP20" s="90">
        <f t="shared" ca="1" si="79"/>
        <v>44.375669101303281</v>
      </c>
      <c r="BQ20" s="90">
        <f t="shared" ca="1" si="80"/>
        <v>159.70901189205597</v>
      </c>
      <c r="BR20" s="90">
        <f t="shared" ca="1" si="81"/>
        <v>90.250873433110854</v>
      </c>
      <c r="BS20" s="90">
        <f t="shared" ca="1" si="82"/>
        <v>51.263025424271625</v>
      </c>
      <c r="BT20" s="90">
        <f t="shared" ca="1" si="83"/>
        <v>38.936624670630046</v>
      </c>
      <c r="BU20" s="90">
        <f t="shared" ca="1" si="84"/>
        <v>61.909752622780751</v>
      </c>
      <c r="BV20" s="90">
        <f t="shared" ca="1" si="85"/>
        <v>40.603201579307459</v>
      </c>
      <c r="BW20" s="90">
        <f t="shared" ca="1" si="86"/>
        <v>118.96785875322676</v>
      </c>
      <c r="BX20" s="90">
        <f t="shared" ca="1" si="87"/>
        <v>20.306953204401001</v>
      </c>
      <c r="BY20" s="90">
        <f t="shared" ca="1" si="88"/>
        <v>129.81757258179783</v>
      </c>
      <c r="BZ20" s="90">
        <f t="shared" ca="1" si="89"/>
        <v>161.19177384128037</v>
      </c>
      <c r="CA20" s="90">
        <f t="shared" ca="1" si="90"/>
        <v>49.669703760424333</v>
      </c>
      <c r="CB20" s="90">
        <f t="shared" ca="1" si="91"/>
        <v>61.1748689549921</v>
      </c>
      <c r="CC20" s="90">
        <f t="shared" ca="1" si="92"/>
        <v>97.690472133664016</v>
      </c>
      <c r="CD20" s="90">
        <f t="shared" ca="1" si="93"/>
        <v>93.980940440507013</v>
      </c>
      <c r="CE20" s="90">
        <f t="shared" ca="1" si="94"/>
        <v>0.92595549895285389</v>
      </c>
      <c r="CF20" s="90">
        <f t="shared" ca="1" si="95"/>
        <v>44.927397148631663</v>
      </c>
      <c r="CG20" s="90">
        <f t="shared" ca="1" si="96"/>
        <v>43.80877759566205</v>
      </c>
      <c r="CH20" s="90">
        <f t="shared" ca="1" si="97"/>
        <v>61.585972171164585</v>
      </c>
      <c r="CI20" s="90">
        <f t="shared" ca="1" si="98"/>
        <v>16.063783267525107</v>
      </c>
      <c r="CJ20" s="90">
        <f t="shared" ca="1" si="99"/>
        <v>45.605931551492063</v>
      </c>
      <c r="CK20" s="90">
        <f t="shared" ca="1" si="100"/>
        <v>54.290275175409064</v>
      </c>
      <c r="CL20" s="90">
        <f t="shared" ca="1" si="101"/>
        <v>52.820270435314761</v>
      </c>
      <c r="CM20" s="90">
        <f t="shared" ca="1" si="102"/>
        <v>50.00062958844309</v>
      </c>
      <c r="CN20" s="90">
        <f t="shared" ca="1" si="103"/>
        <v>138.934978151135</v>
      </c>
      <c r="CO20" s="90">
        <f t="shared" ca="1" si="104"/>
        <v>98.83920049049307</v>
      </c>
      <c r="CP20" s="90">
        <f t="shared" ca="1" si="105"/>
        <v>162.86916168940903</v>
      </c>
      <c r="CQ20" s="90">
        <f t="shared" ca="1" si="106"/>
        <v>26.657311094582159</v>
      </c>
      <c r="CR20" s="90">
        <f t="shared" ca="1" si="107"/>
        <v>56.998212283474004</v>
      </c>
      <c r="CS20" s="90">
        <f t="shared" ca="1" si="108"/>
        <v>75.225166622551697</v>
      </c>
      <c r="CT20" s="90">
        <f t="shared" ca="1" si="109"/>
        <v>70.602613140436588</v>
      </c>
      <c r="CU20" s="90">
        <f t="shared" ca="1" si="110"/>
        <v>19.793869191180629</v>
      </c>
      <c r="CV20" s="90">
        <f t="shared" ca="1" si="111"/>
        <v>173.13983031880636</v>
      </c>
      <c r="CW20" s="90">
        <f t="shared" ca="1" si="112"/>
        <v>126.53601538399931</v>
      </c>
      <c r="CX20" s="90">
        <f t="shared" ca="1" si="113"/>
        <v>112.30457865538692</v>
      </c>
      <c r="CY20" s="90">
        <f t="shared" ca="1" si="114"/>
        <v>35.242458826817277</v>
      </c>
      <c r="CZ20" s="90">
        <f t="shared" ca="1" si="115"/>
        <v>200.74954729282521</v>
      </c>
      <c r="DA20" s="90">
        <f t="shared" ca="1" si="116"/>
        <v>53.806030909276679</v>
      </c>
      <c r="DB20" s="90">
        <f t="shared" ca="1" si="117"/>
        <v>199.51167635970023</v>
      </c>
      <c r="DC20" s="90">
        <f t="shared" ca="1" si="118"/>
        <v>18.676034091102224</v>
      </c>
      <c r="DD20" s="90">
        <f t="shared" ca="1" si="119"/>
        <v>102.60231485527228</v>
      </c>
      <c r="DE20" s="90">
        <f t="shared" ca="1" si="120"/>
        <v>105.83177233488381</v>
      </c>
      <c r="DF20" s="90">
        <f t="shared" ca="1" si="121"/>
        <v>17.162551763111821</v>
      </c>
      <c r="DG20" s="90">
        <f t="shared" ca="1" si="122"/>
        <v>53.958342561118911</v>
      </c>
      <c r="DH20" s="90">
        <f t="shared" ca="1" si="123"/>
        <v>66.721015688564691</v>
      </c>
      <c r="DI20" s="90">
        <f t="shared" ca="1" si="124"/>
        <v>168.81024523439959</v>
      </c>
      <c r="DJ20" s="90">
        <f t="shared" ca="1" si="125"/>
        <v>71.511651671601129</v>
      </c>
      <c r="DK20" s="90">
        <f t="shared" ca="1" si="126"/>
        <v>157.88418562029426</v>
      </c>
      <c r="DL20" s="90">
        <f t="shared" ca="1" si="127"/>
        <v>26.468823819063029</v>
      </c>
      <c r="DM20" s="90">
        <f t="shared" ca="1" si="128"/>
        <v>14.295305581559548</v>
      </c>
      <c r="DN20" s="90">
        <f t="shared" ca="1" si="129"/>
        <v>13.515221604421948</v>
      </c>
      <c r="DO20" s="90">
        <f t="shared" ca="1" si="130"/>
        <v>140.11591168705874</v>
      </c>
      <c r="DP20" s="90">
        <f t="shared" ca="1" si="131"/>
        <v>13.16006559168691</v>
      </c>
      <c r="DQ20" s="90">
        <f t="shared" ca="1" si="132"/>
        <v>255.41155694179238</v>
      </c>
      <c r="DR20" s="90">
        <f t="shared" ca="1" si="133"/>
        <v>84.497734306417371</v>
      </c>
      <c r="DS20" s="90">
        <f t="shared" ca="1" si="134"/>
        <v>27.542643531947238</v>
      </c>
      <c r="DT20" s="90">
        <f t="shared" ca="1" si="135"/>
        <v>-2.6780362932616959</v>
      </c>
      <c r="DU20" s="90">
        <f t="shared" ca="1" si="136"/>
        <v>57.192387040170516</v>
      </c>
      <c r="DV20" s="90">
        <f t="shared" ca="1" si="137"/>
        <v>171.11574689741323</v>
      </c>
      <c r="DW20" s="90">
        <f t="shared" ca="1" si="138"/>
        <v>200.16596003073167</v>
      </c>
      <c r="DX20" s="90">
        <f t="shared" ca="1" si="139"/>
        <v>48.516686173124967</v>
      </c>
      <c r="DY20" s="90">
        <f t="shared" ca="1" si="140"/>
        <v>43.183819469762284</v>
      </c>
      <c r="DZ20" s="90">
        <f t="shared" ca="1" si="141"/>
        <v>171.97081116840141</v>
      </c>
      <c r="EA20" s="90">
        <f t="shared" ca="1" si="142"/>
        <v>46.412070002637762</v>
      </c>
      <c r="EB20" s="90">
        <f t="shared" ca="1" si="143"/>
        <v>135.65043533152311</v>
      </c>
      <c r="EC20" s="90">
        <f t="shared" ca="1" si="144"/>
        <v>47.761125597592084</v>
      </c>
      <c r="ED20" s="90">
        <f t="shared" ca="1" si="145"/>
        <v>35.602434627758541</v>
      </c>
      <c r="EE20" s="90">
        <f t="shared" ca="1" si="146"/>
        <v>-8.1643513708808744</v>
      </c>
      <c r="EF20" s="90">
        <f t="shared" ca="1" si="147"/>
        <v>187.5053045278907</v>
      </c>
      <c r="EG20" s="90">
        <f t="shared" ca="1" si="148"/>
        <v>76.764840315132531</v>
      </c>
      <c r="EH20" s="90">
        <f t="shared" ca="1" si="149"/>
        <v>110.06445008011089</v>
      </c>
      <c r="EI20" s="90">
        <f t="shared" ca="1" si="150"/>
        <v>105.14116213551139</v>
      </c>
      <c r="EJ20" s="90">
        <f t="shared" ca="1" si="151"/>
        <v>97.648848709956752</v>
      </c>
      <c r="EK20" s="90">
        <f t="shared" ca="1" si="152"/>
        <v>70.850954984363952</v>
      </c>
      <c r="EL20" s="90">
        <f t="shared" ca="1" si="153"/>
        <v>164.69110557055106</v>
      </c>
      <c r="EM20" s="90">
        <f t="shared" ca="1" si="154"/>
        <v>21.804741914191386</v>
      </c>
      <c r="EN20" s="90">
        <f t="shared" ca="1" si="155"/>
        <v>51.433641231989945</v>
      </c>
      <c r="EO20" s="90">
        <f t="shared" ca="1" si="156"/>
        <v>178.78006801019617</v>
      </c>
      <c r="EP20" s="90">
        <f t="shared" ca="1" si="157"/>
        <v>48.619920058427994</v>
      </c>
      <c r="EQ20" s="90">
        <f t="shared" ca="1" si="158"/>
        <v>60.780358113544025</v>
      </c>
      <c r="ER20" s="90">
        <f t="shared" ca="1" si="159"/>
        <v>59.010471056604459</v>
      </c>
      <c r="ES20" s="90">
        <f t="shared" ca="1" si="160"/>
        <v>169.57243807367655</v>
      </c>
      <c r="ET20" s="90">
        <f t="shared" ca="1" si="161"/>
        <v>52.382714814641169</v>
      </c>
      <c r="EU20" s="90">
        <f t="shared" ca="1" si="162"/>
        <v>82.878899153249009</v>
      </c>
      <c r="EV20" s="90">
        <f t="shared" ca="1" si="163"/>
        <v>112.36119140996827</v>
      </c>
      <c r="EW20" s="90">
        <f t="shared" ca="1" si="164"/>
        <v>140.01271775801263</v>
      </c>
      <c r="EX20" s="90">
        <f t="shared" ca="1" si="165"/>
        <v>30.672381516645661</v>
      </c>
      <c r="EY20" s="90">
        <f t="shared" ca="1" si="166"/>
        <v>43.192453597710816</v>
      </c>
      <c r="EZ20" s="90">
        <f t="shared" ca="1" si="167"/>
        <v>64.457336095051687</v>
      </c>
      <c r="FA20" s="90">
        <f t="shared" ca="1" si="168"/>
        <v>113.50531976251423</v>
      </c>
      <c r="FB20" s="90">
        <f t="shared" ca="1" si="169"/>
        <v>32.639208664370578</v>
      </c>
      <c r="FC20" s="90">
        <f t="shared" ca="1" si="170"/>
        <v>179.78839298954273</v>
      </c>
      <c r="FD20" s="90">
        <f t="shared" ca="1" si="171"/>
        <v>21.883304811233796</v>
      </c>
      <c r="FE20" s="90">
        <f t="shared" ca="1" si="172"/>
        <v>23.341150556407829</v>
      </c>
      <c r="FF20" s="90">
        <f t="shared" ca="1" si="173"/>
        <v>97.517272939829169</v>
      </c>
      <c r="FG20" s="90">
        <f t="shared" ca="1" si="174"/>
        <v>170.42178669874835</v>
      </c>
      <c r="FH20" s="90">
        <f t="shared" ca="1" si="175"/>
        <v>69.33052801432045</v>
      </c>
      <c r="FI20" s="90">
        <f t="shared" ca="1" si="176"/>
        <v>17.399499613556092</v>
      </c>
      <c r="FJ20" s="90">
        <f t="shared" ca="1" si="177"/>
        <v>124.50375802791227</v>
      </c>
      <c r="FK20" s="90">
        <f t="shared" ca="1" si="178"/>
        <v>61.786760089739765</v>
      </c>
      <c r="FL20" s="90">
        <f t="shared" ca="1" si="179"/>
        <v>200.73036151626602</v>
      </c>
      <c r="FM20" s="90">
        <f t="shared" ca="1" si="180"/>
        <v>108.12248284401429</v>
      </c>
      <c r="FN20" s="90">
        <f t="shared" ca="1" si="181"/>
        <v>66.048605536496325</v>
      </c>
      <c r="FO20" s="90">
        <f t="shared" ca="1" si="182"/>
        <v>225.54060796071181</v>
      </c>
      <c r="FP20" s="90">
        <f t="shared" ca="1" si="183"/>
        <v>25.713741231832721</v>
      </c>
      <c r="FQ20" s="90">
        <f t="shared" ca="1" si="184"/>
        <v>95.491433193741557</v>
      </c>
      <c r="FR20" s="90">
        <f t="shared" ca="1" si="185"/>
        <v>93.35860409125867</v>
      </c>
      <c r="FS20" s="90">
        <f t="shared" ca="1" si="186"/>
        <v>56.416318968901315</v>
      </c>
      <c r="FT20" s="90">
        <f t="shared" ca="1" si="187"/>
        <v>158.46749405583327</v>
      </c>
      <c r="FU20" s="90">
        <f t="shared" ca="1" si="188"/>
        <v>89.037643451777583</v>
      </c>
      <c r="FV20" s="90">
        <f t="shared" ca="1" si="189"/>
        <v>84.392344088467325</v>
      </c>
      <c r="FW20" s="90">
        <f t="shared" ca="1" si="190"/>
        <v>22.833542745248405</v>
      </c>
      <c r="FX20" s="90">
        <f t="shared" ca="1" si="191"/>
        <v>100.22244840397454</v>
      </c>
      <c r="FY20" s="90">
        <f t="shared" ca="1" si="192"/>
        <v>99.688068964651421</v>
      </c>
      <c r="FZ20" s="90">
        <f t="shared" ca="1" si="193"/>
        <v>28.307084015754203</v>
      </c>
      <c r="GA20" s="90">
        <f t="shared" ca="1" si="194"/>
        <v>27.650038463378671</v>
      </c>
      <c r="GB20" s="90">
        <f t="shared" ca="1" si="195"/>
        <v>83.994719895284973</v>
      </c>
      <c r="GC20" s="90">
        <f t="shared" ca="1" si="196"/>
        <v>82.592976416278972</v>
      </c>
      <c r="GD20" s="90">
        <f t="shared" ca="1" si="197"/>
        <v>101.36070902931121</v>
      </c>
      <c r="GE20" s="90">
        <f t="shared" ca="1" si="198"/>
        <v>13.52451071258634</v>
      </c>
      <c r="GF20" s="90">
        <f t="shared" ca="1" si="199"/>
        <v>21.789877785814081</v>
      </c>
      <c r="GG20" s="90">
        <f t="shared" ca="1" si="200"/>
        <v>108.39643155808149</v>
      </c>
      <c r="GH20" s="90">
        <f t="shared" ca="1" si="201"/>
        <v>169.09570456947188</v>
      </c>
      <c r="GI20" s="90">
        <f t="shared" ca="1" si="202"/>
        <v>61.422418834574025</v>
      </c>
      <c r="GJ20" s="90">
        <f t="shared" ca="1" si="203"/>
        <v>49.248241685567777</v>
      </c>
      <c r="GK20" s="90">
        <f t="shared" ca="1" si="204"/>
        <v>105.90964596330438</v>
      </c>
      <c r="GL20" s="90">
        <f t="shared" ca="1" si="205"/>
        <v>146.39342004348904</v>
      </c>
      <c r="GM20" s="90">
        <f t="shared" ca="1" si="206"/>
        <v>27.302393800166818</v>
      </c>
      <c r="GN20" s="90">
        <f t="shared" ca="1" si="207"/>
        <v>59.459155267968292</v>
      </c>
      <c r="GO20" s="90">
        <f t="shared" ca="1" si="208"/>
        <v>53.528474037231042</v>
      </c>
      <c r="GP20" s="90">
        <f t="shared" ca="1" si="209"/>
        <v>128.25771342114101</v>
      </c>
      <c r="GQ20" s="90">
        <f t="shared" ca="1" si="210"/>
        <v>58.922906229239082</v>
      </c>
      <c r="GR20" s="90">
        <f t="shared" ca="1" si="211"/>
        <v>157.02765882356331</v>
      </c>
      <c r="GS20" s="90">
        <f t="shared" ca="1" si="212"/>
        <v>48.979591517780882</v>
      </c>
      <c r="GT20" s="90">
        <f t="shared" ca="1" si="213"/>
        <v>12.524587030076715</v>
      </c>
      <c r="GU20" s="90">
        <f t="shared" ca="1" si="214"/>
        <v>85.60305384234826</v>
      </c>
      <c r="GV20" s="90">
        <f t="shared" ca="1" si="215"/>
        <v>112.43910877509609</v>
      </c>
      <c r="GW20" s="90">
        <f t="shared" ca="1" si="216"/>
        <v>67.811398814647362</v>
      </c>
      <c r="GX20" s="90">
        <f t="shared" ca="1" si="217"/>
        <v>218.50775132284312</v>
      </c>
      <c r="GY20" s="90">
        <f t="shared" ca="1" si="218"/>
        <v>99.059778797710251</v>
      </c>
      <c r="GZ20" s="90">
        <f t="shared" ca="1" si="219"/>
        <v>65.416770226299249</v>
      </c>
      <c r="HA20" s="90">
        <f t="shared" ca="1" si="220"/>
        <v>64.779664247097969</v>
      </c>
      <c r="HB20" s="90">
        <f t="shared" ca="1" si="221"/>
        <v>99.454214198709934</v>
      </c>
      <c r="HC20" s="90">
        <f t="shared" ca="1" si="222"/>
        <v>95.194956009476414</v>
      </c>
      <c r="HD20" s="90">
        <f t="shared" ca="1" si="223"/>
        <v>43.856783934420413</v>
      </c>
      <c r="HE20" s="90">
        <f t="shared" ca="1" si="224"/>
        <v>70.452283241558959</v>
      </c>
      <c r="HF20" s="90">
        <f t="shared" ca="1" si="225"/>
        <v>119.51590451937837</v>
      </c>
      <c r="HG20" s="90">
        <f t="shared" ca="1" si="226"/>
        <v>97.870778778377684</v>
      </c>
      <c r="HH20" s="90">
        <f t="shared" ca="1" si="227"/>
        <v>58.129507902388433</v>
      </c>
      <c r="HI20" s="90">
        <f t="shared" ca="1" si="228"/>
        <v>140.86545621064997</v>
      </c>
      <c r="HJ20" s="90">
        <f t="shared" ca="1" si="229"/>
        <v>82.467766141980334</v>
      </c>
      <c r="HK20" s="90">
        <f t="shared" ca="1" si="230"/>
        <v>86.607045207895297</v>
      </c>
      <c r="HL20" s="90">
        <f t="shared" ca="1" si="231"/>
        <v>155.07186979231091</v>
      </c>
      <c r="HM20" s="90">
        <f t="shared" ca="1" si="232"/>
        <v>57.250104068515029</v>
      </c>
      <c r="HN20" s="90">
        <f t="shared" ca="1" si="233"/>
        <v>105.46616260730077</v>
      </c>
      <c r="HO20" s="90">
        <f t="shared" ca="1" si="234"/>
        <v>129.56944399706575</v>
      </c>
      <c r="HP20" s="90">
        <f t="shared" ca="1" si="235"/>
        <v>89.662727304450286</v>
      </c>
      <c r="HQ20" s="90">
        <f t="shared" ca="1" si="236"/>
        <v>115.26687791952908</v>
      </c>
      <c r="HR20" s="90">
        <f t="shared" ca="1" si="237"/>
        <v>22.886244442770447</v>
      </c>
      <c r="HS20" s="90">
        <f t="shared" ca="1" si="238"/>
        <v>34.843545798501815</v>
      </c>
      <c r="HT20" s="90">
        <f t="shared" ca="1" si="239"/>
        <v>29.786537760089939</v>
      </c>
      <c r="HU20" s="90">
        <f t="shared" ca="1" si="240"/>
        <v>80.986044134667665</v>
      </c>
      <c r="HV20" s="90">
        <f t="shared" ca="1" si="241"/>
        <v>52.728091544667464</v>
      </c>
      <c r="HW20" s="90">
        <f t="shared" ca="1" si="242"/>
        <v>38.590935003010372</v>
      </c>
      <c r="HX20" s="90">
        <f t="shared" ca="1" si="243"/>
        <v>249.30777480598715</v>
      </c>
      <c r="HY20" s="90">
        <f t="shared" ca="1" si="244"/>
        <v>150.64166067453516</v>
      </c>
      <c r="HZ20" s="90">
        <f t="shared" ca="1" si="245"/>
        <v>118.91819182568608</v>
      </c>
      <c r="IA20" s="90">
        <f t="shared" ca="1" si="246"/>
        <v>74.487904880790651</v>
      </c>
      <c r="IB20" s="90">
        <f t="shared" ca="1" si="247"/>
        <v>115.36024324237898</v>
      </c>
      <c r="IC20" s="90">
        <f t="shared" ca="1" si="248"/>
        <v>7.9191707592148424</v>
      </c>
      <c r="ID20" s="90">
        <f t="shared" ca="1" si="249"/>
        <v>16.017436264449461</v>
      </c>
      <c r="IE20" s="90">
        <f t="shared" ca="1" si="250"/>
        <v>79.00947158165701</v>
      </c>
      <c r="IF20" s="90">
        <f t="shared" ca="1" si="251"/>
        <v>2.523113228543993</v>
      </c>
      <c r="IG20" s="90">
        <f t="shared" ca="1" si="252"/>
        <v>46.660996247527329</v>
      </c>
      <c r="IH20" s="90">
        <f t="shared" ca="1" si="253"/>
        <v>40.353507526511258</v>
      </c>
      <c r="II20" s="90">
        <f t="shared" ca="1" si="254"/>
        <v>32.669781499079129</v>
      </c>
      <c r="IJ20" s="90">
        <f t="shared" ca="1" si="255"/>
        <v>49.117017791691708</v>
      </c>
      <c r="IK20" s="90">
        <f t="shared" ca="1" si="256"/>
        <v>120.55203900329562</v>
      </c>
      <c r="IL20" s="90">
        <f t="shared" ca="1" si="257"/>
        <v>78.404569054562771</v>
      </c>
      <c r="IM20" s="90">
        <f t="shared" ca="1" si="258"/>
        <v>136.69536774421039</v>
      </c>
      <c r="IN20" s="90">
        <f t="shared" ca="1" si="259"/>
        <v>75.093105590774101</v>
      </c>
      <c r="IO20" s="90">
        <f t="shared" ca="1" si="260"/>
        <v>6.0728837876965853</v>
      </c>
      <c r="IP20" s="90">
        <f t="shared" ca="1" si="261"/>
        <v>56.468014052927408</v>
      </c>
      <c r="IQ20" s="90">
        <f t="shared" ca="1" si="262"/>
        <v>43.340847270090052</v>
      </c>
      <c r="IR20" s="90">
        <f t="shared" ca="1" si="263"/>
        <v>122.84395235054789</v>
      </c>
      <c r="IS20" s="90">
        <f t="shared" ca="1" si="264"/>
        <v>28.663155622915085</v>
      </c>
      <c r="IT20" s="90">
        <f t="shared" ca="1" si="265"/>
        <v>91.418257432868216</v>
      </c>
      <c r="IU20" s="90">
        <f t="shared" ca="1" si="266"/>
        <v>294.98761293396507</v>
      </c>
      <c r="IV20" s="90">
        <f t="shared" ca="1" si="267"/>
        <v>43.362441702512577</v>
      </c>
      <c r="IW20" s="90">
        <f t="shared" ca="1" si="268"/>
        <v>38.232392760098421</v>
      </c>
      <c r="IX20" s="90">
        <f t="shared" ca="1" si="269"/>
        <v>57.505797029593509</v>
      </c>
      <c r="IY20" s="90">
        <f t="shared" ca="1" si="270"/>
        <v>121.51244726323172</v>
      </c>
      <c r="IZ20" s="90">
        <f t="shared" ca="1" si="271"/>
        <v>126.21703561059373</v>
      </c>
      <c r="JA20" s="90">
        <f t="shared" ca="1" si="272"/>
        <v>36.454628579511521</v>
      </c>
      <c r="JB20" s="90">
        <f t="shared" ca="1" si="273"/>
        <v>60.264336216704358</v>
      </c>
      <c r="JC20" s="90">
        <f t="shared" ca="1" si="274"/>
        <v>110.4689509141617</v>
      </c>
      <c r="JD20" s="90">
        <f t="shared" ca="1" si="275"/>
        <v>47.989698965632599</v>
      </c>
      <c r="JE20" s="90">
        <f t="shared" ca="1" si="276"/>
        <v>99.361237366993052</v>
      </c>
      <c r="JF20" s="90">
        <f t="shared" ca="1" si="277"/>
        <v>55.596010726872542</v>
      </c>
      <c r="JG20" s="90">
        <f t="shared" ca="1" si="278"/>
        <v>79.371320807782553</v>
      </c>
      <c r="JH20" s="90">
        <f t="shared" ca="1" si="279"/>
        <v>23.526776910576093</v>
      </c>
      <c r="JI20" s="90">
        <f t="shared" ca="1" si="280"/>
        <v>25.02036219783902</v>
      </c>
      <c r="JJ20" s="90">
        <f t="shared" ca="1" si="281"/>
        <v>50.627399510130786</v>
      </c>
      <c r="JK20" s="90">
        <f t="shared" ca="1" si="282"/>
        <v>68.52437150702977</v>
      </c>
      <c r="JL20" s="90">
        <f t="shared" ca="1" si="283"/>
        <v>213.58249848259035</v>
      </c>
      <c r="JM20" s="90">
        <f t="shared" ca="1" si="284"/>
        <v>67.486463536706964</v>
      </c>
      <c r="JN20" s="90">
        <f t="shared" ca="1" si="285"/>
        <v>91.189998976806052</v>
      </c>
      <c r="JO20" s="90">
        <f t="shared" ca="1" si="286"/>
        <v>35.16231866882223</v>
      </c>
      <c r="JP20" s="90">
        <f t="shared" ca="1" si="287"/>
        <v>17.251959617744475</v>
      </c>
      <c r="JQ20" s="90">
        <f t="shared" ca="1" si="288"/>
        <v>41.492278320165916</v>
      </c>
      <c r="JR20" s="90">
        <f t="shared" ca="1" si="289"/>
        <v>81.9470763687154</v>
      </c>
      <c r="JS20" s="90">
        <f t="shared" ca="1" si="290"/>
        <v>62.174431163656784</v>
      </c>
      <c r="JT20" s="90">
        <f t="shared" ca="1" si="291"/>
        <v>52.762323428160094</v>
      </c>
      <c r="JU20" s="90">
        <f t="shared" ca="1" si="292"/>
        <v>54.781027179532721</v>
      </c>
      <c r="JV20" s="90">
        <f t="shared" ca="1" si="293"/>
        <v>79.656877721685248</v>
      </c>
      <c r="JW20" s="90">
        <f t="shared" ca="1" si="294"/>
        <v>87.26378386798396</v>
      </c>
      <c r="JX20" s="90">
        <f t="shared" ca="1" si="295"/>
        <v>178.50552094204747</v>
      </c>
      <c r="JY20" s="90">
        <f t="shared" ca="1" si="296"/>
        <v>124.26659928725559</v>
      </c>
      <c r="JZ20" s="90">
        <f t="shared" ca="1" si="297"/>
        <v>40.867289467168902</v>
      </c>
      <c r="KA20" s="90">
        <f t="shared" ca="1" si="298"/>
        <v>50.089110050238737</v>
      </c>
      <c r="KB20" s="90">
        <f t="shared" ca="1" si="299"/>
        <v>61.109335579901796</v>
      </c>
      <c r="KC20" s="90">
        <f t="shared" ca="1" si="300"/>
        <v>10.280142273698253</v>
      </c>
      <c r="KD20" s="90">
        <f t="shared" ca="1" si="301"/>
        <v>17.703745703098573</v>
      </c>
      <c r="KE20" s="90">
        <f t="shared" ca="1" si="302"/>
        <v>76.067988977484944</v>
      </c>
      <c r="KF20" s="90">
        <f t="shared" ca="1" si="303"/>
        <v>56.099040765748342</v>
      </c>
      <c r="KG20" s="90">
        <f t="shared" ca="1" si="304"/>
        <v>172.82675069213803</v>
      </c>
      <c r="KH20" s="90">
        <f t="shared" ca="1" si="305"/>
        <v>246.18132933559673</v>
      </c>
      <c r="KI20" s="90">
        <f t="shared" ca="1" si="306"/>
        <v>171.7307601968871</v>
      </c>
      <c r="KJ20" s="90">
        <f t="shared" ca="1" si="307"/>
        <v>89.97089911129639</v>
      </c>
      <c r="KK20" s="90">
        <f t="shared" ca="1" si="308"/>
        <v>21.366332772974893</v>
      </c>
      <c r="KL20" s="90">
        <f t="shared" ca="1" si="309"/>
        <v>27.010650405337664</v>
      </c>
      <c r="KM20" s="90">
        <f t="shared" ca="1" si="310"/>
        <v>29.963845789379523</v>
      </c>
      <c r="KN20" s="90">
        <f t="shared" ca="1" si="311"/>
        <v>112.59300647629193</v>
      </c>
      <c r="KO20" s="90">
        <f t="shared" ca="1" si="312"/>
        <v>104.46744850205904</v>
      </c>
      <c r="KP20" s="90">
        <f t="shared" ca="1" si="313"/>
        <v>96.63681930883277</v>
      </c>
      <c r="KQ20" s="90">
        <f t="shared" ca="1" si="314"/>
        <v>68.009333369723009</v>
      </c>
      <c r="KR20" s="90">
        <f t="shared" ca="1" si="315"/>
        <v>117.70619220346134</v>
      </c>
      <c r="KS20" s="90">
        <f t="shared" ca="1" si="316"/>
        <v>73.074960590304784</v>
      </c>
      <c r="KT20" s="90">
        <f t="shared" ca="1" si="317"/>
        <v>134.25542337248086</v>
      </c>
      <c r="KU20" s="90">
        <f t="shared" ca="1" si="318"/>
        <v>70.339815956998862</v>
      </c>
      <c r="KV20" s="90">
        <f t="shared" ca="1" si="319"/>
        <v>61.202631108311706</v>
      </c>
      <c r="KW20" s="90">
        <f t="shared" ca="1" si="320"/>
        <v>173.13896420808572</v>
      </c>
      <c r="KX20" s="90">
        <f t="shared" ca="1" si="321"/>
        <v>34.675316759358878</v>
      </c>
      <c r="KY20" s="90">
        <f t="shared" ca="1" si="322"/>
        <v>127.77848993092063</v>
      </c>
      <c r="KZ20" s="90">
        <f t="shared" ca="1" si="323"/>
        <v>78.654725444091682</v>
      </c>
      <c r="LA20" s="90">
        <f t="shared" ca="1" si="324"/>
        <v>39.960945152726779</v>
      </c>
      <c r="LB20" s="90">
        <f t="shared" ca="1" si="325"/>
        <v>34.544565362883908</v>
      </c>
      <c r="LC20" s="90">
        <f t="shared" ca="1" si="326"/>
        <v>162.50286739431894</v>
      </c>
      <c r="LD20" s="90">
        <f t="shared" ca="1" si="327"/>
        <v>34.681655871781651</v>
      </c>
      <c r="LE20" s="90">
        <f t="shared" ca="1" si="328"/>
        <v>69.936031777305985</v>
      </c>
      <c r="LF20" s="90">
        <f t="shared" ca="1" si="329"/>
        <v>23.563731206969511</v>
      </c>
      <c r="LG20" s="90">
        <f t="shared" ca="1" si="330"/>
        <v>154.84013375791417</v>
      </c>
      <c r="LH20" s="90">
        <f t="shared" ca="1" si="331"/>
        <v>51.145412757457727</v>
      </c>
      <c r="LI20" s="90">
        <f t="shared" ca="1" si="332"/>
        <v>75.705942165307164</v>
      </c>
      <c r="LJ20" s="90">
        <f t="shared" ca="1" si="333"/>
        <v>33.977844856159606</v>
      </c>
      <c r="LK20" s="90">
        <f t="shared" ca="1" si="334"/>
        <v>14.145130109589124</v>
      </c>
      <c r="LL20" s="90">
        <f t="shared" ca="1" si="335"/>
        <v>59.067384266202296</v>
      </c>
      <c r="LM20" s="90">
        <f t="shared" ca="1" si="336"/>
        <v>81.937141772937693</v>
      </c>
      <c r="LN20" s="90">
        <f t="shared" ca="1" si="337"/>
        <v>12.962079848607969</v>
      </c>
      <c r="LO20" s="90">
        <f t="shared" ca="1" si="338"/>
        <v>77.893455813406078</v>
      </c>
      <c r="LP20" s="90">
        <f t="shared" ca="1" si="339"/>
        <v>6.1545884149208865</v>
      </c>
      <c r="LQ20" s="90">
        <f t="shared" ca="1" si="340"/>
        <v>115.8972823151441</v>
      </c>
      <c r="LR20" s="90">
        <f t="shared" ca="1" si="341"/>
        <v>115.39499706660476</v>
      </c>
      <c r="LS20" s="90">
        <f t="shared" ca="1" si="342"/>
        <v>116.18414207329481</v>
      </c>
      <c r="LT20" s="90">
        <f t="shared" ca="1" si="343"/>
        <v>22.312151058674029</v>
      </c>
      <c r="LU20" s="90">
        <f t="shared" ca="1" si="344"/>
        <v>145.76688517245799</v>
      </c>
      <c r="LV20" s="90">
        <f t="shared" ca="1" si="345"/>
        <v>162.22789139406086</v>
      </c>
      <c r="LW20" s="90">
        <f t="shared" ca="1" si="346"/>
        <v>80.26886573616973</v>
      </c>
      <c r="LX20" s="90">
        <f t="shared" ca="1" si="347"/>
        <v>43.283538609867968</v>
      </c>
      <c r="LY20" s="90">
        <f t="shared" ca="1" si="348"/>
        <v>143.7343256979193</v>
      </c>
      <c r="LZ20" s="90">
        <f t="shared" ca="1" si="349"/>
        <v>66.680552661549456</v>
      </c>
      <c r="MA20" s="90">
        <f t="shared" ca="1" si="350"/>
        <v>51.699698729185997</v>
      </c>
      <c r="MB20" s="90">
        <f t="shared" ca="1" si="351"/>
        <v>21.055412941905207</v>
      </c>
      <c r="MC20" s="90">
        <f t="shared" ca="1" si="352"/>
        <v>85.771859045442653</v>
      </c>
      <c r="MD20" s="90">
        <f t="shared" ca="1" si="353"/>
        <v>177.67384479040737</v>
      </c>
      <c r="ME20" s="90">
        <f t="shared" ca="1" si="354"/>
        <v>22.742856263066791</v>
      </c>
      <c r="MF20" s="90">
        <f t="shared" ca="1" si="355"/>
        <v>122.96381454807396</v>
      </c>
      <c r="MG20" s="90">
        <f t="shared" ca="1" si="356"/>
        <v>181.81931608875669</v>
      </c>
      <c r="MH20" s="90">
        <f t="shared" ca="1" si="357"/>
        <v>58.611863056799322</v>
      </c>
      <c r="MI20" s="90">
        <f t="shared" ca="1" si="358"/>
        <v>70.540855253663338</v>
      </c>
      <c r="MJ20" s="90">
        <f t="shared" ca="1" si="359"/>
        <v>64.357027064540603</v>
      </c>
      <c r="MK20" s="90">
        <f t="shared" ca="1" si="360"/>
        <v>108.39971158893292</v>
      </c>
      <c r="ML20" s="90">
        <f t="shared" ca="1" si="361"/>
        <v>148.57609758209003</v>
      </c>
      <c r="MM20" s="90">
        <f t="shared" ca="1" si="362"/>
        <v>79.77493253424727</v>
      </c>
      <c r="MN20" s="90">
        <f t="shared" ca="1" si="363"/>
        <v>191.2441319724837</v>
      </c>
      <c r="MO20" s="90">
        <f t="shared" ca="1" si="364"/>
        <v>90.219321915222281</v>
      </c>
      <c r="MP20" s="90">
        <f t="shared" ca="1" si="365"/>
        <v>171.61930478212858</v>
      </c>
      <c r="MQ20" s="90">
        <f t="shared" ca="1" si="366"/>
        <v>53.505184353887593</v>
      </c>
      <c r="MR20" s="90">
        <f t="shared" ca="1" si="367"/>
        <v>39.655861738942846</v>
      </c>
      <c r="MS20" s="90">
        <f t="shared" ca="1" si="368"/>
        <v>71.554418893812567</v>
      </c>
      <c r="MT20" s="90">
        <f t="shared" ca="1" si="369"/>
        <v>10.896807976905983</v>
      </c>
      <c r="MU20" s="90">
        <f t="shared" ca="1" si="370"/>
        <v>13.717021748486879</v>
      </c>
      <c r="MV20" s="90">
        <f t="shared" ca="1" si="371"/>
        <v>159.50163549742007</v>
      </c>
      <c r="MW20" s="90">
        <f t="shared" ca="1" si="372"/>
        <v>66.743375282746243</v>
      </c>
      <c r="MX20" s="90">
        <f t="shared" ca="1" si="373"/>
        <v>54.148296233135028</v>
      </c>
      <c r="MY20" s="90">
        <f t="shared" ca="1" si="374"/>
        <v>114.29297945507058</v>
      </c>
      <c r="MZ20" s="90">
        <f t="shared" ca="1" si="375"/>
        <v>238.98869839628796</v>
      </c>
      <c r="NA20" s="90">
        <f t="shared" ca="1" si="376"/>
        <v>116.72296962582566</v>
      </c>
      <c r="NB20" s="90">
        <f t="shared" ca="1" si="377"/>
        <v>78.447496827060391</v>
      </c>
      <c r="NC20" s="90">
        <f t="shared" ca="1" si="378"/>
        <v>10.554542057002394</v>
      </c>
      <c r="ND20" s="90">
        <f t="shared" ca="1" si="379"/>
        <v>78.472692909082809</v>
      </c>
      <c r="NE20" s="90">
        <f t="shared" ca="1" si="380"/>
        <v>40.135481575792589</v>
      </c>
      <c r="NF20" s="90">
        <f t="shared" ca="1" si="381"/>
        <v>21.238146723717293</v>
      </c>
      <c r="NG20" s="90">
        <f t="shared" ca="1" si="382"/>
        <v>49.906914269126617</v>
      </c>
      <c r="NH20" s="90">
        <f t="shared" ca="1" si="383"/>
        <v>74.674618238591464</v>
      </c>
      <c r="NI20" s="90">
        <f t="shared" ca="1" si="384"/>
        <v>92.773127420121213</v>
      </c>
      <c r="NJ20" s="90">
        <f t="shared" ca="1" si="385"/>
        <v>139.11467803040921</v>
      </c>
      <c r="NK20" s="90">
        <f t="shared" ca="1" si="386"/>
        <v>144.21088845260678</v>
      </c>
      <c r="NL20" s="90">
        <f t="shared" ca="1" si="387"/>
        <v>187.93286705483149</v>
      </c>
      <c r="NM20" s="90">
        <f t="shared" ca="1" si="388"/>
        <v>96.393960475208658</v>
      </c>
      <c r="NN20" s="90">
        <f t="shared" ca="1" si="389"/>
        <v>15.392305118873532</v>
      </c>
      <c r="NO20" s="90">
        <f t="shared" ca="1" si="390"/>
        <v>176.42270474630968</v>
      </c>
      <c r="NP20" s="90">
        <f t="shared" ca="1" si="391"/>
        <v>66.315232345455911</v>
      </c>
      <c r="NQ20" s="90">
        <f t="shared" ca="1" si="392"/>
        <v>10.583101407573816</v>
      </c>
      <c r="NR20" s="90">
        <f t="shared" ca="1" si="393"/>
        <v>75.306786455293505</v>
      </c>
      <c r="NS20" s="90">
        <f t="shared" ca="1" si="394"/>
        <v>-30.124258847909786</v>
      </c>
      <c r="NT20" s="90">
        <f t="shared" ca="1" si="395"/>
        <v>-0.75334070771897943</v>
      </c>
      <c r="NU20" s="90">
        <f t="shared" ca="1" si="396"/>
        <v>20.831610337459832</v>
      </c>
      <c r="NV20" s="90">
        <f t="shared" ca="1" si="397"/>
        <v>74.909783320813204</v>
      </c>
      <c r="NW20" s="90">
        <f t="shared" ca="1" si="398"/>
        <v>83.09899391911766</v>
      </c>
      <c r="NX20" s="90">
        <f t="shared" ca="1" si="399"/>
        <v>113.01685481779006</v>
      </c>
      <c r="NY20" s="90">
        <f t="shared" ca="1" si="400"/>
        <v>-9.2576645456671312</v>
      </c>
      <c r="NZ20" s="90">
        <f t="shared" ca="1" si="401"/>
        <v>169.06491706105038</v>
      </c>
      <c r="OA20" s="90">
        <f t="shared" ca="1" si="402"/>
        <v>74.394362455358518</v>
      </c>
      <c r="OB20" s="90">
        <f t="shared" ca="1" si="403"/>
        <v>66.687535611839337</v>
      </c>
      <c r="OC20" s="90">
        <f t="shared" ca="1" si="404"/>
        <v>183.42982098102351</v>
      </c>
      <c r="OD20" s="90">
        <f t="shared" ca="1" si="405"/>
        <v>115.55339775864695</v>
      </c>
      <c r="OE20" s="90">
        <f t="shared" ca="1" si="406"/>
        <v>53.209412734607142</v>
      </c>
      <c r="OF20" s="90">
        <f t="shared" ca="1" si="407"/>
        <v>60.108184805973423</v>
      </c>
      <c r="OG20" s="90">
        <f t="shared" ca="1" si="408"/>
        <v>119.69384694682753</v>
      </c>
      <c r="OH20" s="90">
        <f t="shared" ca="1" si="409"/>
        <v>51.737736838777707</v>
      </c>
      <c r="OI20" s="90">
        <f t="shared" ca="1" si="410"/>
        <v>122.07310304401858</v>
      </c>
      <c r="OJ20" s="90">
        <f t="shared" ca="1" si="411"/>
        <v>-2.7719590468264421</v>
      </c>
      <c r="OK20" s="90">
        <f t="shared" ca="1" si="412"/>
        <v>77.363115526349901</v>
      </c>
      <c r="OL20" s="90">
        <f t="shared" ca="1" si="413"/>
        <v>117.83110265899457</v>
      </c>
      <c r="OM20" s="90">
        <f t="shared" ca="1" si="414"/>
        <v>123.96848572676311</v>
      </c>
      <c r="ON20" s="90">
        <f t="shared" ca="1" si="415"/>
        <v>69.13254839054926</v>
      </c>
      <c r="OO20" s="90">
        <f t="shared" ca="1" si="416"/>
        <v>40.206609228837372</v>
      </c>
      <c r="OP20" s="90">
        <f t="shared" ca="1" si="417"/>
        <v>11.541144090085957</v>
      </c>
      <c r="OQ20" s="90">
        <f t="shared" ca="1" si="418"/>
        <v>68.924704828355061</v>
      </c>
      <c r="OR20" s="90">
        <f t="shared" ca="1" si="419"/>
        <v>135.66531347697392</v>
      </c>
      <c r="OS20" s="90">
        <f t="shared" ca="1" si="420"/>
        <v>93.098562187353082</v>
      </c>
      <c r="OT20" s="90">
        <f t="shared" ca="1" si="421"/>
        <v>77.800404484514502</v>
      </c>
      <c r="OU20" s="90">
        <f t="shared" ca="1" si="422"/>
        <v>98.617803065734606</v>
      </c>
      <c r="OV20" s="90">
        <f t="shared" ca="1" si="423"/>
        <v>85.19072776903333</v>
      </c>
      <c r="OW20" s="90">
        <f t="shared" ca="1" si="424"/>
        <v>101.36902486932101</v>
      </c>
      <c r="OX20" s="90">
        <f t="shared" ca="1" si="425"/>
        <v>26.783895758947917</v>
      </c>
      <c r="OY20" s="90">
        <f t="shared" ca="1" si="426"/>
        <v>36.138835134647053</v>
      </c>
      <c r="OZ20" s="90">
        <f t="shared" ca="1" si="427"/>
        <v>26.58635844539922</v>
      </c>
      <c r="PA20" s="90">
        <f t="shared" ca="1" si="428"/>
        <v>82.021173031609578</v>
      </c>
      <c r="PB20" s="90">
        <f t="shared" ca="1" si="429"/>
        <v>68.262871532297567</v>
      </c>
      <c r="PC20" s="90">
        <f t="shared" ca="1" si="430"/>
        <v>10.12779681355422</v>
      </c>
      <c r="PD20" s="90">
        <f t="shared" ca="1" si="431"/>
        <v>47.312187763966577</v>
      </c>
      <c r="PE20" s="90">
        <f t="shared" ca="1" si="432"/>
        <v>151.32632629845807</v>
      </c>
      <c r="PF20" s="90">
        <f t="shared" ca="1" si="433"/>
        <v>115.53948885450103</v>
      </c>
      <c r="PG20" s="90">
        <f t="shared" ca="1" si="434"/>
        <v>27.056040898774302</v>
      </c>
      <c r="PH20" s="90">
        <f t="shared" ca="1" si="435"/>
        <v>55.207895227476889</v>
      </c>
      <c r="PI20" s="90">
        <f t="shared" ca="1" si="436"/>
        <v>45.649415986785961</v>
      </c>
      <c r="PJ20" s="90">
        <f t="shared" ca="1" si="437"/>
        <v>98.991554924260228</v>
      </c>
      <c r="PK20" s="90">
        <f t="shared" ca="1" si="438"/>
        <v>30.545735721402028</v>
      </c>
      <c r="PL20" s="90">
        <f t="shared" ca="1" si="439"/>
        <v>90.444335644507561</v>
      </c>
      <c r="PM20" s="90">
        <f t="shared" ca="1" si="440"/>
        <v>137.14459572996432</v>
      </c>
      <c r="PN20" s="90">
        <f t="shared" ca="1" si="441"/>
        <v>19.487441311694322</v>
      </c>
      <c r="PO20" s="90">
        <f t="shared" ca="1" si="442"/>
        <v>167.20499196947304</v>
      </c>
      <c r="PP20" s="90">
        <f t="shared" ca="1" si="443"/>
        <v>34.797185702514987</v>
      </c>
      <c r="PQ20" s="90">
        <f t="shared" ca="1" si="444"/>
        <v>191.1043547185968</v>
      </c>
      <c r="PR20" s="90">
        <f t="shared" ca="1" si="445"/>
        <v>41.577547902691542</v>
      </c>
      <c r="PS20" s="90">
        <f t="shared" ca="1" si="446"/>
        <v>100.17881344618095</v>
      </c>
      <c r="PT20" s="90">
        <f t="shared" ca="1" si="447"/>
        <v>134.84015342503122</v>
      </c>
      <c r="PU20" s="90">
        <f t="shared" ca="1" si="448"/>
        <v>61.693136471725303</v>
      </c>
      <c r="PV20" s="90">
        <f t="shared" ca="1" si="449"/>
        <v>46.166816412586094</v>
      </c>
      <c r="PW20" s="90">
        <f t="shared" ca="1" si="450"/>
        <v>123.3172906869852</v>
      </c>
      <c r="PX20" s="90">
        <f t="shared" ca="1" si="451"/>
        <v>188.67754336192493</v>
      </c>
      <c r="PY20" s="90">
        <f t="shared" ca="1" si="452"/>
        <v>128.32970987613652</v>
      </c>
      <c r="PZ20" s="90">
        <f t="shared" ca="1" si="453"/>
        <v>142.98275757266964</v>
      </c>
      <c r="QA20" s="90">
        <f t="shared" ca="1" si="454"/>
        <v>92.766615684516324</v>
      </c>
      <c r="QB20" s="90">
        <f t="shared" ca="1" si="455"/>
        <v>136.02089046820578</v>
      </c>
      <c r="QC20" s="90">
        <f t="shared" ca="1" si="456"/>
        <v>39.717775083905025</v>
      </c>
      <c r="QD20" s="90">
        <f t="shared" ca="1" si="457"/>
        <v>82.254716718777459</v>
      </c>
      <c r="QE20" s="90">
        <f t="shared" ca="1" si="458"/>
        <v>56.13059462807631</v>
      </c>
      <c r="QF20" s="90">
        <f t="shared" ca="1" si="459"/>
        <v>61.704913681272608</v>
      </c>
      <c r="QG20" s="90">
        <f t="shared" ca="1" si="460"/>
        <v>50.887572033199554</v>
      </c>
      <c r="QH20" s="90">
        <f t="shared" ca="1" si="461"/>
        <v>69.383099248024308</v>
      </c>
      <c r="QI20" s="90">
        <f t="shared" ca="1" si="462"/>
        <v>54.884757239571499</v>
      </c>
      <c r="QJ20" s="90">
        <f t="shared" ca="1" si="463"/>
        <v>59.097201506647131</v>
      </c>
      <c r="QK20" s="90">
        <f t="shared" ca="1" si="464"/>
        <v>264.05571492066156</v>
      </c>
      <c r="QL20" s="90">
        <f t="shared" ca="1" si="465"/>
        <v>86.830211554557735</v>
      </c>
      <c r="QM20" s="90">
        <f t="shared" ca="1" si="466"/>
        <v>106.93347703143731</v>
      </c>
      <c r="QN20" s="90">
        <f t="shared" ca="1" si="467"/>
        <v>14.922102637584603</v>
      </c>
      <c r="QO20" s="90">
        <f t="shared" ca="1" si="468"/>
        <v>101.84713211441425</v>
      </c>
      <c r="QP20" s="90">
        <f t="shared" ca="1" si="469"/>
        <v>115.12308307832917</v>
      </c>
      <c r="QQ20" s="90">
        <f t="shared" ca="1" si="470"/>
        <v>75.360904778348711</v>
      </c>
      <c r="QR20" s="90">
        <f t="shared" ca="1" si="471"/>
        <v>196.82093752858086</v>
      </c>
      <c r="QS20" s="90">
        <f t="shared" ca="1" si="472"/>
        <v>119.63596290219975</v>
      </c>
      <c r="QT20" s="90">
        <f t="shared" ca="1" si="473"/>
        <v>85.772055811937122</v>
      </c>
      <c r="QU20" s="90">
        <f t="shared" ca="1" si="474"/>
        <v>96.83570525610952</v>
      </c>
      <c r="QV20" s="90">
        <f t="shared" ca="1" si="475"/>
        <v>210.37041179712423</v>
      </c>
      <c r="QW20" s="90">
        <f t="shared" ca="1" si="476"/>
        <v>140.12622594666971</v>
      </c>
      <c r="QX20" s="90">
        <f t="shared" ca="1" si="477"/>
        <v>68.644957153220759</v>
      </c>
      <c r="QY20" s="90">
        <f t="shared" ca="1" si="478"/>
        <v>82.010868443531507</v>
      </c>
      <c r="QZ20" s="90">
        <f t="shared" ca="1" si="479"/>
        <v>122.28764639375072</v>
      </c>
      <c r="RA20" s="90">
        <f t="shared" ca="1" si="480"/>
        <v>222.98913395966539</v>
      </c>
      <c r="RB20" s="90">
        <f t="shared" ca="1" si="481"/>
        <v>64.892237836051791</v>
      </c>
      <c r="RC20" s="90">
        <f t="shared" ca="1" si="482"/>
        <v>123.46791740227683</v>
      </c>
      <c r="RD20" s="90">
        <f t="shared" ca="1" si="483"/>
        <v>86.433668651315273</v>
      </c>
      <c r="RE20" s="90">
        <f t="shared" ca="1" si="484"/>
        <v>96.919884438209309</v>
      </c>
      <c r="RF20" s="90">
        <f t="shared" ca="1" si="485"/>
        <v>168.06604246856446</v>
      </c>
      <c r="RG20" s="90">
        <f t="shared" ca="1" si="486"/>
        <v>56.56163654942123</v>
      </c>
      <c r="RH20" s="90">
        <f t="shared" ca="1" si="487"/>
        <v>185.18409306124582</v>
      </c>
      <c r="RI20" s="90">
        <f t="shared" ca="1" si="488"/>
        <v>61.050812868477003</v>
      </c>
      <c r="RJ20" s="90">
        <f t="shared" ca="1" si="489"/>
        <v>74.096576553923299</v>
      </c>
      <c r="RK20" s="90">
        <f t="shared" ca="1" si="490"/>
        <v>24.818485622763209</v>
      </c>
      <c r="RL20" s="90">
        <f t="shared" ca="1" si="491"/>
        <v>10.071203739391031</v>
      </c>
      <c r="RM20" s="90">
        <f t="shared" ca="1" si="492"/>
        <v>46.791915829282168</v>
      </c>
      <c r="RN20" s="90">
        <f t="shared" ca="1" si="493"/>
        <v>117.72249865809086</v>
      </c>
      <c r="RO20" s="90">
        <f t="shared" ca="1" si="494"/>
        <v>62.423360497612087</v>
      </c>
      <c r="RP20" s="90">
        <f t="shared" ca="1" si="495"/>
        <v>98.899978494686223</v>
      </c>
      <c r="RQ20" s="90">
        <f t="shared" ca="1" si="496"/>
        <v>113.88510877763264</v>
      </c>
      <c r="RR20" s="90">
        <f t="shared" ca="1" si="497"/>
        <v>52.77150993173349</v>
      </c>
      <c r="RS20" s="90">
        <f t="shared" ca="1" si="498"/>
        <v>72.876972128006244</v>
      </c>
      <c r="RT20" s="90">
        <f t="shared" ca="1" si="499"/>
        <v>52.982756880494058</v>
      </c>
      <c r="RU20" s="90">
        <f t="shared" ca="1" si="500"/>
        <v>227.11597934240865</v>
      </c>
      <c r="RV20" s="90">
        <f t="shared" ca="1" si="501"/>
        <v>106.38884570655756</v>
      </c>
      <c r="RW20" s="90">
        <f t="shared" ca="1" si="502"/>
        <v>94.554416541950999</v>
      </c>
      <c r="RX20" s="90">
        <f t="shared" ca="1" si="503"/>
        <v>40.64749872484186</v>
      </c>
      <c r="RY20" s="90">
        <f t="shared" ca="1" si="504"/>
        <v>28.400019406257297</v>
      </c>
      <c r="RZ20" s="90">
        <f t="shared" ca="1" si="505"/>
        <v>15.420181387432377</v>
      </c>
      <c r="SA20" s="90">
        <f t="shared" ca="1" si="506"/>
        <v>146.04658815869993</v>
      </c>
      <c r="SB20" s="90">
        <f t="shared" ca="1" si="507"/>
        <v>104.62927662358155</v>
      </c>
      <c r="SC20" s="90">
        <f t="shared" ca="1" si="508"/>
        <v>70.864155553825412</v>
      </c>
      <c r="SD20" s="90">
        <f t="shared" ca="1" si="509"/>
        <v>24.398477703137448</v>
      </c>
      <c r="SE20" s="90">
        <f t="shared" ca="1" si="510"/>
        <v>6.0243539937034685</v>
      </c>
      <c r="SF20" s="90">
        <f t="shared" ca="1" si="511"/>
        <v>56.834535209320094</v>
      </c>
      <c r="SG20" s="90">
        <f t="shared" ca="1" si="512"/>
        <v>118.6468652281322</v>
      </c>
      <c r="SH20" s="90">
        <f t="shared" ca="1" si="513"/>
        <v>169.67365137676805</v>
      </c>
      <c r="SI20" s="90">
        <f t="shared" ca="1" si="514"/>
        <v>133.77907569578159</v>
      </c>
      <c r="SJ20" s="90">
        <f t="shared" ca="1" si="515"/>
        <v>30.422040097083258</v>
      </c>
      <c r="SK20" s="90">
        <f t="shared" ca="1" si="516"/>
        <v>103.86514840085748</v>
      </c>
      <c r="SL20" s="90">
        <f t="shared" ca="1" si="517"/>
        <v>29.711879018216809</v>
      </c>
      <c r="SM20" s="90">
        <f t="shared" ca="1" si="518"/>
        <v>27.743974480856284</v>
      </c>
      <c r="SN20" s="90">
        <f t="shared" ca="1" si="519"/>
        <v>109.4138546139487</v>
      </c>
      <c r="SO20" s="90">
        <f t="shared" ca="1" si="520"/>
        <v>95.80298402465273</v>
      </c>
      <c r="SP20" s="90">
        <f t="shared" ca="1" si="521"/>
        <v>70.271508379501554</v>
      </c>
      <c r="SQ20" s="90">
        <f t="shared" ca="1" si="522"/>
        <v>53.320660602178911</v>
      </c>
      <c r="SR20" s="90">
        <f t="shared" ca="1" si="523"/>
        <v>53.814172132696527</v>
      </c>
      <c r="SS20" s="90">
        <f t="shared" ca="1" si="524"/>
        <v>49.701821215140924</v>
      </c>
      <c r="ST20" s="90">
        <f t="shared" ca="1" si="525"/>
        <v>96.504643770808201</v>
      </c>
      <c r="SU20" s="90">
        <f t="shared" ca="1" si="526"/>
        <v>115.09672386538584</v>
      </c>
      <c r="SV20" s="90">
        <f t="shared" ca="1" si="527"/>
        <v>88.311125750911856</v>
      </c>
      <c r="SW20" s="90">
        <f t="shared" ca="1" si="528"/>
        <v>105.45496306504933</v>
      </c>
      <c r="SX20" s="90">
        <f t="shared" ca="1" si="529"/>
        <v>115.15585523890944</v>
      </c>
      <c r="SY20" s="90">
        <f t="shared" ca="1" si="530"/>
        <v>51.450336566514167</v>
      </c>
      <c r="SZ20" s="90">
        <f t="shared" ca="1" si="531"/>
        <v>62.185778774355704</v>
      </c>
      <c r="TA20" s="90">
        <f t="shared" ca="1" si="532"/>
        <v>40.365648977019625</v>
      </c>
      <c r="TB20" s="90">
        <f t="shared" ca="1" si="533"/>
        <v>128.96364847410811</v>
      </c>
      <c r="TC20" s="90">
        <f t="shared" ca="1" si="534"/>
        <v>96.250760281587418</v>
      </c>
      <c r="TD20" s="90">
        <f t="shared" ca="1" si="535"/>
        <v>65.395358842064354</v>
      </c>
      <c r="TE20" s="90">
        <f t="shared" ca="1" si="536"/>
        <v>93.322137302241458</v>
      </c>
      <c r="TF20" s="90">
        <f t="shared" ca="1" si="537"/>
        <v>39.333909837402317</v>
      </c>
      <c r="TG20" s="90">
        <f t="shared" ca="1" si="538"/>
        <v>100.11686262679787</v>
      </c>
      <c r="TH20" s="90">
        <f t="shared" ca="1" si="539"/>
        <v>102.45589207874848</v>
      </c>
      <c r="TI20" s="90">
        <f t="shared" ca="1" si="540"/>
        <v>83.09915098859625</v>
      </c>
      <c r="TJ20" s="90">
        <f t="shared" ca="1" si="541"/>
        <v>92.313593078037442</v>
      </c>
      <c r="TK20" s="90">
        <f t="shared" ca="1" si="542"/>
        <v>77.585083069190432</v>
      </c>
      <c r="TL20" s="90">
        <f t="shared" ca="1" si="543"/>
        <v>29.538836036638905</v>
      </c>
      <c r="TM20" s="90">
        <f t="shared" ca="1" si="544"/>
        <v>103.74312407718908</v>
      </c>
      <c r="TN20" s="90">
        <f t="shared" ca="1" si="545"/>
        <v>43.114484558377534</v>
      </c>
      <c r="TO20" s="90">
        <f t="shared" ca="1" si="546"/>
        <v>111.21159328274574</v>
      </c>
      <c r="TP20" s="90">
        <f t="shared" ca="1" si="547"/>
        <v>28.464614983487362</v>
      </c>
      <c r="TQ20" s="90">
        <f t="shared" ca="1" si="548"/>
        <v>101.67291071997441</v>
      </c>
      <c r="TR20" s="90">
        <f t="shared" ca="1" si="549"/>
        <v>36.475295182671353</v>
      </c>
      <c r="TS20" s="90">
        <f t="shared" ca="1" si="550"/>
        <v>49.818433396237332</v>
      </c>
      <c r="TT20" s="90">
        <f t="shared" ca="1" si="551"/>
        <v>81.885534178818205</v>
      </c>
      <c r="TU20" s="90">
        <f t="shared" ca="1" si="552"/>
        <v>44.854021500492173</v>
      </c>
      <c r="TV20" s="90">
        <f t="shared" ca="1" si="553"/>
        <v>91.46753226701729</v>
      </c>
      <c r="TW20" s="90">
        <f t="shared" ca="1" si="554"/>
        <v>64.914287788697621</v>
      </c>
      <c r="TX20" s="90">
        <f t="shared" ca="1" si="555"/>
        <v>50.319218555416512</v>
      </c>
      <c r="TY20" s="90">
        <f t="shared" ca="1" si="556"/>
        <v>191.6739261821416</v>
      </c>
      <c r="TZ20" s="90">
        <f t="shared" ca="1" si="557"/>
        <v>61.99905223799523</v>
      </c>
      <c r="UA20" s="90">
        <f t="shared" ca="1" si="558"/>
        <v>98.402604050258148</v>
      </c>
      <c r="UB20" s="90">
        <f t="shared" ca="1" si="559"/>
        <v>20.85472190379722</v>
      </c>
      <c r="UC20" s="90">
        <f t="shared" ca="1" si="560"/>
        <v>30.239578233890839</v>
      </c>
      <c r="UD20" s="90">
        <f t="shared" ca="1" si="561"/>
        <v>116.74807536512981</v>
      </c>
      <c r="UE20" s="90">
        <f t="shared" ca="1" si="562"/>
        <v>108.20036643918995</v>
      </c>
      <c r="UF20" s="90">
        <f t="shared" ca="1" si="563"/>
        <v>50.119523715083012</v>
      </c>
      <c r="UG20" s="90">
        <f t="shared" ca="1" si="564"/>
        <v>42.834679393369797</v>
      </c>
      <c r="UH20" s="90">
        <f t="shared" ca="1" si="565"/>
        <v>81.271613163145105</v>
      </c>
      <c r="UI20" s="90">
        <f t="shared" ca="1" si="566"/>
        <v>101.8109275300597</v>
      </c>
      <c r="UJ20" s="90">
        <f t="shared" ca="1" si="567"/>
        <v>115.34056364471901</v>
      </c>
      <c r="UK20" s="90">
        <f t="shared" ca="1" si="568"/>
        <v>51.415092070341551</v>
      </c>
      <c r="UL20" s="90">
        <f t="shared" ca="1" si="569"/>
        <v>76.236339739904238</v>
      </c>
      <c r="UM20" s="90">
        <f t="shared" ca="1" si="570"/>
        <v>27.159866529574579</v>
      </c>
      <c r="UN20" s="90">
        <f t="shared" ca="1" si="571"/>
        <v>98.480306494813959</v>
      </c>
      <c r="UO20" s="90">
        <f t="shared" ca="1" si="572"/>
        <v>149.49551784555351</v>
      </c>
      <c r="UP20" s="90">
        <f t="shared" ca="1" si="573"/>
        <v>101.00689464377868</v>
      </c>
      <c r="UQ20" s="90">
        <f t="shared" ca="1" si="574"/>
        <v>69.876101698909721</v>
      </c>
      <c r="UR20" s="90">
        <f t="shared" ca="1" si="575"/>
        <v>162.79238834661928</v>
      </c>
      <c r="US20" s="90">
        <f t="shared" ca="1" si="576"/>
        <v>26.544116627216077</v>
      </c>
      <c r="UT20" s="90">
        <f t="shared" ca="1" si="577"/>
        <v>94.575436968790854</v>
      </c>
      <c r="UU20" s="90">
        <f t="shared" ca="1" si="578"/>
        <v>2.2101661837495037</v>
      </c>
      <c r="UV20" s="90">
        <f t="shared" ca="1" si="579"/>
        <v>61.299987574044501</v>
      </c>
      <c r="UW20" s="90">
        <f t="shared" ca="1" si="580"/>
        <v>93.326568709620247</v>
      </c>
      <c r="UX20" s="90">
        <f t="shared" ca="1" si="581"/>
        <v>50.549253414867643</v>
      </c>
      <c r="UY20" s="90">
        <f t="shared" ca="1" si="582"/>
        <v>234.38674901557687</v>
      </c>
      <c r="UZ20" s="90">
        <f t="shared" ca="1" si="583"/>
        <v>84.177657846691389</v>
      </c>
      <c r="VA20" s="90">
        <f t="shared" ca="1" si="584"/>
        <v>39.056444299222143</v>
      </c>
      <c r="VB20" s="90">
        <f t="shared" ca="1" si="585"/>
        <v>29.231306122214711</v>
      </c>
      <c r="VC20" s="90">
        <f t="shared" ca="1" si="586"/>
        <v>98.474269685666613</v>
      </c>
      <c r="VD20" s="90">
        <f t="shared" ca="1" si="587"/>
        <v>14.534331570519232</v>
      </c>
      <c r="VE20" s="90">
        <f t="shared" ca="1" si="588"/>
        <v>147.18062087570851</v>
      </c>
      <c r="VF20" s="90">
        <f t="shared" ca="1" si="589"/>
        <v>26.663504820076319</v>
      </c>
      <c r="VG20" s="90">
        <f t="shared" ca="1" si="590"/>
        <v>55.660444879947583</v>
      </c>
      <c r="VH20" s="90">
        <f t="shared" ca="1" si="591"/>
        <v>52.23112436821804</v>
      </c>
      <c r="VI20" s="90">
        <f t="shared" ca="1" si="592"/>
        <v>50.747660446578621</v>
      </c>
      <c r="VJ20" s="90">
        <f t="shared" ca="1" si="593"/>
        <v>58.515786305763321</v>
      </c>
      <c r="VK20" s="90">
        <f t="shared" ca="1" si="594"/>
        <v>9.0161167377545652</v>
      </c>
      <c r="VL20" s="90">
        <f t="shared" ca="1" si="595"/>
        <v>27.389005754264868</v>
      </c>
      <c r="VM20" s="90">
        <f t="shared" ca="1" si="596"/>
        <v>152.13087462792964</v>
      </c>
      <c r="VN20" s="90">
        <f t="shared" ca="1" si="597"/>
        <v>140.14198725192981</v>
      </c>
      <c r="VO20" s="90">
        <f t="shared" ca="1" si="598"/>
        <v>41.304801284652271</v>
      </c>
      <c r="VP20" s="90">
        <f t="shared" ca="1" si="599"/>
        <v>14.919746259574218</v>
      </c>
      <c r="VQ20" s="90">
        <f t="shared" ca="1" si="600"/>
        <v>125.11293875803833</v>
      </c>
      <c r="VR20" s="90">
        <f t="shared" ca="1" si="601"/>
        <v>43.885786621010723</v>
      </c>
      <c r="VS20" s="90">
        <f t="shared" ca="1" si="602"/>
        <v>8.6186290977655027</v>
      </c>
      <c r="VT20" s="90">
        <f t="shared" ca="1" si="603"/>
        <v>70.858245340300783</v>
      </c>
      <c r="VU20" s="90">
        <f t="shared" ca="1" si="604"/>
        <v>117.6768302267899</v>
      </c>
      <c r="VV20" s="90">
        <f t="shared" ca="1" si="605"/>
        <v>48.497524606392993</v>
      </c>
      <c r="VW20" s="90">
        <f t="shared" ca="1" si="606"/>
        <v>34.883055594093101</v>
      </c>
      <c r="VX20" s="90">
        <f t="shared" ca="1" si="607"/>
        <v>98.995072161214139</v>
      </c>
      <c r="VY20" s="90">
        <f t="shared" ca="1" si="608"/>
        <v>141.65036244743672</v>
      </c>
      <c r="VZ20" s="90">
        <f t="shared" ca="1" si="609"/>
        <v>115.21875672409678</v>
      </c>
      <c r="WA20" s="90">
        <f t="shared" ca="1" si="610"/>
        <v>76.829717050930597</v>
      </c>
      <c r="WB20" s="90">
        <f t="shared" ca="1" si="611"/>
        <v>134.07839302884892</v>
      </c>
      <c r="WC20" s="90">
        <f t="shared" ca="1" si="612"/>
        <v>152.71115037898556</v>
      </c>
      <c r="WD20" s="90">
        <f t="shared" ca="1" si="613"/>
        <v>67.754398550765231</v>
      </c>
      <c r="WE20" s="90">
        <f t="shared" ca="1" si="614"/>
        <v>68.029194396462117</v>
      </c>
      <c r="WF20" s="90">
        <f t="shared" ca="1" si="615"/>
        <v>18.20956446612762</v>
      </c>
      <c r="WG20" s="90">
        <f t="shared" ca="1" si="616"/>
        <v>101.16246357873085</v>
      </c>
      <c r="WH20" s="90">
        <f t="shared" ca="1" si="617"/>
        <v>100.17396274155388</v>
      </c>
      <c r="WI20" s="90">
        <f t="shared" ca="1" si="618"/>
        <v>55.044298087811832</v>
      </c>
      <c r="WJ20" s="90">
        <f t="shared" ca="1" si="619"/>
        <v>80.252028889115692</v>
      </c>
      <c r="WK20" s="90">
        <f t="shared" ca="1" si="620"/>
        <v>61.980535360453821</v>
      </c>
      <c r="WL20" s="90">
        <f t="shared" ca="1" si="621"/>
        <v>81.913491313344153</v>
      </c>
      <c r="WM20" s="90">
        <f t="shared" ca="1" si="622"/>
        <v>84.494050981087341</v>
      </c>
      <c r="WN20" s="90">
        <f t="shared" ca="1" si="623"/>
        <v>37.436582101802379</v>
      </c>
      <c r="WO20" s="90">
        <f t="shared" ca="1" si="624"/>
        <v>53.199139695496079</v>
      </c>
      <c r="WP20" s="90">
        <f t="shared" ca="1" si="625"/>
        <v>101.5460680792071</v>
      </c>
      <c r="WQ20" s="90">
        <f t="shared" ca="1" si="626"/>
        <v>58.583077543025347</v>
      </c>
      <c r="WR20" s="90">
        <f t="shared" ca="1" si="627"/>
        <v>51.891641042128342</v>
      </c>
      <c r="WS20" s="90">
        <f t="shared" ca="1" si="628"/>
        <v>33.117773667778764</v>
      </c>
      <c r="WT20" s="90">
        <f t="shared" ca="1" si="629"/>
        <v>33.62279298219741</v>
      </c>
      <c r="WU20" s="90">
        <f t="shared" ca="1" si="630"/>
        <v>79.749114040088045</v>
      </c>
      <c r="WV20" s="90">
        <f t="shared" ca="1" si="631"/>
        <v>373.68411074947647</v>
      </c>
      <c r="WW20" s="90">
        <f t="shared" ca="1" si="632"/>
        <v>130.14299393717104</v>
      </c>
      <c r="WX20" s="90">
        <f t="shared" ca="1" si="633"/>
        <v>91.668213794691653</v>
      </c>
      <c r="WY20" s="90">
        <f t="shared" ca="1" si="634"/>
        <v>186.98665971865896</v>
      </c>
      <c r="WZ20" s="90">
        <f t="shared" ca="1" si="635"/>
        <v>21.66502744291958</v>
      </c>
      <c r="XA20" s="90">
        <f t="shared" ca="1" si="636"/>
        <v>118.4709468157416</v>
      </c>
      <c r="XB20" s="90">
        <f t="shared" ca="1" si="637"/>
        <v>106.01446165934853</v>
      </c>
      <c r="XC20" s="90">
        <f t="shared" ca="1" si="638"/>
        <v>75.498676571499445</v>
      </c>
      <c r="XD20" s="90">
        <f t="shared" ca="1" si="639"/>
        <v>79.79518365976989</v>
      </c>
      <c r="XE20" s="90">
        <f t="shared" ca="1" si="640"/>
        <v>111.16827504675609</v>
      </c>
      <c r="XF20" s="90">
        <f t="shared" ca="1" si="641"/>
        <v>23.319906060143428</v>
      </c>
      <c r="XG20" s="90">
        <f t="shared" ca="1" si="642"/>
        <v>139.39957048397571</v>
      </c>
      <c r="XH20" s="90">
        <f t="shared" ca="1" si="643"/>
        <v>56.221557140295253</v>
      </c>
      <c r="XI20" s="90">
        <f t="shared" ca="1" si="644"/>
        <v>41.124863513447195</v>
      </c>
      <c r="XJ20" s="90">
        <f t="shared" ca="1" si="645"/>
        <v>23.925388668815685</v>
      </c>
      <c r="XK20" s="90">
        <f t="shared" ca="1" si="646"/>
        <v>69.527749017521941</v>
      </c>
      <c r="XL20" s="90">
        <f t="shared" ca="1" si="647"/>
        <v>56.570351804307883</v>
      </c>
      <c r="XM20" s="90">
        <f t="shared" ca="1" si="648"/>
        <v>59.199587653303453</v>
      </c>
      <c r="XN20" s="90">
        <f t="shared" ca="1" si="649"/>
        <v>47.199841535380209</v>
      </c>
      <c r="XO20" s="90">
        <f t="shared" ca="1" si="650"/>
        <v>63.365228078772965</v>
      </c>
      <c r="XP20" s="90">
        <f t="shared" ca="1" si="651"/>
        <v>8.035499767773441</v>
      </c>
      <c r="XQ20" s="90">
        <f t="shared" ca="1" si="652"/>
        <v>34.889522831089245</v>
      </c>
      <c r="XR20" s="90">
        <f t="shared" ca="1" si="653"/>
        <v>33.924983837654885</v>
      </c>
      <c r="XS20" s="90">
        <f t="shared" ca="1" si="654"/>
        <v>30.418933372814241</v>
      </c>
      <c r="XT20" s="90">
        <f t="shared" ca="1" si="655"/>
        <v>71.107871908117858</v>
      </c>
      <c r="XU20" s="90">
        <f t="shared" ca="1" si="656"/>
        <v>60.843599152957488</v>
      </c>
      <c r="XV20" s="90">
        <f t="shared" ca="1" si="657"/>
        <v>16.746930453213125</v>
      </c>
      <c r="XW20" s="90">
        <f t="shared" ca="1" si="658"/>
        <v>94.825303642048851</v>
      </c>
      <c r="XX20" s="90">
        <f t="shared" ca="1" si="659"/>
        <v>35.20943559987353</v>
      </c>
      <c r="XY20" s="90">
        <f t="shared" ca="1" si="660"/>
        <v>30.871012625075519</v>
      </c>
      <c r="XZ20" s="90">
        <f t="shared" ca="1" si="661"/>
        <v>99.831700214103208</v>
      </c>
      <c r="YA20" s="90">
        <f t="shared" ca="1" si="662"/>
        <v>86.421342184928193</v>
      </c>
      <c r="YB20" s="90">
        <f t="shared" ca="1" si="663"/>
        <v>123.9095158908964</v>
      </c>
      <c r="YC20" s="90">
        <f t="shared" ca="1" si="664"/>
        <v>64.932893722014356</v>
      </c>
      <c r="YD20" s="90">
        <f t="shared" ca="1" si="665"/>
        <v>67.577579364163739</v>
      </c>
      <c r="YE20" s="90">
        <f t="shared" ca="1" si="666"/>
        <v>125.42196016008043</v>
      </c>
      <c r="YF20" s="90">
        <f t="shared" ca="1" si="667"/>
        <v>64.087099043292213</v>
      </c>
      <c r="YG20" s="90">
        <f t="shared" ca="1" si="668"/>
        <v>25.174602627031614</v>
      </c>
      <c r="YH20" s="90">
        <f t="shared" ca="1" si="669"/>
        <v>131.03873524107061</v>
      </c>
      <c r="YI20" s="90">
        <f t="shared" ca="1" si="670"/>
        <v>40.219570821157575</v>
      </c>
      <c r="YJ20" s="90">
        <f t="shared" ca="1" si="671"/>
        <v>117.02118420304062</v>
      </c>
      <c r="YK20" s="90">
        <f t="shared" ca="1" si="672"/>
        <v>72.139866227101152</v>
      </c>
      <c r="YL20" s="90">
        <f t="shared" ca="1" si="673"/>
        <v>102.07205480764969</v>
      </c>
      <c r="YM20" s="90">
        <f t="shared" ca="1" si="674"/>
        <v>41.054663320074063</v>
      </c>
      <c r="YN20" s="90">
        <f t="shared" ca="1" si="675"/>
        <v>40.411689413653704</v>
      </c>
      <c r="YO20" s="90">
        <f t="shared" ca="1" si="676"/>
        <v>8.6021886747825782</v>
      </c>
      <c r="YP20" s="90">
        <f t="shared" ca="1" si="677"/>
        <v>146.27160118701005</v>
      </c>
      <c r="YQ20" s="90">
        <f t="shared" ca="1" si="678"/>
        <v>88.116498783658244</v>
      </c>
      <c r="YR20" s="90">
        <f t="shared" ca="1" si="679"/>
        <v>2.7617314638868873</v>
      </c>
      <c r="YS20" s="90">
        <f t="shared" ca="1" si="680"/>
        <v>234.55789128508766</v>
      </c>
      <c r="YT20" s="90">
        <f t="shared" ca="1" si="681"/>
        <v>47.418146523837272</v>
      </c>
      <c r="YU20" s="90">
        <f t="shared" ca="1" si="682"/>
        <v>100.40662482143148</v>
      </c>
      <c r="YV20" s="90">
        <f t="shared" ca="1" si="683"/>
        <v>49.604403321704325</v>
      </c>
      <c r="YW20" s="90">
        <f t="shared" ca="1" si="684"/>
        <v>51.582231809277566</v>
      </c>
      <c r="YX20" s="90">
        <f t="shared" ca="1" si="685"/>
        <v>55.024945267222563</v>
      </c>
      <c r="YY20" s="90">
        <f t="shared" ca="1" si="686"/>
        <v>54.907105843265278</v>
      </c>
      <c r="YZ20" s="90">
        <f t="shared" ca="1" si="687"/>
        <v>115.40027744395066</v>
      </c>
      <c r="ZA20" s="90">
        <f t="shared" ca="1" si="688"/>
        <v>103.77116369518502</v>
      </c>
      <c r="ZB20" s="90">
        <f t="shared" ca="1" si="689"/>
        <v>151.82960033293918</v>
      </c>
      <c r="ZC20" s="90">
        <f t="shared" ca="1" si="690"/>
        <v>130.69064081607257</v>
      </c>
      <c r="ZD20" s="90">
        <f t="shared" ca="1" si="691"/>
        <v>104.26965057549933</v>
      </c>
      <c r="ZE20" s="90">
        <f t="shared" ca="1" si="692"/>
        <v>35.934514366926088</v>
      </c>
      <c r="ZF20" s="90">
        <f t="shared" ca="1" si="693"/>
        <v>122.94180731019671</v>
      </c>
      <c r="ZG20" s="90">
        <f t="shared" ca="1" si="694"/>
        <v>151.81096974849888</v>
      </c>
      <c r="ZH20" s="90">
        <f t="shared" ca="1" si="695"/>
        <v>211.30716567166297</v>
      </c>
      <c r="ZI20" s="90">
        <f t="shared" ca="1" si="696"/>
        <v>50.273265444714269</v>
      </c>
      <c r="ZJ20" s="90">
        <f t="shared" ca="1" si="697"/>
        <v>202.63064273640023</v>
      </c>
      <c r="ZK20" s="90">
        <f t="shared" ca="1" si="698"/>
        <v>40.939658048086173</v>
      </c>
      <c r="ZL20" s="90">
        <f t="shared" ca="1" si="699"/>
        <v>36.696644907807546</v>
      </c>
      <c r="ZM20" s="90">
        <f t="shared" ca="1" si="700"/>
        <v>140.85442187519138</v>
      </c>
      <c r="ZN20" s="90">
        <f t="shared" ca="1" si="701"/>
        <v>116.36649614286866</v>
      </c>
      <c r="ZO20" s="90">
        <f t="shared" ca="1" si="702"/>
        <v>58.892501754876072</v>
      </c>
      <c r="ZP20" s="90">
        <f t="shared" ca="1" si="703"/>
        <v>49.108967086223998</v>
      </c>
      <c r="ZQ20" s="90">
        <f t="shared" ca="1" si="704"/>
        <v>124.60847684561109</v>
      </c>
      <c r="ZR20" s="90">
        <f t="shared" ca="1" si="705"/>
        <v>36.441747037911902</v>
      </c>
      <c r="ZS20" s="90">
        <f t="shared" ca="1" si="706"/>
        <v>72.281419186787886</v>
      </c>
      <c r="ZT20" s="90">
        <f t="shared" ca="1" si="707"/>
        <v>44.198589213152658</v>
      </c>
      <c r="ZU20" s="90">
        <f t="shared" ca="1" si="708"/>
        <v>76.71969677070858</v>
      </c>
      <c r="ZV20" s="90">
        <f t="shared" ca="1" si="709"/>
        <v>125.60846384008157</v>
      </c>
      <c r="ZW20" s="90">
        <f t="shared" ca="1" si="710"/>
        <v>37.597975068219959</v>
      </c>
      <c r="ZX20" s="90">
        <f t="shared" ca="1" si="711"/>
        <v>113.95648938160265</v>
      </c>
      <c r="ZY20" s="90">
        <f t="shared" ca="1" si="712"/>
        <v>88.612164713860821</v>
      </c>
      <c r="ZZ20" s="90">
        <f t="shared" ca="1" si="713"/>
        <v>87.031821760595875</v>
      </c>
      <c r="AAA20" s="90">
        <f t="shared" ca="1" si="714"/>
        <v>195.37734849479051</v>
      </c>
      <c r="AAB20" s="90">
        <f t="shared" ca="1" si="715"/>
        <v>14.237194048620534</v>
      </c>
      <c r="AAC20" s="90">
        <f t="shared" ca="1" si="716"/>
        <v>185.39843278826226</v>
      </c>
      <c r="AAD20" s="90">
        <f t="shared" ca="1" si="717"/>
        <v>74.09239845935997</v>
      </c>
      <c r="AAE20" s="90">
        <f t="shared" ca="1" si="718"/>
        <v>65.226716635293357</v>
      </c>
      <c r="AAF20" s="90">
        <f t="shared" ca="1" si="719"/>
        <v>13.382235887952969</v>
      </c>
      <c r="AAG20" s="90">
        <f t="shared" ca="1" si="720"/>
        <v>50.260026381177063</v>
      </c>
      <c r="AAH20" s="90">
        <f t="shared" ca="1" si="721"/>
        <v>156.06143883099057</v>
      </c>
      <c r="AAI20" s="90">
        <f t="shared" ca="1" si="722"/>
        <v>-3.7440052656077545</v>
      </c>
      <c r="AAJ20" s="90">
        <f t="shared" ca="1" si="723"/>
        <v>206.93487929295483</v>
      </c>
      <c r="AAK20" s="90">
        <f t="shared" ca="1" si="724"/>
        <v>120.90407757494194</v>
      </c>
      <c r="AAL20" s="90">
        <f t="shared" ca="1" si="725"/>
        <v>122.93290121690815</v>
      </c>
      <c r="AAM20" s="90">
        <f t="shared" ca="1" si="726"/>
        <v>161.73516348416675</v>
      </c>
      <c r="AAN20" s="90">
        <f t="shared" ca="1" si="727"/>
        <v>65.587648288031687</v>
      </c>
      <c r="AAO20" s="90">
        <f t="shared" ca="1" si="728"/>
        <v>48.858125183363562</v>
      </c>
      <c r="AAP20" s="90">
        <f t="shared" ca="1" si="729"/>
        <v>243.60929591427646</v>
      </c>
      <c r="AAQ20" s="90">
        <f t="shared" ca="1" si="730"/>
        <v>83.535148245123892</v>
      </c>
      <c r="AAR20" s="90">
        <f t="shared" ca="1" si="731"/>
        <v>31.314752742215706</v>
      </c>
      <c r="AAS20" s="90">
        <f t="shared" ca="1" si="732"/>
        <v>61.269753433039789</v>
      </c>
      <c r="AAT20" s="90">
        <f t="shared" ca="1" si="733"/>
        <v>60.852733549239417</v>
      </c>
      <c r="AAU20" s="90">
        <f t="shared" ca="1" si="734"/>
        <v>91.541457600415541</v>
      </c>
      <c r="AAV20" s="90">
        <f t="shared" ca="1" si="735"/>
        <v>73.198091970031882</v>
      </c>
      <c r="AAW20" s="90">
        <f t="shared" ca="1" si="736"/>
        <v>136.86131149719398</v>
      </c>
      <c r="AAX20" s="90">
        <f t="shared" ca="1" si="737"/>
        <v>108.36069916193682</v>
      </c>
      <c r="AAY20" s="90">
        <f t="shared" ca="1" si="738"/>
        <v>89.842542868901219</v>
      </c>
      <c r="AAZ20" s="90">
        <f t="shared" ca="1" si="739"/>
        <v>49.449574441643584</v>
      </c>
      <c r="ABA20" s="90">
        <f t="shared" ca="1" si="740"/>
        <v>53.498174320969831</v>
      </c>
      <c r="ABB20" s="90">
        <f t="shared" ca="1" si="741"/>
        <v>8.0075241462404492</v>
      </c>
      <c r="ABC20" s="90">
        <f t="shared" ca="1" si="742"/>
        <v>102.70619418905282</v>
      </c>
      <c r="ABD20" s="90">
        <f t="shared" ca="1" si="743"/>
        <v>81.163038614196466</v>
      </c>
      <c r="ABE20" s="90">
        <f t="shared" ca="1" si="744"/>
        <v>195.97975361709425</v>
      </c>
      <c r="ABF20" s="90">
        <f t="shared" ca="1" si="745"/>
        <v>149.63121959749725</v>
      </c>
      <c r="ABG20" s="90">
        <f t="shared" ca="1" si="746"/>
        <v>43.278483551461072</v>
      </c>
      <c r="ABH20" s="90">
        <f t="shared" ca="1" si="747"/>
        <v>80.209562915967695</v>
      </c>
      <c r="ABI20" s="90">
        <f t="shared" ca="1" si="748"/>
        <v>33.409858575511628</v>
      </c>
      <c r="ABJ20" s="90">
        <f t="shared" ca="1" si="749"/>
        <v>80.283907847951696</v>
      </c>
      <c r="ABK20" s="90">
        <f t="shared" ca="1" si="750"/>
        <v>77.885020075186603</v>
      </c>
      <c r="ABL20" s="90">
        <f t="shared" ca="1" si="751"/>
        <v>125.42385036863077</v>
      </c>
      <c r="ABM20" s="90">
        <f t="shared" ca="1" si="752"/>
        <v>213.84037784125388</v>
      </c>
      <c r="ABN20" s="90">
        <f t="shared" ca="1" si="753"/>
        <v>21.460248146848535</v>
      </c>
      <c r="ABO20" s="90">
        <f t="shared" ca="1" si="754"/>
        <v>57.829099204829568</v>
      </c>
      <c r="ABP20" s="90">
        <f t="shared" ca="1" si="755"/>
        <v>25.217173274776645</v>
      </c>
      <c r="ABQ20" s="90">
        <f t="shared" ca="1" si="756"/>
        <v>34.064234051036181</v>
      </c>
      <c r="ABR20" s="90">
        <f t="shared" ca="1" si="757"/>
        <v>86.186579521959601</v>
      </c>
      <c r="ABS20" s="90">
        <f t="shared" ca="1" si="758"/>
        <v>51.538193938535883</v>
      </c>
      <c r="ABT20" s="90">
        <f t="shared" ca="1" si="759"/>
        <v>78.706597120201735</v>
      </c>
      <c r="ABU20" s="90">
        <f t="shared" ca="1" si="760"/>
        <v>46.209227891673216</v>
      </c>
      <c r="ABV20" s="90">
        <f t="shared" ca="1" si="761"/>
        <v>123.98319261866126</v>
      </c>
      <c r="ABW20" s="90">
        <f t="shared" ca="1" si="762"/>
        <v>12.00377019008568</v>
      </c>
      <c r="ABX20" s="90">
        <f t="shared" ca="1" si="763"/>
        <v>24.989958426127068</v>
      </c>
      <c r="ABY20" s="90">
        <f t="shared" ca="1" si="764"/>
        <v>43.5206119836282</v>
      </c>
      <c r="ABZ20" s="90">
        <f t="shared" ca="1" si="765"/>
        <v>80.925320277500546</v>
      </c>
      <c r="ACA20" s="90">
        <f t="shared" ca="1" si="766"/>
        <v>272.1115839893161</v>
      </c>
      <c r="ACB20" s="90">
        <f t="shared" ca="1" si="767"/>
        <v>120.71076005251585</v>
      </c>
      <c r="ACC20" s="90">
        <f t="shared" ca="1" si="768"/>
        <v>57.078396825167765</v>
      </c>
      <c r="ACD20" s="90">
        <f t="shared" ca="1" si="769"/>
        <v>102.54590429153862</v>
      </c>
      <c r="ACE20" s="90">
        <f t="shared" ca="1" si="770"/>
        <v>117.56941914108569</v>
      </c>
      <c r="ACF20" s="90">
        <f t="shared" ca="1" si="771"/>
        <v>58.30031554402477</v>
      </c>
      <c r="ACG20" s="90">
        <f t="shared" ca="1" si="772"/>
        <v>77.144630353238284</v>
      </c>
      <c r="ACH20" s="90">
        <f t="shared" ca="1" si="773"/>
        <v>110.64308326206405</v>
      </c>
      <c r="ACI20" s="90">
        <f t="shared" ca="1" si="774"/>
        <v>4.2691553585942756</v>
      </c>
      <c r="ACJ20" s="90">
        <f t="shared" ca="1" si="775"/>
        <v>53.883699583930287</v>
      </c>
      <c r="ACK20" s="90">
        <f t="shared" ca="1" si="776"/>
        <v>153.57510399509806</v>
      </c>
      <c r="ACL20" s="90">
        <f t="shared" ca="1" si="777"/>
        <v>123.07991372650548</v>
      </c>
      <c r="ACM20" s="90">
        <f t="shared" ca="1" si="778"/>
        <v>221.82419601408978</v>
      </c>
      <c r="ACN20" s="90">
        <f t="shared" ca="1" si="779"/>
        <v>62.032974223401538</v>
      </c>
      <c r="ACO20" s="90">
        <f t="shared" ca="1" si="780"/>
        <v>68.602369705041468</v>
      </c>
      <c r="ACP20" s="90">
        <f t="shared" ca="1" si="781"/>
        <v>75.078757194926112</v>
      </c>
      <c r="ACQ20" s="90">
        <f t="shared" ca="1" si="782"/>
        <v>60.509034837568073</v>
      </c>
      <c r="ACR20" s="90">
        <f t="shared" ca="1" si="783"/>
        <v>68.381606512853963</v>
      </c>
      <c r="ACS20" s="90">
        <f t="shared" ca="1" si="784"/>
        <v>181.72802441172448</v>
      </c>
      <c r="ACT20" s="90">
        <f t="shared" ca="1" si="785"/>
        <v>22.569919943085839</v>
      </c>
      <c r="ACU20" s="90">
        <f t="shared" ca="1" si="786"/>
        <v>41.54779741204775</v>
      </c>
      <c r="ACV20" s="90">
        <f t="shared" ca="1" si="787"/>
        <v>81.875256695320147</v>
      </c>
      <c r="ACW20" s="90">
        <f t="shared" ca="1" si="788"/>
        <v>144.05822992222275</v>
      </c>
      <c r="ACX20" s="90">
        <f t="shared" ca="1" si="789"/>
        <v>8.6498031769148351</v>
      </c>
      <c r="ACY20" s="90">
        <f t="shared" ca="1" si="790"/>
        <v>146.5961275929148</v>
      </c>
      <c r="ACZ20" s="90">
        <f t="shared" ca="1" si="791"/>
        <v>5.4622530392347608</v>
      </c>
      <c r="ADA20" s="90">
        <f t="shared" ca="1" si="792"/>
        <v>137.25496201636309</v>
      </c>
      <c r="ADB20" s="90">
        <f t="shared" ca="1" si="793"/>
        <v>94.727320245386991</v>
      </c>
      <c r="ADC20" s="90">
        <f t="shared" ca="1" si="794"/>
        <v>112.43091683705684</v>
      </c>
      <c r="ADD20" s="90">
        <f t="shared" ca="1" si="795"/>
        <v>100.6495935904809</v>
      </c>
      <c r="ADE20" s="90">
        <f t="shared" ca="1" si="796"/>
        <v>52.294437136197075</v>
      </c>
      <c r="ADF20" s="90">
        <f t="shared" ca="1" si="797"/>
        <v>122.04694491544646</v>
      </c>
      <c r="ADG20" s="90">
        <f t="shared" ca="1" si="798"/>
        <v>54.005516751846606</v>
      </c>
      <c r="ADH20" s="90">
        <f t="shared" ca="1" si="799"/>
        <v>49.005990856214098</v>
      </c>
      <c r="ADI20" s="90">
        <f t="shared" ca="1" si="800"/>
        <v>172.69706644357373</v>
      </c>
      <c r="ADJ20" s="90">
        <f t="shared" ca="1" si="801"/>
        <v>20.515013172152941</v>
      </c>
      <c r="ADK20" s="90">
        <f t="shared" ca="1" si="802"/>
        <v>169.97222719662028</v>
      </c>
      <c r="ADL20" s="90">
        <f t="shared" ca="1" si="803"/>
        <v>46.064433602953315</v>
      </c>
      <c r="ADM20" s="90">
        <f t="shared" ca="1" si="804"/>
        <v>54.48794648034292</v>
      </c>
      <c r="ADN20" s="90">
        <f t="shared" ca="1" si="805"/>
        <v>128.55116273412665</v>
      </c>
      <c r="ADO20" s="90">
        <f t="shared" ca="1" si="806"/>
        <v>56.215076756843274</v>
      </c>
      <c r="ADP20" s="90">
        <f t="shared" ca="1" si="807"/>
        <v>173.13786463861956</v>
      </c>
      <c r="ADQ20" s="90">
        <f t="shared" ca="1" si="808"/>
        <v>158.14439768624726</v>
      </c>
      <c r="ADR20" s="90">
        <f t="shared" ca="1" si="809"/>
        <v>168.57993922643274</v>
      </c>
      <c r="ADS20" s="90">
        <f t="shared" ca="1" si="810"/>
        <v>61.784176231564018</v>
      </c>
      <c r="ADT20" s="90">
        <f t="shared" ca="1" si="811"/>
        <v>87.799410477335456</v>
      </c>
      <c r="ADU20" s="90">
        <f t="shared" ca="1" si="812"/>
        <v>105.17880183218654</v>
      </c>
      <c r="ADV20" s="90">
        <f t="shared" ca="1" si="813"/>
        <v>64.429089427474523</v>
      </c>
      <c r="ADW20" s="90">
        <f t="shared" ca="1" si="814"/>
        <v>55.125038094204378</v>
      </c>
      <c r="ADX20" s="90">
        <f t="shared" ca="1" si="815"/>
        <v>61.230651314468282</v>
      </c>
      <c r="ADY20" s="90">
        <f t="shared" ca="1" si="816"/>
        <v>44.089655909181872</v>
      </c>
      <c r="ADZ20" s="90">
        <f t="shared" ca="1" si="817"/>
        <v>64.938628273235466</v>
      </c>
      <c r="AEA20" s="90">
        <f t="shared" ca="1" si="818"/>
        <v>83.342212599772793</v>
      </c>
      <c r="AEB20" s="90">
        <f t="shared" ca="1" si="819"/>
        <v>12.539083074051407</v>
      </c>
      <c r="AEC20" s="90">
        <f t="shared" ca="1" si="820"/>
        <v>93.509948321700492</v>
      </c>
      <c r="AED20" s="90">
        <f t="shared" ca="1" si="821"/>
        <v>50.258248453404015</v>
      </c>
      <c r="AEE20" s="90">
        <f t="shared" ca="1" si="822"/>
        <v>201.25398956833371</v>
      </c>
      <c r="AEF20" s="90">
        <f t="shared" ca="1" si="823"/>
        <v>23.694310911853016</v>
      </c>
      <c r="AEG20" s="90">
        <f t="shared" ca="1" si="824"/>
        <v>67.75440882160207</v>
      </c>
      <c r="AEH20" s="90">
        <f t="shared" ca="1" si="825"/>
        <v>103.64318031883778</v>
      </c>
      <c r="AEI20" s="90">
        <f t="shared" ca="1" si="826"/>
        <v>100.56162490968207</v>
      </c>
      <c r="AEJ20" s="90">
        <f t="shared" ca="1" si="827"/>
        <v>48.858943984725393</v>
      </c>
      <c r="AEK20" s="90">
        <f t="shared" ca="1" si="828"/>
        <v>72.818247552469273</v>
      </c>
      <c r="AEL20" s="90">
        <f t="shared" ca="1" si="829"/>
        <v>9.7767351700768419</v>
      </c>
      <c r="AEM20" s="90">
        <f t="shared" ca="1" si="830"/>
        <v>74.113418826107051</v>
      </c>
      <c r="AEN20" s="90">
        <f t="shared" ca="1" si="831"/>
        <v>43.039722823437351</v>
      </c>
      <c r="AEO20" s="90">
        <f t="shared" ca="1" si="832"/>
        <v>37.220321463567117</v>
      </c>
      <c r="AEP20" s="90">
        <f t="shared" ca="1" si="833"/>
        <v>20.624899102244068</v>
      </c>
      <c r="AEQ20" s="90">
        <f t="shared" ca="1" si="834"/>
        <v>46.555629280913926</v>
      </c>
      <c r="AER20" s="90">
        <f t="shared" ca="1" si="835"/>
        <v>68.067951809205923</v>
      </c>
      <c r="AES20" s="90">
        <f t="shared" ca="1" si="836"/>
        <v>293.98365257902549</v>
      </c>
      <c r="AET20" s="90">
        <f t="shared" ca="1" si="837"/>
        <v>92.772530306204146</v>
      </c>
      <c r="AEU20" s="90">
        <f t="shared" ca="1" si="838"/>
        <v>92.776057847586216</v>
      </c>
      <c r="AEV20" s="90">
        <f t="shared" ca="1" si="839"/>
        <v>99.595875789046289</v>
      </c>
      <c r="AEW20" s="90">
        <f t="shared" ca="1" si="840"/>
        <v>102.72051281967934</v>
      </c>
      <c r="AEX20" s="90">
        <f t="shared" ca="1" si="841"/>
        <v>107.11868081397363</v>
      </c>
      <c r="AEY20" s="90">
        <f t="shared" ca="1" si="842"/>
        <v>49.586518084930724</v>
      </c>
      <c r="AEZ20" s="90">
        <f t="shared" ca="1" si="843"/>
        <v>32.608186701592977</v>
      </c>
      <c r="AFA20" s="90">
        <f t="shared" ca="1" si="844"/>
        <v>189.32038019189125</v>
      </c>
      <c r="AFB20" s="90">
        <f t="shared" ca="1" si="845"/>
        <v>105.08756102511285</v>
      </c>
      <c r="AFC20" s="90">
        <f t="shared" ca="1" si="846"/>
        <v>37.744307781154468</v>
      </c>
      <c r="AFD20" s="90">
        <f t="shared" ca="1" si="847"/>
        <v>70.213980152548402</v>
      </c>
      <c r="AFE20" s="90">
        <f t="shared" ca="1" si="848"/>
        <v>51.223834837664228</v>
      </c>
      <c r="AFF20" s="90">
        <f t="shared" ca="1" si="849"/>
        <v>64.451257602532166</v>
      </c>
      <c r="AFG20" s="90">
        <f t="shared" ca="1" si="850"/>
        <v>24.766889985926621</v>
      </c>
      <c r="AFH20" s="90">
        <f t="shared" ca="1" si="851"/>
        <v>92.825616188676079</v>
      </c>
      <c r="AFI20" s="90">
        <f t="shared" ca="1" si="852"/>
        <v>89.467634921900498</v>
      </c>
      <c r="AFJ20" s="90">
        <f t="shared" ca="1" si="853"/>
        <v>95.826629645483209</v>
      </c>
      <c r="AFK20" s="90">
        <f t="shared" ca="1" si="854"/>
        <v>19.276551434829607</v>
      </c>
      <c r="AFL20" s="90">
        <f t="shared" ca="1" si="855"/>
        <v>42.8488788991828</v>
      </c>
      <c r="AFM20" s="90">
        <f t="shared" ca="1" si="856"/>
        <v>45.182433851624857</v>
      </c>
      <c r="AFN20" s="90">
        <f t="shared" ca="1" si="857"/>
        <v>66.430045557798337</v>
      </c>
      <c r="AFO20" s="90">
        <f t="shared" ca="1" si="858"/>
        <v>96.213701050147833</v>
      </c>
      <c r="AFP20" s="90">
        <f t="shared" ca="1" si="859"/>
        <v>80.765460626671384</v>
      </c>
      <c r="AFQ20" s="90">
        <f t="shared" ca="1" si="860"/>
        <v>109.89586298185004</v>
      </c>
      <c r="AFR20" s="90">
        <f t="shared" ca="1" si="861"/>
        <v>34.071102559814598</v>
      </c>
      <c r="AFS20" s="90">
        <f t="shared" ca="1" si="862"/>
        <v>127.59638422059948</v>
      </c>
      <c r="AFT20" s="90">
        <f t="shared" ca="1" si="863"/>
        <v>46.65213820528664</v>
      </c>
      <c r="AFU20" s="90">
        <f t="shared" ca="1" si="864"/>
        <v>62.024976798661697</v>
      </c>
      <c r="AFV20" s="90">
        <f t="shared" ca="1" si="865"/>
        <v>137.94498120778138</v>
      </c>
      <c r="AFW20" s="90">
        <f t="shared" ca="1" si="866"/>
        <v>148.04362431479237</v>
      </c>
      <c r="AFX20" s="90">
        <f t="shared" ca="1" si="867"/>
        <v>97.749419615362896</v>
      </c>
      <c r="AFY20" s="90">
        <f t="shared" ca="1" si="868"/>
        <v>42.540526571331768</v>
      </c>
      <c r="AFZ20" s="90">
        <f t="shared" ca="1" si="869"/>
        <v>42.946756315480251</v>
      </c>
      <c r="AGA20" s="90">
        <f t="shared" ca="1" si="870"/>
        <v>152.18979356321236</v>
      </c>
      <c r="AGB20" s="90">
        <f t="shared" ca="1" si="871"/>
        <v>222.76426619590904</v>
      </c>
      <c r="AGC20" s="90">
        <f t="shared" ca="1" si="872"/>
        <v>-3.985700893358759</v>
      </c>
      <c r="AGD20" s="90">
        <f t="shared" ca="1" si="873"/>
        <v>68.624154729901832</v>
      </c>
      <c r="AGE20" s="90">
        <f t="shared" ca="1" si="874"/>
        <v>126.40374272064089</v>
      </c>
      <c r="AGF20" s="90">
        <f t="shared" ca="1" si="875"/>
        <v>73.486929789153706</v>
      </c>
      <c r="AGG20" s="90">
        <f t="shared" ca="1" si="876"/>
        <v>38.111794742038889</v>
      </c>
      <c r="AGH20" s="90">
        <f t="shared" ca="1" si="877"/>
        <v>132.51844464469337</v>
      </c>
      <c r="AGI20" s="90">
        <f t="shared" ca="1" si="878"/>
        <v>60.573820773617271</v>
      </c>
      <c r="AGJ20" s="90">
        <f t="shared" ca="1" si="879"/>
        <v>96.367353952696718</v>
      </c>
      <c r="AGK20" s="90">
        <f t="shared" ca="1" si="880"/>
        <v>55.038311973153952</v>
      </c>
      <c r="AGL20" s="90">
        <f t="shared" ca="1" si="881"/>
        <v>87.440454322294258</v>
      </c>
      <c r="AGM20" s="90">
        <f t="shared" ca="1" si="882"/>
        <v>55.991237076094706</v>
      </c>
      <c r="AGN20" s="90">
        <f t="shared" ca="1" si="883"/>
        <v>74.183390391953935</v>
      </c>
      <c r="AGO20" s="90">
        <f t="shared" ca="1" si="884"/>
        <v>48.95570664883617</v>
      </c>
      <c r="AGP20" s="90">
        <f t="shared" ca="1" si="885"/>
        <v>42.70238525042862</v>
      </c>
      <c r="AGQ20" s="90">
        <f t="shared" ca="1" si="886"/>
        <v>25.267984176609865</v>
      </c>
      <c r="AGR20" s="90">
        <f t="shared" ca="1" si="887"/>
        <v>67.698928615499668</v>
      </c>
      <c r="AGS20" s="90">
        <f t="shared" ca="1" si="888"/>
        <v>104.41819872821543</v>
      </c>
      <c r="AGT20" s="90">
        <f t="shared" ca="1" si="889"/>
        <v>91.361075660094571</v>
      </c>
      <c r="AGU20" s="90">
        <f t="shared" ca="1" si="890"/>
        <v>159.98975828614581</v>
      </c>
      <c r="AGV20" s="90">
        <f t="shared" ca="1" si="891"/>
        <v>31.505030233624392</v>
      </c>
      <c r="AGW20" s="90">
        <f t="shared" ca="1" si="892"/>
        <v>172.79694673274324</v>
      </c>
      <c r="AGX20" s="90">
        <f t="shared" ca="1" si="893"/>
        <v>92.798857323116437</v>
      </c>
      <c r="AGY20" s="90">
        <f t="shared" ca="1" si="894"/>
        <v>70.086284948470109</v>
      </c>
      <c r="AGZ20" s="90">
        <f t="shared" ca="1" si="895"/>
        <v>119.1703162578458</v>
      </c>
      <c r="AHA20" s="90">
        <f t="shared" ca="1" si="896"/>
        <v>127.57757908679964</v>
      </c>
      <c r="AHB20" s="90">
        <f t="shared" ca="1" si="897"/>
        <v>59.219799302879103</v>
      </c>
      <c r="AHC20" s="90">
        <f t="shared" ca="1" si="898"/>
        <v>280.07069669493876</v>
      </c>
      <c r="AHD20" s="90">
        <f t="shared" ca="1" si="899"/>
        <v>126.28360761940353</v>
      </c>
      <c r="AHE20" s="90">
        <f t="shared" ca="1" si="900"/>
        <v>141.19055365818969</v>
      </c>
      <c r="AHF20" s="90">
        <f t="shared" ca="1" si="901"/>
        <v>65.334528484019174</v>
      </c>
      <c r="AHG20" s="90">
        <f t="shared" ca="1" si="902"/>
        <v>84.080420802455563</v>
      </c>
      <c r="AHH20" s="90">
        <f t="shared" ca="1" si="903"/>
        <v>126.23385436018141</v>
      </c>
      <c r="AHI20" s="90">
        <f t="shared" ca="1" si="904"/>
        <v>51.324587732080296</v>
      </c>
      <c r="AHJ20" s="90">
        <f t="shared" ca="1" si="905"/>
        <v>101.91621401751428</v>
      </c>
      <c r="AHK20" s="90">
        <f t="shared" ca="1" si="906"/>
        <v>104.04027615190807</v>
      </c>
      <c r="AHL20" s="90">
        <f t="shared" ca="1" si="907"/>
        <v>21.302750786423122</v>
      </c>
      <c r="AHM20" s="90">
        <f t="shared" ca="1" si="908"/>
        <v>145.59047756542301</v>
      </c>
      <c r="AHN20" s="90">
        <f t="shared" ca="1" si="909"/>
        <v>119.13567079320723</v>
      </c>
      <c r="AHO20" s="90">
        <f t="shared" ca="1" si="910"/>
        <v>22.996814163931237</v>
      </c>
      <c r="AHP20" s="90">
        <f t="shared" ca="1" si="911"/>
        <v>150.79202817181837</v>
      </c>
      <c r="AHQ20" s="90">
        <f t="shared" ca="1" si="912"/>
        <v>95.414827499055349</v>
      </c>
      <c r="AHR20" s="90">
        <f t="shared" ca="1" si="913"/>
        <v>-6.5402769474578131</v>
      </c>
      <c r="AHS20" s="90">
        <f t="shared" ca="1" si="914"/>
        <v>40.324870921893783</v>
      </c>
      <c r="AHT20" s="90">
        <f t="shared" ca="1" si="915"/>
        <v>132.13977808237627</v>
      </c>
      <c r="AHU20" s="90">
        <f t="shared" ca="1" si="916"/>
        <v>66.244011111692629</v>
      </c>
      <c r="AHV20" s="90">
        <f t="shared" ca="1" si="917"/>
        <v>90.472458783675748</v>
      </c>
      <c r="AHW20" s="90">
        <f t="shared" ca="1" si="918"/>
        <v>71.605751640396662</v>
      </c>
      <c r="AHX20" s="90">
        <f t="shared" ca="1" si="919"/>
        <v>34.652572966346149</v>
      </c>
      <c r="AHY20" s="90">
        <f t="shared" ca="1" si="920"/>
        <v>109.34710824962931</v>
      </c>
      <c r="AHZ20" s="90">
        <f t="shared" ca="1" si="921"/>
        <v>154.8352623163257</v>
      </c>
      <c r="AIA20" s="90">
        <f t="shared" ca="1" si="922"/>
        <v>124.49986069050256</v>
      </c>
      <c r="AIB20" s="90">
        <f t="shared" ca="1" si="923"/>
        <v>75.850757249934844</v>
      </c>
      <c r="AIC20" s="90">
        <f t="shared" ca="1" si="924"/>
        <v>78.092784604318865</v>
      </c>
      <c r="AID20" s="90">
        <f t="shared" ca="1" si="925"/>
        <v>49.395471698036644</v>
      </c>
      <c r="AIE20" s="90">
        <f t="shared" ca="1" si="926"/>
        <v>258.57273190760247</v>
      </c>
      <c r="AIF20" s="90">
        <f t="shared" ca="1" si="927"/>
        <v>261.31813501148156</v>
      </c>
      <c r="AIG20" s="90">
        <f t="shared" ca="1" si="928"/>
        <v>138.45848841499068</v>
      </c>
      <c r="AIH20" s="90">
        <f t="shared" ca="1" si="929"/>
        <v>90.741928920274816</v>
      </c>
      <c r="AII20" s="90">
        <f t="shared" ca="1" si="930"/>
        <v>54.387652242172557</v>
      </c>
      <c r="AIJ20" s="90">
        <f t="shared" ca="1" si="931"/>
        <v>25.804719479398177</v>
      </c>
      <c r="AIK20" s="90">
        <f t="shared" ca="1" si="932"/>
        <v>31.293877631652524</v>
      </c>
      <c r="AIL20" s="90">
        <f t="shared" ca="1" si="933"/>
        <v>66.928659113267173</v>
      </c>
      <c r="AIM20" s="90">
        <f t="shared" ca="1" si="934"/>
        <v>138.57530263106946</v>
      </c>
      <c r="AIN20" s="90">
        <f t="shared" ca="1" si="935"/>
        <v>65.123981173933828</v>
      </c>
      <c r="AIO20" s="90">
        <f t="shared" ca="1" si="936"/>
        <v>17.872796893754572</v>
      </c>
      <c r="AIP20" s="90">
        <f t="shared" ca="1" si="937"/>
        <v>74.568666706301116</v>
      </c>
      <c r="AIQ20" s="90">
        <f t="shared" ca="1" si="938"/>
        <v>-3.7534691020987316</v>
      </c>
      <c r="AIR20" s="90">
        <f t="shared" ca="1" si="939"/>
        <v>88.074099087755442</v>
      </c>
      <c r="AIS20" s="90">
        <f t="shared" ca="1" si="940"/>
        <v>29.67260706412814</v>
      </c>
      <c r="AIT20" s="90">
        <f t="shared" ca="1" si="941"/>
        <v>146.33313219642531</v>
      </c>
      <c r="AIU20" s="90">
        <f t="shared" ca="1" si="942"/>
        <v>44.95425436865726</v>
      </c>
      <c r="AIV20" s="90">
        <f t="shared" ca="1" si="943"/>
        <v>106.94011654822232</v>
      </c>
      <c r="AIW20" s="90">
        <f t="shared" ca="1" si="944"/>
        <v>145.7977537094298</v>
      </c>
      <c r="AIX20" s="90">
        <f t="shared" ca="1" si="945"/>
        <v>56.681220116331737</v>
      </c>
      <c r="AIY20" s="90">
        <f t="shared" ca="1" si="946"/>
        <v>90.712189427755646</v>
      </c>
      <c r="AIZ20" s="90">
        <f t="shared" ca="1" si="947"/>
        <v>142.72446531724626</v>
      </c>
      <c r="AJA20" s="90">
        <f t="shared" ca="1" si="948"/>
        <v>153.66068015419353</v>
      </c>
      <c r="AJB20" s="90">
        <f t="shared" ca="1" si="949"/>
        <v>32.583334301123514</v>
      </c>
      <c r="AJC20" s="90">
        <f t="shared" ca="1" si="950"/>
        <v>-1.7713860723926027</v>
      </c>
      <c r="AJD20" s="90">
        <f t="shared" ca="1" si="951"/>
        <v>86.713178186768062</v>
      </c>
      <c r="AJE20" s="90">
        <f t="shared" ca="1" si="952"/>
        <v>109.92271457166169</v>
      </c>
      <c r="AJF20" s="90">
        <f t="shared" ca="1" si="953"/>
        <v>27.307558829541225</v>
      </c>
      <c r="AJG20" s="90">
        <f t="shared" ca="1" si="954"/>
        <v>99.773160547252317</v>
      </c>
      <c r="AJH20" s="90">
        <f t="shared" ca="1" si="955"/>
        <v>30.717150305643568</v>
      </c>
      <c r="AJI20" s="90">
        <f t="shared" ca="1" si="956"/>
        <v>104.60529298927131</v>
      </c>
      <c r="AJJ20" s="90">
        <f t="shared" ca="1" si="957"/>
        <v>60.168901650589419</v>
      </c>
      <c r="AJK20" s="90">
        <f t="shared" ca="1" si="958"/>
        <v>136.0993536852593</v>
      </c>
      <c r="AJL20" s="90">
        <f t="shared" ca="1" si="959"/>
        <v>45.958054424759581</v>
      </c>
      <c r="AJM20" s="90">
        <f t="shared" ca="1" si="960"/>
        <v>74.088754579355466</v>
      </c>
      <c r="AJN20" s="90">
        <f t="shared" ca="1" si="961"/>
        <v>59.88526973239059</v>
      </c>
      <c r="AJO20" s="90">
        <f t="shared" ca="1" si="962"/>
        <v>15.069989272940798</v>
      </c>
      <c r="AJP20" s="90">
        <f t="shared" ca="1" si="963"/>
        <v>128.06639334489071</v>
      </c>
      <c r="AJQ20" s="90">
        <f t="shared" ca="1" si="964"/>
        <v>119.67279436931817</v>
      </c>
      <c r="AJR20" s="90">
        <f t="shared" ca="1" si="965"/>
        <v>10.260541968877339</v>
      </c>
      <c r="AJS20" s="90">
        <f t="shared" ca="1" si="966"/>
        <v>63.418313594331053</v>
      </c>
      <c r="AJT20" s="90">
        <f t="shared" ca="1" si="967"/>
        <v>136.3106192548222</v>
      </c>
      <c r="AJU20" s="90">
        <f t="shared" ca="1" si="968"/>
        <v>23.72213482204641</v>
      </c>
      <c r="AJV20" s="90">
        <f t="shared" ca="1" si="969"/>
        <v>90.004867421984287</v>
      </c>
      <c r="AJW20" s="90">
        <f t="shared" ca="1" si="970"/>
        <v>74.780790109335356</v>
      </c>
      <c r="AJX20" s="90">
        <f t="shared" ca="1" si="971"/>
        <v>42.328116174898589</v>
      </c>
      <c r="AJY20" s="90">
        <f t="shared" ca="1" si="972"/>
        <v>25.545266237307629</v>
      </c>
      <c r="AJZ20" s="90">
        <f t="shared" ca="1" si="973"/>
        <v>67.024363493864271</v>
      </c>
      <c r="AKA20" s="90">
        <f t="shared" ca="1" si="974"/>
        <v>51.702839810684544</v>
      </c>
      <c r="AKB20" s="90">
        <f t="shared" ca="1" si="975"/>
        <v>68.820860981235768</v>
      </c>
      <c r="AKC20" s="90">
        <f t="shared" ca="1" si="976"/>
        <v>88.979980952195859</v>
      </c>
      <c r="AKD20" s="90">
        <f t="shared" ca="1" si="977"/>
        <v>280.75336944949203</v>
      </c>
      <c r="AKE20" s="90">
        <f t="shared" ca="1" si="978"/>
        <v>59.376892282459558</v>
      </c>
      <c r="AKF20" s="90">
        <f t="shared" ca="1" si="979"/>
        <v>65.435503381450019</v>
      </c>
      <c r="AKG20" s="90">
        <f t="shared" ca="1" si="980"/>
        <v>116.44055459682934</v>
      </c>
      <c r="AKH20" s="90">
        <f t="shared" ca="1" si="981"/>
        <v>14.788042845691439</v>
      </c>
      <c r="AKI20" s="90">
        <f t="shared" ca="1" si="982"/>
        <v>191.9019793834232</v>
      </c>
      <c r="AKJ20" s="90">
        <f t="shared" ca="1" si="983"/>
        <v>31.528977874441875</v>
      </c>
      <c r="AKK20" s="90">
        <f t="shared" ca="1" si="984"/>
        <v>21.212959513632295</v>
      </c>
      <c r="AKL20" s="90">
        <f t="shared" ca="1" si="985"/>
        <v>27.782845752911616</v>
      </c>
      <c r="AKM20" s="90">
        <f t="shared" ca="1" si="986"/>
        <v>41.838379625633443</v>
      </c>
      <c r="AKN20" s="90">
        <f t="shared" ca="1" si="987"/>
        <v>49.59571733673171</v>
      </c>
      <c r="AKO20" s="90">
        <f t="shared" ca="1" si="988"/>
        <v>18.925236809868306</v>
      </c>
      <c r="AKP20" s="90">
        <f t="shared" ca="1" si="989"/>
        <v>82.679903969285036</v>
      </c>
      <c r="AKQ20" s="90">
        <f t="shared" ca="1" si="990"/>
        <v>71.137056118153808</v>
      </c>
      <c r="AKR20" s="90">
        <f t="shared" ca="1" si="991"/>
        <v>9.4798211907699699</v>
      </c>
      <c r="AKS20" s="90">
        <f t="shared" ca="1" si="992"/>
        <v>79.496880548569948</v>
      </c>
      <c r="AKT20" s="90">
        <f t="shared" ca="1" si="993"/>
        <v>45.58210032440239</v>
      </c>
      <c r="AKU20" s="90">
        <f t="shared" ca="1" si="994"/>
        <v>88.208381157524244</v>
      </c>
      <c r="AKV20" s="90">
        <f t="shared" ca="1" si="995"/>
        <v>9.0420374197034974</v>
      </c>
      <c r="AKW20" s="90">
        <f t="shared" ca="1" si="996"/>
        <v>130.84600158965841</v>
      </c>
      <c r="AKX20" s="90">
        <f t="shared" ca="1" si="997"/>
        <v>93.06754388858225</v>
      </c>
      <c r="AKY20" s="90">
        <f t="shared" ca="1" si="998"/>
        <v>40.385621474826124</v>
      </c>
      <c r="AKZ20" s="90">
        <f t="shared" ca="1" si="999"/>
        <v>141.96101587505206</v>
      </c>
      <c r="ALA20" s="90">
        <f t="shared" ca="1" si="1000"/>
        <v>209.64271677598344</v>
      </c>
      <c r="ALB20" s="90">
        <f t="shared" ca="1" si="1001"/>
        <v>68.773359828173028</v>
      </c>
      <c r="ALC20" s="90">
        <f t="shared" ca="1" si="1002"/>
        <v>85.304755288662108</v>
      </c>
      <c r="ALD20" s="90">
        <f t="shared" ca="1" si="1003"/>
        <v>211.19632785281399</v>
      </c>
      <c r="ALE20" s="90">
        <f t="shared" ca="1" si="1004"/>
        <v>68.718279423880077</v>
      </c>
      <c r="ALF20" s="90">
        <f t="shared" ca="1" si="1005"/>
        <v>127.76682197197957</v>
      </c>
      <c r="ALG20" s="90">
        <f t="shared" ca="1" si="1006"/>
        <v>54.569301229037357</v>
      </c>
      <c r="ALH20" s="90">
        <f t="shared" ca="1" si="1007"/>
        <v>5.3371007768391898</v>
      </c>
      <c r="ALI20" s="90">
        <f t="shared" ca="1" si="1008"/>
        <v>298.78591818125039</v>
      </c>
      <c r="ALJ20" s="90">
        <f t="shared" ca="1" si="1009"/>
        <v>83.683656778654267</v>
      </c>
      <c r="ALK20" s="90">
        <f t="shared" ca="1" si="1010"/>
        <v>27.549671129885393</v>
      </c>
      <c r="ALL20" s="90">
        <f t="shared" ca="1" si="1011"/>
        <v>72.183400620222841</v>
      </c>
      <c r="ALM20" s="90">
        <f t="shared" ca="1" si="1012"/>
        <v>33.505023421158214</v>
      </c>
      <c r="ALN20" s="90">
        <f t="shared" ca="1" si="1013"/>
        <v>146.04319158928615</v>
      </c>
      <c r="ALO20" s="90">
        <f t="shared" ca="1" si="1014"/>
        <v>57.879919456869558</v>
      </c>
      <c r="ALP20" s="90">
        <f t="shared" ca="1" si="1015"/>
        <v>131.90573700588172</v>
      </c>
      <c r="ALQ20" s="90">
        <f t="shared" ca="1" si="1016"/>
        <v>39.353543122814585</v>
      </c>
    </row>
    <row r="21" spans="3:1005" x14ac:dyDescent="0.35">
      <c r="C21" s="61">
        <f t="shared" ca="1" si="17"/>
        <v>0.10042696003366913</v>
      </c>
      <c r="D21" s="90">
        <f t="shared" ca="1" si="0"/>
        <v>92.128824390760315</v>
      </c>
      <c r="E21">
        <v>4</v>
      </c>
      <c r="F21" s="90">
        <f t="shared" ca="1" si="1017"/>
        <v>5.2787850683444217</v>
      </c>
      <c r="G21" s="90">
        <f t="shared" ca="1" si="18"/>
        <v>42.303000647448371</v>
      </c>
      <c r="H21" s="90">
        <f t="shared" ca="1" si="19"/>
        <v>27.601113029580461</v>
      </c>
      <c r="I21" s="90">
        <f t="shared" ca="1" si="20"/>
        <v>148.35148393273133</v>
      </c>
      <c r="J21" s="90">
        <f t="shared" ca="1" si="21"/>
        <v>20.130418348795136</v>
      </c>
      <c r="K21" s="90">
        <f t="shared" ca="1" si="22"/>
        <v>188.96210164157898</v>
      </c>
      <c r="L21" s="90">
        <f t="shared" ca="1" si="23"/>
        <v>97.776232323066807</v>
      </c>
      <c r="M21" s="90">
        <f t="shared" ca="1" si="24"/>
        <v>34.496521748159473</v>
      </c>
      <c r="N21" s="90">
        <f t="shared" ca="1" si="25"/>
        <v>42.815676720443676</v>
      </c>
      <c r="O21" s="90">
        <f t="shared" ca="1" si="26"/>
        <v>72.38850824975772</v>
      </c>
      <c r="P21" s="90">
        <f t="shared" ca="1" si="27"/>
        <v>60.104281658107709</v>
      </c>
      <c r="Q21" s="90">
        <f t="shared" ca="1" si="28"/>
        <v>45.661076962137237</v>
      </c>
      <c r="R21" s="90">
        <f t="shared" ca="1" si="29"/>
        <v>83.236736854981103</v>
      </c>
      <c r="S21" s="90">
        <f t="shared" ca="1" si="30"/>
        <v>303.53174663859556</v>
      </c>
      <c r="T21" s="90">
        <f t="shared" ca="1" si="31"/>
        <v>178.9361297557133</v>
      </c>
      <c r="U21" s="90">
        <f t="shared" ca="1" si="32"/>
        <v>79.084103468666086</v>
      </c>
      <c r="V21" s="90">
        <f t="shared" ca="1" si="33"/>
        <v>104.83410647766569</v>
      </c>
      <c r="W21" s="90">
        <f t="shared" ca="1" si="34"/>
        <v>106.87959819303988</v>
      </c>
      <c r="X21" s="90">
        <f t="shared" ca="1" si="35"/>
        <v>199.93560392494649</v>
      </c>
      <c r="Y21" s="90">
        <f t="shared" ca="1" si="36"/>
        <v>329.10268442571186</v>
      </c>
      <c r="Z21" s="90">
        <f t="shared" ca="1" si="37"/>
        <v>122.50698227283935</v>
      </c>
      <c r="AA21" s="90">
        <f t="shared" ca="1" si="38"/>
        <v>56.87441971283679</v>
      </c>
      <c r="AB21" s="90">
        <f t="shared" ca="1" si="39"/>
        <v>102.46951464744562</v>
      </c>
      <c r="AC21" s="90">
        <f t="shared" ca="1" si="40"/>
        <v>34.79884701592858</v>
      </c>
      <c r="AD21" s="90">
        <f t="shared" ca="1" si="41"/>
        <v>291.62111586505932</v>
      </c>
      <c r="AE21" s="90">
        <f t="shared" ca="1" si="42"/>
        <v>90.914971393907408</v>
      </c>
      <c r="AF21" s="90">
        <f t="shared" ca="1" si="43"/>
        <v>250.03831611348872</v>
      </c>
      <c r="AG21" s="90">
        <f t="shared" ca="1" si="44"/>
        <v>70.88893933291358</v>
      </c>
      <c r="AH21" s="90">
        <f t="shared" ca="1" si="45"/>
        <v>46.069945131963003</v>
      </c>
      <c r="AI21" s="90">
        <f t="shared" ca="1" si="46"/>
        <v>36.996161999140071</v>
      </c>
      <c r="AJ21" s="90">
        <f t="shared" ca="1" si="47"/>
        <v>124.06597263240917</v>
      </c>
      <c r="AK21" s="90">
        <f t="shared" ca="1" si="48"/>
        <v>30.362589476442743</v>
      </c>
      <c r="AL21" s="90">
        <f t="shared" ca="1" si="49"/>
        <v>147.46921598416913</v>
      </c>
      <c r="AM21" s="90">
        <f t="shared" ca="1" si="50"/>
        <v>-1.6014382214182814</v>
      </c>
      <c r="AN21" s="90">
        <f t="shared" ca="1" si="51"/>
        <v>46.887842289940025</v>
      </c>
      <c r="AO21" s="90">
        <f t="shared" ca="1" si="52"/>
        <v>166.36555442050343</v>
      </c>
      <c r="AP21" s="90">
        <f t="shared" ca="1" si="53"/>
        <v>102.11867974596845</v>
      </c>
      <c r="AQ21" s="90">
        <f t="shared" ca="1" si="54"/>
        <v>95.011235522421103</v>
      </c>
      <c r="AR21" s="90">
        <f t="shared" ca="1" si="55"/>
        <v>30.743158151343717</v>
      </c>
      <c r="AS21" s="90">
        <f t="shared" ca="1" si="56"/>
        <v>190.36591525281324</v>
      </c>
      <c r="AT21" s="90">
        <f t="shared" ca="1" si="57"/>
        <v>72.327065789467966</v>
      </c>
      <c r="AU21" s="90">
        <f t="shared" ca="1" si="58"/>
        <v>130.46787211172685</v>
      </c>
      <c r="AV21" s="90">
        <f t="shared" ca="1" si="59"/>
        <v>38.282164260778629</v>
      </c>
      <c r="AW21" s="90">
        <f t="shared" ca="1" si="60"/>
        <v>96.245638348167461</v>
      </c>
      <c r="AX21" s="90">
        <f t="shared" ca="1" si="61"/>
        <v>21.900632110634991</v>
      </c>
      <c r="AY21" s="90">
        <f t="shared" ca="1" si="62"/>
        <v>100.36055506094728</v>
      </c>
      <c r="AZ21" s="90">
        <f t="shared" ca="1" si="63"/>
        <v>68.26571616913057</v>
      </c>
      <c r="BA21" s="90">
        <f t="shared" ca="1" si="64"/>
        <v>156.66343482473255</v>
      </c>
      <c r="BB21" s="90">
        <f t="shared" ca="1" si="65"/>
        <v>112.87565209592242</v>
      </c>
      <c r="BC21" s="90">
        <f t="shared" ca="1" si="66"/>
        <v>136.85841010128615</v>
      </c>
      <c r="BD21" s="90">
        <f t="shared" ca="1" si="67"/>
        <v>156.40517000750273</v>
      </c>
      <c r="BE21" s="90">
        <f t="shared" ca="1" si="68"/>
        <v>8.8659961500490567</v>
      </c>
      <c r="BF21" s="90">
        <f t="shared" ca="1" si="69"/>
        <v>29.961400246623395</v>
      </c>
      <c r="BG21" s="90">
        <f t="shared" ca="1" si="70"/>
        <v>38.686955355304271</v>
      </c>
      <c r="BH21" s="90">
        <f t="shared" ca="1" si="71"/>
        <v>20.257290301748458</v>
      </c>
      <c r="BI21" s="90">
        <f t="shared" ca="1" si="72"/>
        <v>51.073406356066926</v>
      </c>
      <c r="BJ21" s="90">
        <f t="shared" ca="1" si="73"/>
        <v>22.218509848642228</v>
      </c>
      <c r="BK21" s="90">
        <f t="shared" ca="1" si="74"/>
        <v>4.8192068284372285</v>
      </c>
      <c r="BL21" s="90">
        <f t="shared" ca="1" si="75"/>
        <v>138.38783043358671</v>
      </c>
      <c r="BM21" s="90">
        <f t="shared" ca="1" si="76"/>
        <v>82.534731125907399</v>
      </c>
      <c r="BN21" s="90">
        <f t="shared" ca="1" si="77"/>
        <v>15.699075676077552</v>
      </c>
      <c r="BO21" s="90">
        <f t="shared" ca="1" si="78"/>
        <v>230.55552809265856</v>
      </c>
      <c r="BP21" s="90">
        <f t="shared" ca="1" si="79"/>
        <v>74.633723343263853</v>
      </c>
      <c r="BQ21" s="90">
        <f t="shared" ca="1" si="80"/>
        <v>213.58540131309135</v>
      </c>
      <c r="BR21" s="90">
        <f t="shared" ca="1" si="81"/>
        <v>168.62241372703772</v>
      </c>
      <c r="BS21" s="90">
        <f t="shared" ca="1" si="82"/>
        <v>47.386411891593063</v>
      </c>
      <c r="BT21" s="90">
        <f t="shared" ca="1" si="83"/>
        <v>74.238469772437668</v>
      </c>
      <c r="BU21" s="90">
        <f t="shared" ca="1" si="84"/>
        <v>73.388653040296063</v>
      </c>
      <c r="BV21" s="90">
        <f t="shared" ca="1" si="85"/>
        <v>40.552706958911934</v>
      </c>
      <c r="BW21" s="90">
        <f t="shared" ca="1" si="86"/>
        <v>103.79022190634262</v>
      </c>
      <c r="BX21" s="90">
        <f t="shared" ca="1" si="87"/>
        <v>24.294747586724124</v>
      </c>
      <c r="BY21" s="90">
        <f t="shared" ca="1" si="88"/>
        <v>65.118312281264863</v>
      </c>
      <c r="BZ21" s="90">
        <f t="shared" ca="1" si="89"/>
        <v>177.69774501980581</v>
      </c>
      <c r="CA21" s="90">
        <f t="shared" ca="1" si="90"/>
        <v>60.887077283582151</v>
      </c>
      <c r="CB21" s="90">
        <f t="shared" ca="1" si="91"/>
        <v>47.244561776567622</v>
      </c>
      <c r="CC21" s="90">
        <f t="shared" ca="1" si="92"/>
        <v>83.200277066565988</v>
      </c>
      <c r="CD21" s="90">
        <f t="shared" ca="1" si="93"/>
        <v>100.58693481315923</v>
      </c>
      <c r="CE21" s="90">
        <f t="shared" ca="1" si="94"/>
        <v>1.9512427498421574</v>
      </c>
      <c r="CF21" s="90">
        <f t="shared" ca="1" si="95"/>
        <v>69.303462563890676</v>
      </c>
      <c r="CG21" s="90">
        <f t="shared" ca="1" si="96"/>
        <v>64.042138107317939</v>
      </c>
      <c r="CH21" s="90">
        <f t="shared" ca="1" si="97"/>
        <v>56.247025893036373</v>
      </c>
      <c r="CI21" s="90">
        <f t="shared" ca="1" si="98"/>
        <v>18.354061141927737</v>
      </c>
      <c r="CJ21" s="90">
        <f t="shared" ca="1" si="99"/>
        <v>55.655420812908481</v>
      </c>
      <c r="CK21" s="90">
        <f t="shared" ca="1" si="100"/>
        <v>55.324119338584453</v>
      </c>
      <c r="CL21" s="90">
        <f t="shared" ca="1" si="101"/>
        <v>61.030115856151298</v>
      </c>
      <c r="CM21" s="90">
        <f t="shared" ca="1" si="102"/>
        <v>61.318529128478261</v>
      </c>
      <c r="CN21" s="90">
        <f t="shared" ca="1" si="103"/>
        <v>134.43875076604712</v>
      </c>
      <c r="CO21" s="90">
        <f t="shared" ca="1" si="104"/>
        <v>131.19465693759074</v>
      </c>
      <c r="CP21" s="90">
        <f t="shared" ca="1" si="105"/>
        <v>140.38766915585936</v>
      </c>
      <c r="CQ21" s="90">
        <f t="shared" ca="1" si="106"/>
        <v>36.95868250265579</v>
      </c>
      <c r="CR21" s="90">
        <f t="shared" ca="1" si="107"/>
        <v>28.325662346150619</v>
      </c>
      <c r="CS21" s="90">
        <f t="shared" ca="1" si="108"/>
        <v>75.838228999991685</v>
      </c>
      <c r="CT21" s="90">
        <f t="shared" ca="1" si="109"/>
        <v>63.824863338826482</v>
      </c>
      <c r="CU21" s="90">
        <f t="shared" ca="1" si="110"/>
        <v>21.30103867286557</v>
      </c>
      <c r="CV21" s="90">
        <f t="shared" ca="1" si="111"/>
        <v>149.08438109705099</v>
      </c>
      <c r="CW21" s="90">
        <f t="shared" ca="1" si="112"/>
        <v>158.19878397741402</v>
      </c>
      <c r="CX21" s="90">
        <f t="shared" ca="1" si="113"/>
        <v>110.42346878873575</v>
      </c>
      <c r="CY21" s="90">
        <f t="shared" ca="1" si="114"/>
        <v>33.841655563538765</v>
      </c>
      <c r="CZ21" s="90">
        <f t="shared" ca="1" si="115"/>
        <v>166.91685711568385</v>
      </c>
      <c r="DA21" s="90">
        <f t="shared" ca="1" si="116"/>
        <v>68.036826898037361</v>
      </c>
      <c r="DB21" s="90">
        <f t="shared" ca="1" si="117"/>
        <v>229.43197532499221</v>
      </c>
      <c r="DC21" s="90">
        <f t="shared" ca="1" si="118"/>
        <v>13.172239853841488</v>
      </c>
      <c r="DD21" s="90">
        <f t="shared" ca="1" si="119"/>
        <v>186.32207469838659</v>
      </c>
      <c r="DE21" s="90">
        <f t="shared" ca="1" si="120"/>
        <v>99.196483864789883</v>
      </c>
      <c r="DF21" s="90">
        <f t="shared" ca="1" si="121"/>
        <v>15.546055287740591</v>
      </c>
      <c r="DG21" s="90">
        <f t="shared" ca="1" si="122"/>
        <v>42.635337536262952</v>
      </c>
      <c r="DH21" s="90">
        <f t="shared" ca="1" si="123"/>
        <v>84.99336684045312</v>
      </c>
      <c r="DI21" s="90">
        <f t="shared" ca="1" si="124"/>
        <v>118.47142501282849</v>
      </c>
      <c r="DJ21" s="90">
        <f t="shared" ca="1" si="125"/>
        <v>91.935209367883942</v>
      </c>
      <c r="DK21" s="90">
        <f t="shared" ca="1" si="126"/>
        <v>53.533661092116482</v>
      </c>
      <c r="DL21" s="90">
        <f t="shared" ca="1" si="127"/>
        <v>42.985155547147286</v>
      </c>
      <c r="DM21" s="90">
        <f t="shared" ca="1" si="128"/>
        <v>19.803839097325003</v>
      </c>
      <c r="DN21" s="90">
        <f t="shared" ca="1" si="129"/>
        <v>20.035097722355495</v>
      </c>
      <c r="DO21" s="90">
        <f t="shared" ca="1" si="130"/>
        <v>216.66301016630223</v>
      </c>
      <c r="DP21" s="90">
        <f t="shared" ca="1" si="131"/>
        <v>14.014890686760342</v>
      </c>
      <c r="DQ21" s="90">
        <f t="shared" ca="1" si="132"/>
        <v>429.09202743579925</v>
      </c>
      <c r="DR21" s="90">
        <f t="shared" ca="1" si="133"/>
        <v>82.324444684226577</v>
      </c>
      <c r="DS21" s="90">
        <f t="shared" ca="1" si="134"/>
        <v>17.796860983188196</v>
      </c>
      <c r="DT21" s="90">
        <f t="shared" ca="1" si="135"/>
        <v>-3.5949043676625467</v>
      </c>
      <c r="DU21" s="90">
        <f t="shared" ca="1" si="136"/>
        <v>76.101967824343802</v>
      </c>
      <c r="DV21" s="90">
        <f t="shared" ca="1" si="137"/>
        <v>213.84421172361542</v>
      </c>
      <c r="DW21" s="90">
        <f t="shared" ca="1" si="138"/>
        <v>211.91475203330342</v>
      </c>
      <c r="DX21" s="90">
        <f t="shared" ca="1" si="139"/>
        <v>76.437416996205158</v>
      </c>
      <c r="DY21" s="90">
        <f t="shared" ca="1" si="140"/>
        <v>76.463522774010315</v>
      </c>
      <c r="DZ21" s="90">
        <f t="shared" ca="1" si="141"/>
        <v>369.1334060450381</v>
      </c>
      <c r="EA21" s="90">
        <f t="shared" ca="1" si="142"/>
        <v>30.841233653096296</v>
      </c>
      <c r="EB21" s="90">
        <f t="shared" ca="1" si="143"/>
        <v>193.83259174380024</v>
      </c>
      <c r="EC21" s="90">
        <f t="shared" ca="1" si="144"/>
        <v>61.241196282392409</v>
      </c>
      <c r="ED21" s="90">
        <f t="shared" ca="1" si="145"/>
        <v>43.512462244339225</v>
      </c>
      <c r="EE21" s="90">
        <f t="shared" ca="1" si="146"/>
        <v>-8.3389567937596425</v>
      </c>
      <c r="EF21" s="90">
        <f t="shared" ca="1" si="147"/>
        <v>171.09697239751787</v>
      </c>
      <c r="EG21" s="90">
        <f t="shared" ca="1" si="148"/>
        <v>19.028689589603996</v>
      </c>
      <c r="EH21" s="90">
        <f t="shared" ca="1" si="149"/>
        <v>94.493645577014647</v>
      </c>
      <c r="EI21" s="90">
        <f t="shared" ca="1" si="150"/>
        <v>119.2671910975717</v>
      </c>
      <c r="EJ21" s="90">
        <f t="shared" ca="1" si="151"/>
        <v>57.159915324915652</v>
      </c>
      <c r="EK21" s="90">
        <f t="shared" ca="1" si="152"/>
        <v>48.272196444459361</v>
      </c>
      <c r="EL21" s="90">
        <f t="shared" ca="1" si="153"/>
        <v>248.28318339733283</v>
      </c>
      <c r="EM21" s="90">
        <f t="shared" ca="1" si="154"/>
        <v>21.243920640581347</v>
      </c>
      <c r="EN21" s="90">
        <f t="shared" ca="1" si="155"/>
        <v>59.759854440213715</v>
      </c>
      <c r="EO21" s="90">
        <f t="shared" ca="1" si="156"/>
        <v>254.24730406523216</v>
      </c>
      <c r="EP21" s="90">
        <f t="shared" ca="1" si="157"/>
        <v>70.765004434810365</v>
      </c>
      <c r="EQ21" s="90">
        <f t="shared" ca="1" si="158"/>
        <v>65.648971351934819</v>
      </c>
      <c r="ER21" s="90">
        <f t="shared" ca="1" si="159"/>
        <v>76.066916864731823</v>
      </c>
      <c r="ES21" s="90">
        <f t="shared" ca="1" si="160"/>
        <v>90.953946169033642</v>
      </c>
      <c r="ET21" s="90">
        <f t="shared" ca="1" si="161"/>
        <v>70.584736305883368</v>
      </c>
      <c r="EU21" s="90">
        <f t="shared" ca="1" si="162"/>
        <v>156.36475494774513</v>
      </c>
      <c r="EV21" s="90">
        <f t="shared" ca="1" si="163"/>
        <v>119.10186917738879</v>
      </c>
      <c r="EW21" s="90">
        <f t="shared" ca="1" si="164"/>
        <v>169.61788217226555</v>
      </c>
      <c r="EX21" s="90">
        <f t="shared" ca="1" si="165"/>
        <v>19.098538649077117</v>
      </c>
      <c r="EY21" s="90">
        <f t="shared" ca="1" si="166"/>
        <v>86.314101123856602</v>
      </c>
      <c r="EZ21" s="90">
        <f t="shared" ca="1" si="167"/>
        <v>50.047845055219888</v>
      </c>
      <c r="FA21" s="90">
        <f t="shared" ca="1" si="168"/>
        <v>173.9850968708777</v>
      </c>
      <c r="FB21" s="90">
        <f t="shared" ca="1" si="169"/>
        <v>47.166581792908921</v>
      </c>
      <c r="FC21" s="90">
        <f t="shared" ca="1" si="170"/>
        <v>178.71965704919396</v>
      </c>
      <c r="FD21" s="90">
        <f t="shared" ca="1" si="171"/>
        <v>13.826880590571598</v>
      </c>
      <c r="FE21" s="90">
        <f t="shared" ca="1" si="172"/>
        <v>26.778403682544358</v>
      </c>
      <c r="FF21" s="90">
        <f t="shared" ca="1" si="173"/>
        <v>78.53812003144931</v>
      </c>
      <c r="FG21" s="90">
        <f t="shared" ca="1" si="174"/>
        <v>275.13335155282294</v>
      </c>
      <c r="FH21" s="90">
        <f t="shared" ca="1" si="175"/>
        <v>109.83220123400201</v>
      </c>
      <c r="FI21" s="90">
        <f t="shared" ca="1" si="176"/>
        <v>10.376978027204116</v>
      </c>
      <c r="FJ21" s="90">
        <f t="shared" ca="1" si="177"/>
        <v>48.682654764582445</v>
      </c>
      <c r="FK21" s="90">
        <f t="shared" ca="1" si="178"/>
        <v>73.228049121300785</v>
      </c>
      <c r="FL21" s="90">
        <f t="shared" ca="1" si="179"/>
        <v>208.91079157495813</v>
      </c>
      <c r="FM21" s="90">
        <f t="shared" ca="1" si="180"/>
        <v>120.22670896327202</v>
      </c>
      <c r="FN21" s="90">
        <f t="shared" ca="1" si="181"/>
        <v>71.279394404393614</v>
      </c>
      <c r="FO21" s="90">
        <f t="shared" ca="1" si="182"/>
        <v>370.74998955807297</v>
      </c>
      <c r="FP21" s="90">
        <f t="shared" ca="1" si="183"/>
        <v>17.835814363110885</v>
      </c>
      <c r="FQ21" s="90">
        <f t="shared" ca="1" si="184"/>
        <v>99.003032402643669</v>
      </c>
      <c r="FR21" s="90">
        <f t="shared" ca="1" si="185"/>
        <v>41.665058434852028</v>
      </c>
      <c r="FS21" s="90">
        <f t="shared" ca="1" si="186"/>
        <v>62.267486435681242</v>
      </c>
      <c r="FT21" s="90">
        <f t="shared" ca="1" si="187"/>
        <v>81.125407925255601</v>
      </c>
      <c r="FU21" s="90">
        <f t="shared" ca="1" si="188"/>
        <v>173.99538822511263</v>
      </c>
      <c r="FV21" s="90">
        <f t="shared" ca="1" si="189"/>
        <v>34.385732673866585</v>
      </c>
      <c r="FW21" s="90">
        <f t="shared" ca="1" si="190"/>
        <v>8.7022231551785723</v>
      </c>
      <c r="FX21" s="90">
        <f t="shared" ca="1" si="191"/>
        <v>104.0695334138122</v>
      </c>
      <c r="FY21" s="90">
        <f t="shared" ca="1" si="192"/>
        <v>152.28921514663617</v>
      </c>
      <c r="FZ21" s="90">
        <f t="shared" ca="1" si="193"/>
        <v>18.132381380471458</v>
      </c>
      <c r="GA21" s="90">
        <f t="shared" ca="1" si="194"/>
        <v>43.771938452133831</v>
      </c>
      <c r="GB21" s="90">
        <f t="shared" ca="1" si="195"/>
        <v>46.136489116569578</v>
      </c>
      <c r="GC21" s="90">
        <f t="shared" ca="1" si="196"/>
        <v>95.518091252413853</v>
      </c>
      <c r="GD21" s="90">
        <f t="shared" ca="1" si="197"/>
        <v>129.37506149509178</v>
      </c>
      <c r="GE21" s="90">
        <f t="shared" ca="1" si="198"/>
        <v>19.183763593367114</v>
      </c>
      <c r="GF21" s="90">
        <f t="shared" ca="1" si="199"/>
        <v>19.120832220139594</v>
      </c>
      <c r="GG21" s="90">
        <f t="shared" ca="1" si="200"/>
        <v>179.42247763473827</v>
      </c>
      <c r="GH21" s="90">
        <f t="shared" ca="1" si="201"/>
        <v>175.89703666571049</v>
      </c>
      <c r="GI21" s="90">
        <f t="shared" ca="1" si="202"/>
        <v>51.725016006568076</v>
      </c>
      <c r="GJ21" s="90">
        <f t="shared" ca="1" si="203"/>
        <v>45.6690648038578</v>
      </c>
      <c r="GK21" s="90">
        <f t="shared" ca="1" si="204"/>
        <v>190.15545773018474</v>
      </c>
      <c r="GL21" s="90">
        <f t="shared" ca="1" si="205"/>
        <v>135.0161018208548</v>
      </c>
      <c r="GM21" s="90">
        <f t="shared" ca="1" si="206"/>
        <v>13.644685441577543</v>
      </c>
      <c r="GN21" s="90">
        <f t="shared" ca="1" si="207"/>
        <v>27.28471584516576</v>
      </c>
      <c r="GO21" s="90">
        <f t="shared" ca="1" si="208"/>
        <v>32.809262444192548</v>
      </c>
      <c r="GP21" s="90">
        <f t="shared" ca="1" si="209"/>
        <v>243.76508392302793</v>
      </c>
      <c r="GQ21" s="90">
        <f t="shared" ca="1" si="210"/>
        <v>64.414371285071638</v>
      </c>
      <c r="GR21" s="90">
        <f t="shared" ca="1" si="211"/>
        <v>208.80703717576239</v>
      </c>
      <c r="GS21" s="90">
        <f t="shared" ca="1" si="212"/>
        <v>63.940069326431647</v>
      </c>
      <c r="GT21" s="90">
        <f t="shared" ca="1" si="213"/>
        <v>18.787109195810327</v>
      </c>
      <c r="GU21" s="90">
        <f t="shared" ca="1" si="214"/>
        <v>84.483646235662519</v>
      </c>
      <c r="GV21" s="90">
        <f t="shared" ca="1" si="215"/>
        <v>187.15043783869271</v>
      </c>
      <c r="GW21" s="90">
        <f t="shared" ca="1" si="216"/>
        <v>84.67841255861768</v>
      </c>
      <c r="GX21" s="90">
        <f t="shared" ca="1" si="217"/>
        <v>330.86298496519373</v>
      </c>
      <c r="GY21" s="90">
        <f t="shared" ca="1" si="218"/>
        <v>121.50418024905522</v>
      </c>
      <c r="GZ21" s="90">
        <f t="shared" ca="1" si="219"/>
        <v>113.45841332757583</v>
      </c>
      <c r="HA21" s="90">
        <f t="shared" ca="1" si="220"/>
        <v>51.760620479666763</v>
      </c>
      <c r="HB21" s="90">
        <f t="shared" ca="1" si="221"/>
        <v>59.804541391520232</v>
      </c>
      <c r="HC21" s="90">
        <f t="shared" ca="1" si="222"/>
        <v>118.36967748129993</v>
      </c>
      <c r="HD21" s="90">
        <f t="shared" ca="1" si="223"/>
        <v>74.482152969063122</v>
      </c>
      <c r="HE21" s="90">
        <f t="shared" ca="1" si="224"/>
        <v>118.44094192604722</v>
      </c>
      <c r="HF21" s="90">
        <f t="shared" ca="1" si="225"/>
        <v>139.85994420152704</v>
      </c>
      <c r="HG21" s="90">
        <f t="shared" ca="1" si="226"/>
        <v>134.80978033421849</v>
      </c>
      <c r="HH21" s="90">
        <f t="shared" ca="1" si="227"/>
        <v>61.485273314991879</v>
      </c>
      <c r="HI21" s="90">
        <f t="shared" ca="1" si="228"/>
        <v>120.49291067467544</v>
      </c>
      <c r="HJ21" s="90">
        <f t="shared" ca="1" si="229"/>
        <v>124.25768407614035</v>
      </c>
      <c r="HK21" s="90">
        <f t="shared" ca="1" si="230"/>
        <v>74.34395847413569</v>
      </c>
      <c r="HL21" s="90">
        <f t="shared" ca="1" si="231"/>
        <v>106.46771586577744</v>
      </c>
      <c r="HM21" s="90">
        <f t="shared" ca="1" si="232"/>
        <v>72.806929137088048</v>
      </c>
      <c r="HN21" s="90">
        <f t="shared" ca="1" si="233"/>
        <v>107.37136788556388</v>
      </c>
      <c r="HO21" s="90">
        <f t="shared" ca="1" si="234"/>
        <v>120.89951147230825</v>
      </c>
      <c r="HP21" s="90">
        <f t="shared" ca="1" si="235"/>
        <v>97.117936182521987</v>
      </c>
      <c r="HQ21" s="90">
        <f t="shared" ca="1" si="236"/>
        <v>196.55781670162517</v>
      </c>
      <c r="HR21" s="90">
        <f t="shared" ca="1" si="237"/>
        <v>31.985101101865769</v>
      </c>
      <c r="HS21" s="90">
        <f t="shared" ca="1" si="238"/>
        <v>46.576855735039636</v>
      </c>
      <c r="HT21" s="90">
        <f t="shared" ca="1" si="239"/>
        <v>37.664464996029459</v>
      </c>
      <c r="HU21" s="90">
        <f t="shared" ca="1" si="240"/>
        <v>67.516573660570927</v>
      </c>
      <c r="HV21" s="90">
        <f t="shared" ca="1" si="241"/>
        <v>63.734949523677727</v>
      </c>
      <c r="HW21" s="90">
        <f t="shared" ca="1" si="242"/>
        <v>55.015044637949948</v>
      </c>
      <c r="HX21" s="90">
        <f t="shared" ca="1" si="243"/>
        <v>83.443395905872535</v>
      </c>
      <c r="HY21" s="90">
        <f t="shared" ca="1" si="244"/>
        <v>232.68122143992116</v>
      </c>
      <c r="HZ21" s="90">
        <f t="shared" ca="1" si="245"/>
        <v>144.09851069288041</v>
      </c>
      <c r="IA21" s="90">
        <f t="shared" ca="1" si="246"/>
        <v>99.14736737781287</v>
      </c>
      <c r="IB21" s="90">
        <f t="shared" ca="1" si="247"/>
        <v>82.817478592271584</v>
      </c>
      <c r="IC21" s="90">
        <f t="shared" ca="1" si="248"/>
        <v>11.807432629579459</v>
      </c>
      <c r="ID21" s="90">
        <f t="shared" ca="1" si="249"/>
        <v>21.709465169099587</v>
      </c>
      <c r="IE21" s="90">
        <f t="shared" ca="1" si="250"/>
        <v>40.384851063975439</v>
      </c>
      <c r="IF21" s="90">
        <f t="shared" ca="1" si="251"/>
        <v>2.7180192125094815</v>
      </c>
      <c r="IG21" s="90">
        <f t="shared" ca="1" si="252"/>
        <v>55.220494432319576</v>
      </c>
      <c r="IH21" s="90">
        <f t="shared" ca="1" si="253"/>
        <v>56.648038455651552</v>
      </c>
      <c r="II21" s="90">
        <f t="shared" ca="1" si="254"/>
        <v>32.047730387440318</v>
      </c>
      <c r="IJ21" s="90">
        <f t="shared" ca="1" si="255"/>
        <v>33.191769102435195</v>
      </c>
      <c r="IK21" s="90">
        <f t="shared" ca="1" si="256"/>
        <v>151.91358929891527</v>
      </c>
      <c r="IL21" s="90">
        <f t="shared" ca="1" si="257"/>
        <v>95.59380404455915</v>
      </c>
      <c r="IM21" s="90">
        <f t="shared" ca="1" si="258"/>
        <v>148.39183864158716</v>
      </c>
      <c r="IN21" s="90">
        <f t="shared" ca="1" si="259"/>
        <v>80.273569536985022</v>
      </c>
      <c r="IO21" s="90">
        <f t="shared" ca="1" si="260"/>
        <v>5.0939602759140676</v>
      </c>
      <c r="IP21" s="90">
        <f t="shared" ca="1" si="261"/>
        <v>81.016843752599613</v>
      </c>
      <c r="IQ21" s="90">
        <f t="shared" ca="1" si="262"/>
        <v>64.726629692627583</v>
      </c>
      <c r="IR21" s="90">
        <f t="shared" ca="1" si="263"/>
        <v>197.48956659530344</v>
      </c>
      <c r="IS21" s="90">
        <f t="shared" ca="1" si="264"/>
        <v>39.318927954678848</v>
      </c>
      <c r="IT21" s="90">
        <f t="shared" ca="1" si="265"/>
        <v>58.788734940930908</v>
      </c>
      <c r="IU21" s="90">
        <f t="shared" ca="1" si="266"/>
        <v>351.26445886369333</v>
      </c>
      <c r="IV21" s="90">
        <f t="shared" ca="1" si="267"/>
        <v>22.897342923032177</v>
      </c>
      <c r="IW21" s="90">
        <f t="shared" ca="1" si="268"/>
        <v>28.604869271151465</v>
      </c>
      <c r="IX21" s="90">
        <f t="shared" ca="1" si="269"/>
        <v>66.999493891951374</v>
      </c>
      <c r="IY21" s="90">
        <f t="shared" ca="1" si="270"/>
        <v>84.357434705762273</v>
      </c>
      <c r="IZ21" s="90">
        <f t="shared" ca="1" si="271"/>
        <v>156.72103562447427</v>
      </c>
      <c r="JA21" s="90">
        <f t="shared" ca="1" si="272"/>
        <v>39.50333786640202</v>
      </c>
      <c r="JB21" s="90">
        <f t="shared" ca="1" si="273"/>
        <v>30.695565774184789</v>
      </c>
      <c r="JC21" s="90">
        <f t="shared" ca="1" si="274"/>
        <v>12.342867237581343</v>
      </c>
      <c r="JD21" s="90">
        <f t="shared" ca="1" si="275"/>
        <v>47.007244540257979</v>
      </c>
      <c r="JE21" s="90">
        <f t="shared" ca="1" si="276"/>
        <v>111.39199468074904</v>
      </c>
      <c r="JF21" s="90">
        <f t="shared" ca="1" si="277"/>
        <v>63.693438799923584</v>
      </c>
      <c r="JG21" s="90">
        <f t="shared" ca="1" si="278"/>
        <v>126.36399462615447</v>
      </c>
      <c r="JH21" s="90">
        <f t="shared" ca="1" si="279"/>
        <v>22.577178764286945</v>
      </c>
      <c r="JI21" s="90">
        <f t="shared" ca="1" si="280"/>
        <v>24.29571130368263</v>
      </c>
      <c r="JJ21" s="90">
        <f t="shared" ca="1" si="281"/>
        <v>70.967179172512999</v>
      </c>
      <c r="JK21" s="90">
        <f t="shared" ca="1" si="282"/>
        <v>111.71343727414563</v>
      </c>
      <c r="JL21" s="90">
        <f t="shared" ca="1" si="283"/>
        <v>165.11971760592337</v>
      </c>
      <c r="JM21" s="90">
        <f t="shared" ca="1" si="284"/>
        <v>122.70758201919051</v>
      </c>
      <c r="JN21" s="90">
        <f t="shared" ca="1" si="285"/>
        <v>77.917494258163956</v>
      </c>
      <c r="JO21" s="90">
        <f t="shared" ca="1" si="286"/>
        <v>39.237690804029242</v>
      </c>
      <c r="JP21" s="90">
        <f t="shared" ca="1" si="287"/>
        <v>19.207550023868475</v>
      </c>
      <c r="JQ21" s="90">
        <f t="shared" ca="1" si="288"/>
        <v>45.879634951734452</v>
      </c>
      <c r="JR21" s="90">
        <f t="shared" ca="1" si="289"/>
        <v>84.66732431320122</v>
      </c>
      <c r="JS21" s="90">
        <f t="shared" ca="1" si="290"/>
        <v>41.622143716039261</v>
      </c>
      <c r="JT21" s="90">
        <f t="shared" ca="1" si="291"/>
        <v>59.542679327738952</v>
      </c>
      <c r="JU21" s="90">
        <f t="shared" ca="1" si="292"/>
        <v>51.758398338703458</v>
      </c>
      <c r="JV21" s="90">
        <f t="shared" ca="1" si="293"/>
        <v>119.70128765620863</v>
      </c>
      <c r="JW21" s="90">
        <f t="shared" ca="1" si="294"/>
        <v>50.699839652349482</v>
      </c>
      <c r="JX21" s="90">
        <f t="shared" ca="1" si="295"/>
        <v>227.03590487210033</v>
      </c>
      <c r="JY21" s="90">
        <f t="shared" ca="1" si="296"/>
        <v>156.25984958359479</v>
      </c>
      <c r="JZ21" s="90">
        <f t="shared" ca="1" si="297"/>
        <v>38.919713787130007</v>
      </c>
      <c r="KA21" s="90">
        <f t="shared" ca="1" si="298"/>
        <v>37.967911464307967</v>
      </c>
      <c r="KB21" s="90">
        <f t="shared" ca="1" si="299"/>
        <v>73.629197657918354</v>
      </c>
      <c r="KC21" s="90">
        <f t="shared" ca="1" si="300"/>
        <v>8.2068247533893057</v>
      </c>
      <c r="KD21" s="90">
        <f t="shared" ca="1" si="301"/>
        <v>17.336777302200311</v>
      </c>
      <c r="KE21" s="90">
        <f t="shared" ca="1" si="302"/>
        <v>27.371525134226509</v>
      </c>
      <c r="KF21" s="90">
        <f t="shared" ca="1" si="303"/>
        <v>59.482067719888349</v>
      </c>
      <c r="KG21" s="90">
        <f t="shared" ca="1" si="304"/>
        <v>260.87019108830037</v>
      </c>
      <c r="KH21" s="90">
        <f t="shared" ca="1" si="305"/>
        <v>387.39718527873094</v>
      </c>
      <c r="KI21" s="90">
        <f t="shared" ca="1" si="306"/>
        <v>114.78547457036122</v>
      </c>
      <c r="KJ21" s="90">
        <f t="shared" ca="1" si="307"/>
        <v>176.14476616750358</v>
      </c>
      <c r="KK21" s="90">
        <f t="shared" ca="1" si="308"/>
        <v>18.209858430191293</v>
      </c>
      <c r="KL21" s="90">
        <f t="shared" ca="1" si="309"/>
        <v>9.4663232534948722</v>
      </c>
      <c r="KM21" s="90">
        <f t="shared" ca="1" si="310"/>
        <v>53.745476832759003</v>
      </c>
      <c r="KN21" s="90">
        <f t="shared" ca="1" si="311"/>
        <v>147.43043293585274</v>
      </c>
      <c r="KO21" s="90">
        <f t="shared" ca="1" si="312"/>
        <v>104.9978155223548</v>
      </c>
      <c r="KP21" s="90">
        <f t="shared" ca="1" si="313"/>
        <v>91.382015991326611</v>
      </c>
      <c r="KQ21" s="90">
        <f t="shared" ca="1" si="314"/>
        <v>55.305556261811951</v>
      </c>
      <c r="KR21" s="90">
        <f t="shared" ca="1" si="315"/>
        <v>151.39350250195736</v>
      </c>
      <c r="KS21" s="90">
        <f t="shared" ca="1" si="316"/>
        <v>92.410115847102844</v>
      </c>
      <c r="KT21" s="90">
        <f t="shared" ca="1" si="317"/>
        <v>105.2804041747159</v>
      </c>
      <c r="KU21" s="90">
        <f t="shared" ca="1" si="318"/>
        <v>13.754352142557982</v>
      </c>
      <c r="KV21" s="90">
        <f t="shared" ca="1" si="319"/>
        <v>98.245264733903198</v>
      </c>
      <c r="KW21" s="90">
        <f t="shared" ca="1" si="320"/>
        <v>43.465272202078154</v>
      </c>
      <c r="KX21" s="90">
        <f t="shared" ca="1" si="321"/>
        <v>53.865535610028381</v>
      </c>
      <c r="KY21" s="90">
        <f t="shared" ca="1" si="322"/>
        <v>156.1745945381318</v>
      </c>
      <c r="KZ21" s="90">
        <f t="shared" ca="1" si="323"/>
        <v>82.686701551170415</v>
      </c>
      <c r="LA21" s="90">
        <f t="shared" ca="1" si="324"/>
        <v>56.124196209035688</v>
      </c>
      <c r="LB21" s="90">
        <f t="shared" ca="1" si="325"/>
        <v>51.978584732001622</v>
      </c>
      <c r="LC21" s="90">
        <f t="shared" ca="1" si="326"/>
        <v>289.03348623425831</v>
      </c>
      <c r="LD21" s="90">
        <f t="shared" ca="1" si="327"/>
        <v>56.140373129364896</v>
      </c>
      <c r="LE21" s="90">
        <f t="shared" ca="1" si="328"/>
        <v>86.097959505331062</v>
      </c>
      <c r="LF21" s="90">
        <f t="shared" ca="1" si="329"/>
        <v>26.328448154607671</v>
      </c>
      <c r="LG21" s="90">
        <f t="shared" ca="1" si="330"/>
        <v>174.58454988250361</v>
      </c>
      <c r="LH21" s="90">
        <f t="shared" ca="1" si="331"/>
        <v>79.721915328551745</v>
      </c>
      <c r="LI21" s="90">
        <f t="shared" ca="1" si="332"/>
        <v>112.40679420156225</v>
      </c>
      <c r="LJ21" s="90">
        <f t="shared" ca="1" si="333"/>
        <v>25.219367397690409</v>
      </c>
      <c r="LK21" s="90">
        <f t="shared" ca="1" si="334"/>
        <v>12.460408445734762</v>
      </c>
      <c r="LL21" s="90">
        <f t="shared" ca="1" si="335"/>
        <v>51.026946559446003</v>
      </c>
      <c r="LM21" s="90">
        <f t="shared" ca="1" si="336"/>
        <v>106.5354302541791</v>
      </c>
      <c r="LN21" s="90">
        <f t="shared" ca="1" si="337"/>
        <v>5.7089061712658431</v>
      </c>
      <c r="LO21" s="90">
        <f t="shared" ca="1" si="338"/>
        <v>66.261841214986703</v>
      </c>
      <c r="LP21" s="90">
        <f t="shared" ca="1" si="339"/>
        <v>9.1972851910186488</v>
      </c>
      <c r="LQ21" s="90">
        <f t="shared" ca="1" si="340"/>
        <v>118.23344091976421</v>
      </c>
      <c r="LR21" s="90">
        <f t="shared" ca="1" si="341"/>
        <v>79.422111778533292</v>
      </c>
      <c r="LS21" s="90">
        <f t="shared" ca="1" si="342"/>
        <v>103.70414912423348</v>
      </c>
      <c r="LT21" s="90">
        <f t="shared" ca="1" si="343"/>
        <v>17.087810756689318</v>
      </c>
      <c r="LU21" s="90">
        <f t="shared" ca="1" si="344"/>
        <v>172.66479656300086</v>
      </c>
      <c r="LV21" s="90">
        <f t="shared" ca="1" si="345"/>
        <v>129.71393544967461</v>
      </c>
      <c r="LW21" s="90">
        <f t="shared" ca="1" si="346"/>
        <v>55.564266616831091</v>
      </c>
      <c r="LX21" s="90">
        <f t="shared" ca="1" si="347"/>
        <v>30.009727965125474</v>
      </c>
      <c r="LY21" s="90">
        <f t="shared" ca="1" si="348"/>
        <v>49.750275624255522</v>
      </c>
      <c r="LZ21" s="90">
        <f t="shared" ca="1" si="349"/>
        <v>69.65180647514309</v>
      </c>
      <c r="MA21" s="90">
        <f t="shared" ca="1" si="350"/>
        <v>56.023046225723583</v>
      </c>
      <c r="MB21" s="90">
        <f t="shared" ca="1" si="351"/>
        <v>38.436817128370322</v>
      </c>
      <c r="MC21" s="90">
        <f t="shared" ca="1" si="352"/>
        <v>91.956404172766156</v>
      </c>
      <c r="MD21" s="90">
        <f t="shared" ca="1" si="353"/>
        <v>218.86611217523918</v>
      </c>
      <c r="ME21" s="90">
        <f t="shared" ca="1" si="354"/>
        <v>13.77462098160294</v>
      </c>
      <c r="MF21" s="90">
        <f t="shared" ca="1" si="355"/>
        <v>164.65080471310679</v>
      </c>
      <c r="MG21" s="90">
        <f t="shared" ca="1" si="356"/>
        <v>182.99607955143185</v>
      </c>
      <c r="MH21" s="90">
        <f t="shared" ca="1" si="357"/>
        <v>105.70558030237432</v>
      </c>
      <c r="MI21" s="90">
        <f t="shared" ca="1" si="358"/>
        <v>37.064970000112602</v>
      </c>
      <c r="MJ21" s="90">
        <f t="shared" ca="1" si="359"/>
        <v>72.323985590667291</v>
      </c>
      <c r="MK21" s="90">
        <f t="shared" ca="1" si="360"/>
        <v>98.86334329409793</v>
      </c>
      <c r="ML21" s="90">
        <f t="shared" ca="1" si="361"/>
        <v>237.43594606762221</v>
      </c>
      <c r="MM21" s="90">
        <f t="shared" ca="1" si="362"/>
        <v>89.76820513611284</v>
      </c>
      <c r="MN21" s="90">
        <f t="shared" ca="1" si="363"/>
        <v>197.40606707725968</v>
      </c>
      <c r="MO21" s="90">
        <f t="shared" ca="1" si="364"/>
        <v>123.07999436871025</v>
      </c>
      <c r="MP21" s="90">
        <f t="shared" ca="1" si="365"/>
        <v>144.33372968686345</v>
      </c>
      <c r="MQ21" s="90">
        <f t="shared" ca="1" si="366"/>
        <v>95.582289734773298</v>
      </c>
      <c r="MR21" s="90">
        <f t="shared" ca="1" si="367"/>
        <v>42.948706348774152</v>
      </c>
      <c r="MS21" s="90">
        <f t="shared" ca="1" si="368"/>
        <v>56.187671498593879</v>
      </c>
      <c r="MT21" s="90">
        <f t="shared" ca="1" si="369"/>
        <v>14.041916467696057</v>
      </c>
      <c r="MU21" s="90">
        <f t="shared" ca="1" si="370"/>
        <v>25.254259815814159</v>
      </c>
      <c r="MV21" s="90">
        <f t="shared" ca="1" si="371"/>
        <v>142.57037636282536</v>
      </c>
      <c r="MW21" s="90">
        <f t="shared" ca="1" si="372"/>
        <v>61.938448035455828</v>
      </c>
      <c r="MX21" s="90">
        <f t="shared" ca="1" si="373"/>
        <v>48.797378706327841</v>
      </c>
      <c r="MY21" s="90">
        <f t="shared" ca="1" si="374"/>
        <v>75.140521030051048</v>
      </c>
      <c r="MZ21" s="90">
        <f t="shared" ca="1" si="375"/>
        <v>349.03601333073664</v>
      </c>
      <c r="NA21" s="90">
        <f t="shared" ca="1" si="376"/>
        <v>104.6608430231681</v>
      </c>
      <c r="NB21" s="90">
        <f t="shared" ca="1" si="377"/>
        <v>77.149711687225235</v>
      </c>
      <c r="NC21" s="90">
        <f t="shared" ca="1" si="378"/>
        <v>9.8062003431712306</v>
      </c>
      <c r="ND21" s="90">
        <f t="shared" ca="1" si="379"/>
        <v>85.181899149210835</v>
      </c>
      <c r="NE21" s="90">
        <f t="shared" ca="1" si="380"/>
        <v>66.816261601889806</v>
      </c>
      <c r="NF21" s="90">
        <f t="shared" ca="1" si="381"/>
        <v>14.832562431733999</v>
      </c>
      <c r="NG21" s="90">
        <f t="shared" ca="1" si="382"/>
        <v>61.773979707656594</v>
      </c>
      <c r="NH21" s="90">
        <f t="shared" ca="1" si="383"/>
        <v>89.635412873078224</v>
      </c>
      <c r="NI21" s="90">
        <f t="shared" ca="1" si="384"/>
        <v>107.33548039604898</v>
      </c>
      <c r="NJ21" s="90">
        <f t="shared" ca="1" si="385"/>
        <v>166.10179130202468</v>
      </c>
      <c r="NK21" s="90">
        <f t="shared" ca="1" si="386"/>
        <v>75.976216750192776</v>
      </c>
      <c r="NL21" s="90">
        <f t="shared" ca="1" si="387"/>
        <v>385.42091758057086</v>
      </c>
      <c r="NM21" s="90">
        <f t="shared" ca="1" si="388"/>
        <v>86.549063060268097</v>
      </c>
      <c r="NN21" s="90">
        <f t="shared" ca="1" si="389"/>
        <v>12.486459324020338</v>
      </c>
      <c r="NO21" s="90">
        <f t="shared" ca="1" si="390"/>
        <v>116.2050432569194</v>
      </c>
      <c r="NP21" s="90">
        <f t="shared" ca="1" si="391"/>
        <v>88.969315703935408</v>
      </c>
      <c r="NQ21" s="90">
        <f t="shared" ca="1" si="392"/>
        <v>17.993095802565957</v>
      </c>
      <c r="NR21" s="90">
        <f t="shared" ca="1" si="393"/>
        <v>134.31179299231431</v>
      </c>
      <c r="NS21" s="90">
        <f t="shared" ca="1" si="394"/>
        <v>-33.644409816331795</v>
      </c>
      <c r="NT21" s="90">
        <f t="shared" ca="1" si="395"/>
        <v>-1.1163850141502341</v>
      </c>
      <c r="NU21" s="90">
        <f t="shared" ca="1" si="396"/>
        <v>30.142588488917944</v>
      </c>
      <c r="NV21" s="90">
        <f t="shared" ca="1" si="397"/>
        <v>35.091209291045182</v>
      </c>
      <c r="NW21" s="90">
        <f t="shared" ca="1" si="398"/>
        <v>106.87897821442374</v>
      </c>
      <c r="NX21" s="90">
        <f t="shared" ca="1" si="399"/>
        <v>128.55896081273085</v>
      </c>
      <c r="NY21" s="90">
        <f t="shared" ca="1" si="400"/>
        <v>-8.9264126804108308</v>
      </c>
      <c r="NZ21" s="90">
        <f t="shared" ca="1" si="401"/>
        <v>205.25095525265476</v>
      </c>
      <c r="OA21" s="90">
        <f t="shared" ca="1" si="402"/>
        <v>104.58170645144975</v>
      </c>
      <c r="OB21" s="90">
        <f t="shared" ca="1" si="403"/>
        <v>41.577635016858984</v>
      </c>
      <c r="OC21" s="90">
        <f t="shared" ca="1" si="404"/>
        <v>199.02847895179312</v>
      </c>
      <c r="OD21" s="90">
        <f t="shared" ca="1" si="405"/>
        <v>121.24903043979006</v>
      </c>
      <c r="OE21" s="90">
        <f t="shared" ca="1" si="406"/>
        <v>64.85988906322828</v>
      </c>
      <c r="OF21" s="90">
        <f t="shared" ca="1" si="407"/>
        <v>20.252898532488551</v>
      </c>
      <c r="OG21" s="90">
        <f t="shared" ca="1" si="408"/>
        <v>51.743631223264934</v>
      </c>
      <c r="OH21" s="90">
        <f t="shared" ca="1" si="409"/>
        <v>67.552191758869512</v>
      </c>
      <c r="OI21" s="90">
        <f t="shared" ca="1" si="410"/>
        <v>71.566753036053214</v>
      </c>
      <c r="OJ21" s="90">
        <f t="shared" ca="1" si="411"/>
        <v>-4.1722258699506289</v>
      </c>
      <c r="OK21" s="90">
        <f t="shared" ca="1" si="412"/>
        <v>89.426999726422338</v>
      </c>
      <c r="OL21" s="90">
        <f t="shared" ca="1" si="413"/>
        <v>135.08561022834559</v>
      </c>
      <c r="OM21" s="90">
        <f t="shared" ca="1" si="414"/>
        <v>113.89562814501203</v>
      </c>
      <c r="ON21" s="90">
        <f t="shared" ca="1" si="415"/>
        <v>75.860784480692729</v>
      </c>
      <c r="OO21" s="90">
        <f t="shared" ca="1" si="416"/>
        <v>69.19777098767004</v>
      </c>
      <c r="OP21" s="90">
        <f t="shared" ca="1" si="417"/>
        <v>14.825402875939252</v>
      </c>
      <c r="OQ21" s="90">
        <f t="shared" ca="1" si="418"/>
        <v>134.82957563637405</v>
      </c>
      <c r="OR21" s="90">
        <f t="shared" ca="1" si="419"/>
        <v>167.65675059633978</v>
      </c>
      <c r="OS21" s="90">
        <f t="shared" ca="1" si="420"/>
        <v>140.60660259661631</v>
      </c>
      <c r="OT21" s="90">
        <f t="shared" ca="1" si="421"/>
        <v>98.754836353073586</v>
      </c>
      <c r="OU21" s="90">
        <f t="shared" ca="1" si="422"/>
        <v>146.38786295424381</v>
      </c>
      <c r="OV21" s="90">
        <f t="shared" ca="1" si="423"/>
        <v>112.73357583438374</v>
      </c>
      <c r="OW21" s="90">
        <f t="shared" ca="1" si="424"/>
        <v>139.3886832085698</v>
      </c>
      <c r="OX21" s="90">
        <f t="shared" ca="1" si="425"/>
        <v>23.488864994204445</v>
      </c>
      <c r="OY21" s="90">
        <f t="shared" ca="1" si="426"/>
        <v>34.254773112684283</v>
      </c>
      <c r="OZ21" s="90">
        <f t="shared" ca="1" si="427"/>
        <v>38.072498301206188</v>
      </c>
      <c r="PA21" s="90">
        <f t="shared" ca="1" si="428"/>
        <v>69.674093567161819</v>
      </c>
      <c r="PB21" s="90">
        <f t="shared" ca="1" si="429"/>
        <v>142.04088278530236</v>
      </c>
      <c r="PC21" s="90">
        <f t="shared" ca="1" si="430"/>
        <v>14.311775167953712</v>
      </c>
      <c r="PD21" s="90">
        <f t="shared" ca="1" si="431"/>
        <v>75.639407782664165</v>
      </c>
      <c r="PE21" s="90">
        <f t="shared" ca="1" si="432"/>
        <v>203.48841832776608</v>
      </c>
      <c r="PF21" s="90">
        <f t="shared" ca="1" si="433"/>
        <v>85.426298938867845</v>
      </c>
      <c r="PG21" s="90">
        <f t="shared" ca="1" si="434"/>
        <v>22.798147444170723</v>
      </c>
      <c r="PH21" s="90">
        <f t="shared" ca="1" si="435"/>
        <v>58.021784666007491</v>
      </c>
      <c r="PI21" s="90">
        <f t="shared" ca="1" si="436"/>
        <v>25.610513437223243</v>
      </c>
      <c r="PJ21" s="90">
        <f t="shared" ca="1" si="437"/>
        <v>158.56645109476619</v>
      </c>
      <c r="PK21" s="90">
        <f t="shared" ca="1" si="438"/>
        <v>52.101634369872514</v>
      </c>
      <c r="PL21" s="90">
        <f t="shared" ca="1" si="439"/>
        <v>105.57449745360024</v>
      </c>
      <c r="PM21" s="90">
        <f t="shared" ca="1" si="440"/>
        <v>143.22697108850244</v>
      </c>
      <c r="PN21" s="90">
        <f t="shared" ca="1" si="441"/>
        <v>11.677201765195148</v>
      </c>
      <c r="PO21" s="90">
        <f t="shared" ca="1" si="442"/>
        <v>150.8478902109203</v>
      </c>
      <c r="PP21" s="90">
        <f t="shared" ca="1" si="443"/>
        <v>40.218692522471272</v>
      </c>
      <c r="PQ21" s="90">
        <f t="shared" ca="1" si="444"/>
        <v>206.44716250076334</v>
      </c>
      <c r="PR21" s="90">
        <f t="shared" ca="1" si="445"/>
        <v>48.623335150847737</v>
      </c>
      <c r="PS21" s="90">
        <f t="shared" ca="1" si="446"/>
        <v>128.18581122345347</v>
      </c>
      <c r="PT21" s="90">
        <f t="shared" ca="1" si="447"/>
        <v>122.76308521178687</v>
      </c>
      <c r="PU21" s="90">
        <f t="shared" ca="1" si="448"/>
        <v>14.42835878869589</v>
      </c>
      <c r="PV21" s="90">
        <f t="shared" ca="1" si="449"/>
        <v>42.985223217573036</v>
      </c>
      <c r="PW21" s="90">
        <f t="shared" ca="1" si="450"/>
        <v>181.54596139782967</v>
      </c>
      <c r="PX21" s="90">
        <f t="shared" ca="1" si="451"/>
        <v>94.314561425832053</v>
      </c>
      <c r="PY21" s="90">
        <f t="shared" ca="1" si="452"/>
        <v>133.20961996134892</v>
      </c>
      <c r="PZ21" s="90">
        <f t="shared" ca="1" si="453"/>
        <v>23.800082044230376</v>
      </c>
      <c r="QA21" s="90">
        <f t="shared" ca="1" si="454"/>
        <v>95.385839983294659</v>
      </c>
      <c r="QB21" s="90">
        <f t="shared" ca="1" si="455"/>
        <v>76.446076672946106</v>
      </c>
      <c r="QC21" s="90">
        <f t="shared" ca="1" si="456"/>
        <v>53.622654792564425</v>
      </c>
      <c r="QD21" s="90">
        <f t="shared" ca="1" si="457"/>
        <v>100.4439580634813</v>
      </c>
      <c r="QE21" s="90">
        <f t="shared" ca="1" si="458"/>
        <v>68.108692627488082</v>
      </c>
      <c r="QF21" s="90">
        <f t="shared" ca="1" si="459"/>
        <v>83.113592539302005</v>
      </c>
      <c r="QG21" s="90">
        <f t="shared" ca="1" si="460"/>
        <v>40.142963519958002</v>
      </c>
      <c r="QH21" s="90">
        <f t="shared" ca="1" si="461"/>
        <v>82.672229296237489</v>
      </c>
      <c r="QI21" s="90">
        <f t="shared" ca="1" si="462"/>
        <v>69.338211158500272</v>
      </c>
      <c r="QJ21" s="90">
        <f t="shared" ca="1" si="463"/>
        <v>75.766701628480092</v>
      </c>
      <c r="QK21" s="90">
        <f t="shared" ca="1" si="464"/>
        <v>115.78974870793148</v>
      </c>
      <c r="QL21" s="90">
        <f t="shared" ca="1" si="465"/>
        <v>106.66365940489143</v>
      </c>
      <c r="QM21" s="90">
        <f t="shared" ca="1" si="466"/>
        <v>60.978074358810581</v>
      </c>
      <c r="QN21" s="90">
        <f t="shared" ca="1" si="467"/>
        <v>24.536708322930981</v>
      </c>
      <c r="QO21" s="90">
        <f t="shared" ca="1" si="468"/>
        <v>95.951976394381816</v>
      </c>
      <c r="QP21" s="90">
        <f t="shared" ca="1" si="469"/>
        <v>94.683790140487858</v>
      </c>
      <c r="QQ21" s="90">
        <f t="shared" ca="1" si="470"/>
        <v>136.13801271855729</v>
      </c>
      <c r="QR21" s="90">
        <f t="shared" ca="1" si="471"/>
        <v>180.48790985383661</v>
      </c>
      <c r="QS21" s="90">
        <f t="shared" ca="1" si="472"/>
        <v>227.17251616202424</v>
      </c>
      <c r="QT21" s="90">
        <f t="shared" ca="1" si="473"/>
        <v>160.66396756796831</v>
      </c>
      <c r="QU21" s="90">
        <f t="shared" ca="1" si="474"/>
        <v>156.16762873212551</v>
      </c>
      <c r="QV21" s="90">
        <f t="shared" ca="1" si="475"/>
        <v>148.02449973647717</v>
      </c>
      <c r="QW21" s="90">
        <f t="shared" ca="1" si="476"/>
        <v>91.400297035707851</v>
      </c>
      <c r="QX21" s="90">
        <f t="shared" ca="1" si="477"/>
        <v>46.04460700430819</v>
      </c>
      <c r="QY21" s="90">
        <f t="shared" ca="1" si="478"/>
        <v>121.8842544598798</v>
      </c>
      <c r="QZ21" s="90">
        <f t="shared" ca="1" si="479"/>
        <v>48.106516335535261</v>
      </c>
      <c r="RA21" s="90">
        <f t="shared" ca="1" si="480"/>
        <v>233.30926913377743</v>
      </c>
      <c r="RB21" s="90">
        <f t="shared" ca="1" si="481"/>
        <v>57.341026602118738</v>
      </c>
      <c r="RC21" s="90">
        <f t="shared" ca="1" si="482"/>
        <v>138.97802899947274</v>
      </c>
      <c r="RD21" s="90">
        <f t="shared" ca="1" si="483"/>
        <v>-5.9942914607833586</v>
      </c>
      <c r="RE21" s="90">
        <f t="shared" ca="1" si="484"/>
        <v>55.190616698570921</v>
      </c>
      <c r="RF21" s="90">
        <f t="shared" ca="1" si="485"/>
        <v>266.57712006589935</v>
      </c>
      <c r="RG21" s="90">
        <f t="shared" ca="1" si="486"/>
        <v>39.882908107455428</v>
      </c>
      <c r="RH21" s="90">
        <f t="shared" ca="1" si="487"/>
        <v>95.593538225534161</v>
      </c>
      <c r="RI21" s="90">
        <f t="shared" ca="1" si="488"/>
        <v>90.576102453391854</v>
      </c>
      <c r="RJ21" s="90">
        <f t="shared" ca="1" si="489"/>
        <v>49.695604232951673</v>
      </c>
      <c r="RK21" s="90">
        <f t="shared" ca="1" si="490"/>
        <v>6.9634052580145136</v>
      </c>
      <c r="RL21" s="90">
        <f t="shared" ca="1" si="491"/>
        <v>4.9443773171003809</v>
      </c>
      <c r="RM21" s="90">
        <f t="shared" ca="1" si="492"/>
        <v>41.6422287304866</v>
      </c>
      <c r="RN21" s="90">
        <f t="shared" ca="1" si="493"/>
        <v>115.08000912268996</v>
      </c>
      <c r="RO21" s="90">
        <f t="shared" ca="1" si="494"/>
        <v>73.668075770378209</v>
      </c>
      <c r="RP21" s="90">
        <f t="shared" ca="1" si="495"/>
        <v>154.35490185090103</v>
      </c>
      <c r="RQ21" s="90">
        <f t="shared" ca="1" si="496"/>
        <v>123.68455149887738</v>
      </c>
      <c r="RR21" s="90">
        <f t="shared" ca="1" si="497"/>
        <v>38.170425656041949</v>
      </c>
      <c r="RS21" s="90">
        <f t="shared" ca="1" si="498"/>
        <v>102.58458002857773</v>
      </c>
      <c r="RT21" s="90">
        <f t="shared" ca="1" si="499"/>
        <v>71.045881260146757</v>
      </c>
      <c r="RU21" s="90">
        <f t="shared" ca="1" si="500"/>
        <v>104.45696622753704</v>
      </c>
      <c r="RV21" s="90">
        <f t="shared" ca="1" si="501"/>
        <v>131.22335946663688</v>
      </c>
      <c r="RW21" s="90">
        <f t="shared" ca="1" si="502"/>
        <v>110.904236082669</v>
      </c>
      <c r="RX21" s="90">
        <f t="shared" ca="1" si="503"/>
        <v>51.793781517211521</v>
      </c>
      <c r="RY21" s="90">
        <f t="shared" ca="1" si="504"/>
        <v>31.353527961752157</v>
      </c>
      <c r="RZ21" s="90">
        <f t="shared" ca="1" si="505"/>
        <v>15.578933121657121</v>
      </c>
      <c r="SA21" s="90">
        <f t="shared" ca="1" si="506"/>
        <v>162.75820782252546</v>
      </c>
      <c r="SB21" s="90">
        <f t="shared" ca="1" si="507"/>
        <v>95.283684124019459</v>
      </c>
      <c r="SC21" s="90">
        <f t="shared" ca="1" si="508"/>
        <v>53.067780777965986</v>
      </c>
      <c r="SD21" s="90">
        <f t="shared" ca="1" si="509"/>
        <v>16.569582133151155</v>
      </c>
      <c r="SE21" s="90">
        <f t="shared" ca="1" si="510"/>
        <v>6.1883225944299429</v>
      </c>
      <c r="SF21" s="90">
        <f t="shared" ca="1" si="511"/>
        <v>39.716423119650543</v>
      </c>
      <c r="SG21" s="90">
        <f t="shared" ca="1" si="512"/>
        <v>236.80239387567531</v>
      </c>
      <c r="SH21" s="90">
        <f t="shared" ca="1" si="513"/>
        <v>226.27886117216366</v>
      </c>
      <c r="SI21" s="90">
        <f t="shared" ca="1" si="514"/>
        <v>64.071781599135761</v>
      </c>
      <c r="SJ21" s="90">
        <f t="shared" ca="1" si="515"/>
        <v>29.968831258509994</v>
      </c>
      <c r="SK21" s="90">
        <f t="shared" ca="1" si="516"/>
        <v>126.69837087777888</v>
      </c>
      <c r="SL21" s="90">
        <f t="shared" ca="1" si="517"/>
        <v>30.738334658801516</v>
      </c>
      <c r="SM21" s="90">
        <f t="shared" ca="1" si="518"/>
        <v>36.046118264315481</v>
      </c>
      <c r="SN21" s="90">
        <f t="shared" ca="1" si="519"/>
        <v>66.781440709383332</v>
      </c>
      <c r="SO21" s="90">
        <f t="shared" ca="1" si="520"/>
        <v>96.864112867537756</v>
      </c>
      <c r="SP21" s="90">
        <f t="shared" ca="1" si="521"/>
        <v>91.935195566924719</v>
      </c>
      <c r="SQ21" s="90">
        <f t="shared" ca="1" si="522"/>
        <v>74.781399712331066</v>
      </c>
      <c r="SR21" s="90">
        <f t="shared" ca="1" si="523"/>
        <v>31.183239286002863</v>
      </c>
      <c r="SS21" s="90">
        <f t="shared" ca="1" si="524"/>
        <v>24.759880437202</v>
      </c>
      <c r="ST21" s="90">
        <f t="shared" ca="1" si="525"/>
        <v>131.50392254538897</v>
      </c>
      <c r="SU21" s="90">
        <f t="shared" ca="1" si="526"/>
        <v>171.46522834611224</v>
      </c>
      <c r="SV21" s="90">
        <f t="shared" ca="1" si="527"/>
        <v>52.793051525081218</v>
      </c>
      <c r="SW21" s="90">
        <f t="shared" ca="1" si="528"/>
        <v>194.4265844142395</v>
      </c>
      <c r="SX21" s="90">
        <f t="shared" ca="1" si="529"/>
        <v>102.58028571323224</v>
      </c>
      <c r="SY21" s="90">
        <f t="shared" ca="1" si="530"/>
        <v>58.430789409403289</v>
      </c>
      <c r="SZ21" s="90">
        <f t="shared" ca="1" si="531"/>
        <v>17.00001647281379</v>
      </c>
      <c r="TA21" s="90">
        <f t="shared" ca="1" si="532"/>
        <v>76.013420336411897</v>
      </c>
      <c r="TB21" s="90">
        <f t="shared" ca="1" si="533"/>
        <v>152.10473732444265</v>
      </c>
      <c r="TC21" s="90">
        <f t="shared" ca="1" si="534"/>
        <v>82.424375695729339</v>
      </c>
      <c r="TD21" s="90">
        <f t="shared" ca="1" si="535"/>
        <v>83.104804520725523</v>
      </c>
      <c r="TE21" s="90">
        <f t="shared" ca="1" si="536"/>
        <v>56.967946184278333</v>
      </c>
      <c r="TF21" s="90">
        <f t="shared" ca="1" si="537"/>
        <v>9.6654200639605694</v>
      </c>
      <c r="TG21" s="90">
        <f t="shared" ca="1" si="538"/>
        <v>78.756603694631636</v>
      </c>
      <c r="TH21" s="90">
        <f t="shared" ca="1" si="539"/>
        <v>49.960698948632164</v>
      </c>
      <c r="TI21" s="90">
        <f t="shared" ca="1" si="540"/>
        <v>102.91481965622845</v>
      </c>
      <c r="TJ21" s="90">
        <f t="shared" ca="1" si="541"/>
        <v>104.37674208105827</v>
      </c>
      <c r="TK21" s="90">
        <f t="shared" ca="1" si="542"/>
        <v>36.921190472639616</v>
      </c>
      <c r="TL21" s="90">
        <f t="shared" ca="1" si="543"/>
        <v>17.972833071024997</v>
      </c>
      <c r="TM21" s="90">
        <f t="shared" ca="1" si="544"/>
        <v>83.842784027745793</v>
      </c>
      <c r="TN21" s="90">
        <f t="shared" ca="1" si="545"/>
        <v>8.7440615545257341</v>
      </c>
      <c r="TO21" s="90">
        <f t="shared" ca="1" si="546"/>
        <v>96.577922915195529</v>
      </c>
      <c r="TP21" s="90">
        <f t="shared" ca="1" si="547"/>
        <v>28.332013024115842</v>
      </c>
      <c r="TQ21" s="90">
        <f t="shared" ca="1" si="548"/>
        <v>169.52612650000353</v>
      </c>
      <c r="TR21" s="90">
        <f t="shared" ca="1" si="549"/>
        <v>49.182886617800747</v>
      </c>
      <c r="TS21" s="90">
        <f t="shared" ca="1" si="550"/>
        <v>64.055657330659358</v>
      </c>
      <c r="TT21" s="90">
        <f t="shared" ca="1" si="551"/>
        <v>141.90240455397497</v>
      </c>
      <c r="TU21" s="90">
        <f t="shared" ca="1" si="552"/>
        <v>72.978330272330126</v>
      </c>
      <c r="TV21" s="90">
        <f t="shared" ca="1" si="553"/>
        <v>71.230336347278239</v>
      </c>
      <c r="TW21" s="90">
        <f t="shared" ca="1" si="554"/>
        <v>75.439877093787317</v>
      </c>
      <c r="TX21" s="90">
        <f t="shared" ca="1" si="555"/>
        <v>54.997273375230684</v>
      </c>
      <c r="TY21" s="90">
        <f t="shared" ca="1" si="556"/>
        <v>168.53947292572082</v>
      </c>
      <c r="TZ21" s="90">
        <f t="shared" ca="1" si="557"/>
        <v>59.813204847817786</v>
      </c>
      <c r="UA21" s="90">
        <f t="shared" ca="1" si="558"/>
        <v>80.797354569713107</v>
      </c>
      <c r="UB21" s="90">
        <f t="shared" ca="1" si="559"/>
        <v>27.000091402309522</v>
      </c>
      <c r="UC21" s="90">
        <f t="shared" ca="1" si="560"/>
        <v>42.230523654411975</v>
      </c>
      <c r="UD21" s="90">
        <f t="shared" ca="1" si="561"/>
        <v>155.10321730672692</v>
      </c>
      <c r="UE21" s="90">
        <f t="shared" ca="1" si="562"/>
        <v>146.64328324043677</v>
      </c>
      <c r="UF21" s="90">
        <f t="shared" ca="1" si="563"/>
        <v>66.58017006880749</v>
      </c>
      <c r="UG21" s="90">
        <f t="shared" ca="1" si="564"/>
        <v>42.316343807808323</v>
      </c>
      <c r="UH21" s="90">
        <f t="shared" ca="1" si="565"/>
        <v>84.035228042185665</v>
      </c>
      <c r="UI21" s="90">
        <f t="shared" ca="1" si="566"/>
        <v>204.97351626741025</v>
      </c>
      <c r="UJ21" s="90">
        <f t="shared" ca="1" si="567"/>
        <v>132.860583271987</v>
      </c>
      <c r="UK21" s="90">
        <f t="shared" ca="1" si="568"/>
        <v>10.60025813001706</v>
      </c>
      <c r="UL21" s="90">
        <f t="shared" ca="1" si="569"/>
        <v>44.179181134930339</v>
      </c>
      <c r="UM21" s="90">
        <f t="shared" ca="1" si="570"/>
        <v>19.600150693832177</v>
      </c>
      <c r="UN21" s="90">
        <f t="shared" ca="1" si="571"/>
        <v>126.59946643777288</v>
      </c>
      <c r="UO21" s="90">
        <f t="shared" ca="1" si="572"/>
        <v>109.83982588697143</v>
      </c>
      <c r="UP21" s="90">
        <f t="shared" ca="1" si="573"/>
        <v>92.989960520369479</v>
      </c>
      <c r="UQ21" s="90">
        <f t="shared" ca="1" si="574"/>
        <v>99.560492856857763</v>
      </c>
      <c r="UR21" s="90">
        <f t="shared" ca="1" si="575"/>
        <v>92.660211947475986</v>
      </c>
      <c r="US21" s="90">
        <f t="shared" ca="1" si="576"/>
        <v>31.304256113548689</v>
      </c>
      <c r="UT21" s="90">
        <f t="shared" ca="1" si="577"/>
        <v>165.34466343095022</v>
      </c>
      <c r="UU21" s="90">
        <f t="shared" ca="1" si="578"/>
        <v>2.3176713779800946</v>
      </c>
      <c r="UV21" s="90">
        <f t="shared" ca="1" si="579"/>
        <v>119.16800741860074</v>
      </c>
      <c r="UW21" s="90">
        <f t="shared" ca="1" si="580"/>
        <v>116.28504189401319</v>
      </c>
      <c r="UX21" s="90">
        <f t="shared" ca="1" si="581"/>
        <v>55.996399541515949</v>
      </c>
      <c r="UY21" s="90">
        <f t="shared" ca="1" si="582"/>
        <v>301.43071038953929</v>
      </c>
      <c r="UZ21" s="90">
        <f t="shared" ca="1" si="583"/>
        <v>118.33328844189519</v>
      </c>
      <c r="VA21" s="90">
        <f t="shared" ca="1" si="584"/>
        <v>67.802432977792478</v>
      </c>
      <c r="VB21" s="90">
        <f t="shared" ca="1" si="585"/>
        <v>50.02259938167434</v>
      </c>
      <c r="VC21" s="90">
        <f t="shared" ca="1" si="586"/>
        <v>184.74545898940798</v>
      </c>
      <c r="VD21" s="90">
        <f t="shared" ca="1" si="587"/>
        <v>8.0674807226018501</v>
      </c>
      <c r="VE21" s="90">
        <f t="shared" ca="1" si="588"/>
        <v>272.69080064890136</v>
      </c>
      <c r="VF21" s="90">
        <f t="shared" ca="1" si="589"/>
        <v>11.189815610085907</v>
      </c>
      <c r="VG21" s="90">
        <f t="shared" ca="1" si="590"/>
        <v>76.441103957490171</v>
      </c>
      <c r="VH21" s="90">
        <f t="shared" ca="1" si="591"/>
        <v>64.340353063527047</v>
      </c>
      <c r="VI21" s="90">
        <f t="shared" ca="1" si="592"/>
        <v>51.381835426375375</v>
      </c>
      <c r="VJ21" s="90">
        <f t="shared" ca="1" si="593"/>
        <v>53.55004712691705</v>
      </c>
      <c r="VK21" s="90">
        <f t="shared" ca="1" si="594"/>
        <v>10.612854598965349</v>
      </c>
      <c r="VL21" s="90">
        <f t="shared" ca="1" si="595"/>
        <v>46.204631008951829</v>
      </c>
      <c r="VM21" s="90">
        <f t="shared" ca="1" si="596"/>
        <v>96.162908692760709</v>
      </c>
      <c r="VN21" s="90">
        <f t="shared" ca="1" si="597"/>
        <v>111.87573849275964</v>
      </c>
      <c r="VO21" s="90">
        <f t="shared" ca="1" si="598"/>
        <v>36.923249092565257</v>
      </c>
      <c r="VP21" s="90">
        <f t="shared" ca="1" si="599"/>
        <v>13.770206933631501</v>
      </c>
      <c r="VQ21" s="90">
        <f t="shared" ca="1" si="600"/>
        <v>53.957056343820859</v>
      </c>
      <c r="VR21" s="90">
        <f t="shared" ca="1" si="601"/>
        <v>39.747272789656279</v>
      </c>
      <c r="VS21" s="90">
        <f t="shared" ca="1" si="602"/>
        <v>11.004425595333506</v>
      </c>
      <c r="VT21" s="90">
        <f t="shared" ca="1" si="603"/>
        <v>48.756386614141846</v>
      </c>
      <c r="VU21" s="90">
        <f t="shared" ca="1" si="604"/>
        <v>100.02447923316912</v>
      </c>
      <c r="VV21" s="90">
        <f t="shared" ca="1" si="605"/>
        <v>41.132764279056843</v>
      </c>
      <c r="VW21" s="90">
        <f t="shared" ca="1" si="606"/>
        <v>35.84949063415938</v>
      </c>
      <c r="VX21" s="90">
        <f t="shared" ca="1" si="607"/>
        <v>115.69967696713543</v>
      </c>
      <c r="VY21" s="90">
        <f t="shared" ca="1" si="608"/>
        <v>153.17213087666454</v>
      </c>
      <c r="VZ21" s="90">
        <f t="shared" ca="1" si="609"/>
        <v>186.49591238296154</v>
      </c>
      <c r="WA21" s="90">
        <f t="shared" ca="1" si="610"/>
        <v>117.69863920324522</v>
      </c>
      <c r="WB21" s="90">
        <f t="shared" ca="1" si="611"/>
        <v>206.80261260891419</v>
      </c>
      <c r="WC21" s="90">
        <f t="shared" ca="1" si="612"/>
        <v>206.59815458262085</v>
      </c>
      <c r="WD21" s="90">
        <f t="shared" ca="1" si="613"/>
        <v>87.988277308331931</v>
      </c>
      <c r="WE21" s="90">
        <f t="shared" ca="1" si="614"/>
        <v>102.82887489140859</v>
      </c>
      <c r="WF21" s="90">
        <f t="shared" ca="1" si="615"/>
        <v>16.652779639320872</v>
      </c>
      <c r="WG21" s="90">
        <f t="shared" ca="1" si="616"/>
        <v>128.25103631613902</v>
      </c>
      <c r="WH21" s="90">
        <f t="shared" ca="1" si="617"/>
        <v>101.75259706712457</v>
      </c>
      <c r="WI21" s="90">
        <f t="shared" ca="1" si="618"/>
        <v>55.124292907641454</v>
      </c>
      <c r="WJ21" s="90">
        <f t="shared" ca="1" si="619"/>
        <v>40.956077473232874</v>
      </c>
      <c r="WK21" s="90">
        <f t="shared" ca="1" si="620"/>
        <v>74.920212913397137</v>
      </c>
      <c r="WL21" s="90">
        <f t="shared" ca="1" si="621"/>
        <v>96.347425943888624</v>
      </c>
      <c r="WM21" s="90">
        <f t="shared" ca="1" si="622"/>
        <v>40.097293832686965</v>
      </c>
      <c r="WN21" s="90">
        <f t="shared" ca="1" si="623"/>
        <v>31.158684379353527</v>
      </c>
      <c r="WO21" s="90">
        <f t="shared" ca="1" si="624"/>
        <v>62.501039992966206</v>
      </c>
      <c r="WP21" s="90">
        <f t="shared" ca="1" si="625"/>
        <v>74.489832198765612</v>
      </c>
      <c r="WQ21" s="90">
        <f t="shared" ca="1" si="626"/>
        <v>85.187594708249478</v>
      </c>
      <c r="WR21" s="90">
        <f t="shared" ca="1" si="627"/>
        <v>32.670081327178849</v>
      </c>
      <c r="WS21" s="90">
        <f t="shared" ca="1" si="628"/>
        <v>18.73230597002452</v>
      </c>
      <c r="WT21" s="90">
        <f t="shared" ca="1" si="629"/>
        <v>56.97336154447396</v>
      </c>
      <c r="WU21" s="90">
        <f t="shared" ca="1" si="630"/>
        <v>92.367114794333219</v>
      </c>
      <c r="WV21" s="90">
        <f t="shared" ca="1" si="631"/>
        <v>333.69201944630765</v>
      </c>
      <c r="WW21" s="90">
        <f t="shared" ca="1" si="632"/>
        <v>76.56137277122896</v>
      </c>
      <c r="WX21" s="90">
        <f t="shared" ca="1" si="633"/>
        <v>153.11921732952388</v>
      </c>
      <c r="WY21" s="90">
        <f t="shared" ca="1" si="634"/>
        <v>298.72840290012761</v>
      </c>
      <c r="WZ21" s="90">
        <f t="shared" ca="1" si="635"/>
        <v>22.019931504985685</v>
      </c>
      <c r="XA21" s="90">
        <f t="shared" ca="1" si="636"/>
        <v>134.7753345750306</v>
      </c>
      <c r="XB21" s="90">
        <f t="shared" ca="1" si="637"/>
        <v>34.024793111363735</v>
      </c>
      <c r="XC21" s="90">
        <f t="shared" ca="1" si="638"/>
        <v>95.346334367099743</v>
      </c>
      <c r="XD21" s="90">
        <f t="shared" ca="1" si="639"/>
        <v>103.28723717794043</v>
      </c>
      <c r="XE21" s="90">
        <f t="shared" ca="1" si="640"/>
        <v>106.07269061691026</v>
      </c>
      <c r="XF21" s="90">
        <f t="shared" ca="1" si="641"/>
        <v>20.004314464366498</v>
      </c>
      <c r="XG21" s="90">
        <f t="shared" ca="1" si="642"/>
        <v>165.37736683978062</v>
      </c>
      <c r="XH21" s="90">
        <f t="shared" ca="1" si="643"/>
        <v>104.02837789345678</v>
      </c>
      <c r="XI21" s="90">
        <f t="shared" ca="1" si="644"/>
        <v>62.05747874166272</v>
      </c>
      <c r="XJ21" s="90">
        <f t="shared" ca="1" si="645"/>
        <v>13.282250636317951</v>
      </c>
      <c r="XK21" s="90">
        <f t="shared" ca="1" si="646"/>
        <v>128.43114916455704</v>
      </c>
      <c r="XL21" s="90">
        <f t="shared" ca="1" si="647"/>
        <v>90.935214752613604</v>
      </c>
      <c r="XM21" s="90">
        <f t="shared" ca="1" si="648"/>
        <v>32.01040577055759</v>
      </c>
      <c r="XN21" s="90">
        <f t="shared" ca="1" si="649"/>
        <v>56.649780788521618</v>
      </c>
      <c r="XO21" s="90">
        <f t="shared" ca="1" si="650"/>
        <v>82.94003030039309</v>
      </c>
      <c r="XP21" s="90">
        <f t="shared" ca="1" si="651"/>
        <v>13.32936478485534</v>
      </c>
      <c r="XQ21" s="90">
        <f t="shared" ca="1" si="652"/>
        <v>36.627657979186331</v>
      </c>
      <c r="XR21" s="90">
        <f t="shared" ca="1" si="653"/>
        <v>43.485285199416872</v>
      </c>
      <c r="XS21" s="90">
        <f t="shared" ca="1" si="654"/>
        <v>45.791432750673415</v>
      </c>
      <c r="XT21" s="90">
        <f t="shared" ca="1" si="655"/>
        <v>102.58602707530174</v>
      </c>
      <c r="XU21" s="90">
        <f t="shared" ca="1" si="656"/>
        <v>43.21461364500459</v>
      </c>
      <c r="XV21" s="90">
        <f t="shared" ca="1" si="657"/>
        <v>13.370022420517968</v>
      </c>
      <c r="XW21" s="90">
        <f t="shared" ca="1" si="658"/>
        <v>121.05331583529029</v>
      </c>
      <c r="XX21" s="90">
        <f t="shared" ca="1" si="659"/>
        <v>8.5504248788524357</v>
      </c>
      <c r="XY21" s="90">
        <f t="shared" ca="1" si="660"/>
        <v>53.456969904080637</v>
      </c>
      <c r="XZ21" s="90">
        <f t="shared" ca="1" si="661"/>
        <v>104.71396254573703</v>
      </c>
      <c r="YA21" s="90">
        <f t="shared" ca="1" si="662"/>
        <v>106.28942930762946</v>
      </c>
      <c r="YB21" s="90">
        <f t="shared" ca="1" si="663"/>
        <v>146.09718644047172</v>
      </c>
      <c r="YC21" s="90">
        <f t="shared" ca="1" si="664"/>
        <v>109.88926165093274</v>
      </c>
      <c r="YD21" s="90">
        <f t="shared" ca="1" si="665"/>
        <v>69.235368118038082</v>
      </c>
      <c r="YE21" s="90">
        <f t="shared" ca="1" si="666"/>
        <v>208.14017680669718</v>
      </c>
      <c r="YF21" s="90">
        <f t="shared" ca="1" si="667"/>
        <v>1.1533814173090677</v>
      </c>
      <c r="YG21" s="90">
        <f t="shared" ca="1" si="668"/>
        <v>32.937592728322421</v>
      </c>
      <c r="YH21" s="90">
        <f t="shared" ca="1" si="669"/>
        <v>105.59105706189459</v>
      </c>
      <c r="YI21" s="90">
        <f t="shared" ca="1" si="670"/>
        <v>37.66202272462526</v>
      </c>
      <c r="YJ21" s="90">
        <f t="shared" ca="1" si="671"/>
        <v>127.68977568515142</v>
      </c>
      <c r="YK21" s="90">
        <f t="shared" ca="1" si="672"/>
        <v>117.07092512818873</v>
      </c>
      <c r="YL21" s="90">
        <f t="shared" ca="1" si="673"/>
        <v>146.96809666969895</v>
      </c>
      <c r="YM21" s="90">
        <f t="shared" ca="1" si="674"/>
        <v>23.722032202151212</v>
      </c>
      <c r="YN21" s="90">
        <f t="shared" ca="1" si="675"/>
        <v>46.949775019926541</v>
      </c>
      <c r="YO21" s="90">
        <f t="shared" ca="1" si="676"/>
        <v>7.9326807779728696</v>
      </c>
      <c r="YP21" s="90">
        <f t="shared" ca="1" si="677"/>
        <v>172.2438849183724</v>
      </c>
      <c r="YQ21" s="90">
        <f t="shared" ca="1" si="678"/>
        <v>153.69547290987578</v>
      </c>
      <c r="YR21" s="90">
        <f t="shared" ca="1" si="679"/>
        <v>1.6770362422740779</v>
      </c>
      <c r="YS21" s="90">
        <f t="shared" ca="1" si="680"/>
        <v>202.81619221992673</v>
      </c>
      <c r="YT21" s="90">
        <f t="shared" ca="1" si="681"/>
        <v>77.101125680860804</v>
      </c>
      <c r="YU21" s="90">
        <f t="shared" ca="1" si="682"/>
        <v>154.28214645715025</v>
      </c>
      <c r="YV21" s="90">
        <f t="shared" ca="1" si="683"/>
        <v>66.941551063764365</v>
      </c>
      <c r="YW21" s="90">
        <f t="shared" ca="1" si="684"/>
        <v>39.257614464133731</v>
      </c>
      <c r="YX21" s="90">
        <f t="shared" ca="1" si="685"/>
        <v>61.179076105514547</v>
      </c>
      <c r="YY21" s="90">
        <f t="shared" ca="1" si="686"/>
        <v>83.347989776229625</v>
      </c>
      <c r="YZ21" s="90">
        <f t="shared" ca="1" si="687"/>
        <v>82.028130275797949</v>
      </c>
      <c r="ZA21" s="90">
        <f t="shared" ca="1" si="688"/>
        <v>98.619316288308653</v>
      </c>
      <c r="ZB21" s="90">
        <f t="shared" ca="1" si="689"/>
        <v>156.27810047766511</v>
      </c>
      <c r="ZC21" s="90">
        <f t="shared" ca="1" si="690"/>
        <v>141.67094207378736</v>
      </c>
      <c r="ZD21" s="90">
        <f t="shared" ca="1" si="691"/>
        <v>205.61312342072716</v>
      </c>
      <c r="ZE21" s="90">
        <f t="shared" ca="1" si="692"/>
        <v>51.629571778568092</v>
      </c>
      <c r="ZF21" s="90">
        <f t="shared" ca="1" si="693"/>
        <v>109.86812302665575</v>
      </c>
      <c r="ZG21" s="90">
        <f t="shared" ca="1" si="694"/>
        <v>110.27677024513048</v>
      </c>
      <c r="ZH21" s="90">
        <f t="shared" ca="1" si="695"/>
        <v>237.60210504905558</v>
      </c>
      <c r="ZI21" s="90">
        <f t="shared" ca="1" si="696"/>
        <v>77.474144395643876</v>
      </c>
      <c r="ZJ21" s="90">
        <f t="shared" ca="1" si="697"/>
        <v>179.60000778696869</v>
      </c>
      <c r="ZK21" s="90">
        <f t="shared" ca="1" si="698"/>
        <v>35.78931217555165</v>
      </c>
      <c r="ZL21" s="90">
        <f t="shared" ca="1" si="699"/>
        <v>33.152249393671681</v>
      </c>
      <c r="ZM21" s="90">
        <f t="shared" ca="1" si="700"/>
        <v>154.90856947986254</v>
      </c>
      <c r="ZN21" s="90">
        <f t="shared" ca="1" si="701"/>
        <v>113.18262377347324</v>
      </c>
      <c r="ZO21" s="90">
        <f t="shared" ca="1" si="702"/>
        <v>30.883954834714768</v>
      </c>
      <c r="ZP21" s="90">
        <f t="shared" ca="1" si="703"/>
        <v>59.233705047292226</v>
      </c>
      <c r="ZQ21" s="90">
        <f t="shared" ca="1" si="704"/>
        <v>145.61682769442515</v>
      </c>
      <c r="ZR21" s="90">
        <f t="shared" ca="1" si="705"/>
        <v>36.641258957983936</v>
      </c>
      <c r="ZS21" s="90">
        <f t="shared" ca="1" si="706"/>
        <v>83.841609323681709</v>
      </c>
      <c r="ZT21" s="90">
        <f t="shared" ca="1" si="707"/>
        <v>46.564774485259875</v>
      </c>
      <c r="ZU21" s="90">
        <f t="shared" ca="1" si="708"/>
        <v>1.4266973587405751</v>
      </c>
      <c r="ZV21" s="90">
        <f t="shared" ca="1" si="709"/>
        <v>230.74248820318016</v>
      </c>
      <c r="ZW21" s="90">
        <f t="shared" ca="1" si="710"/>
        <v>53.525442132782793</v>
      </c>
      <c r="ZX21" s="90">
        <f t="shared" ca="1" si="711"/>
        <v>156.00516010823273</v>
      </c>
      <c r="ZY21" s="90">
        <f t="shared" ca="1" si="712"/>
        <v>142.28557002708445</v>
      </c>
      <c r="ZZ21" s="90">
        <f t="shared" ca="1" si="713"/>
        <v>45.546746173183919</v>
      </c>
      <c r="AAA21" s="90">
        <f t="shared" ca="1" si="714"/>
        <v>123.6514100169138</v>
      </c>
      <c r="AAB21" s="90">
        <f t="shared" ca="1" si="715"/>
        <v>12.269898399064534</v>
      </c>
      <c r="AAC21" s="90">
        <f t="shared" ca="1" si="716"/>
        <v>169.11165348632579</v>
      </c>
      <c r="AAD21" s="90">
        <f t="shared" ca="1" si="717"/>
        <v>102.793308257635</v>
      </c>
      <c r="AAE21" s="90">
        <f t="shared" ca="1" si="718"/>
        <v>60.986248958949886</v>
      </c>
      <c r="AAF21" s="90">
        <f t="shared" ca="1" si="719"/>
        <v>12.886927738422843</v>
      </c>
      <c r="AAG21" s="90">
        <f t="shared" ca="1" si="720"/>
        <v>62.916752811222665</v>
      </c>
      <c r="AAH21" s="90">
        <f t="shared" ca="1" si="721"/>
        <v>150.75252160322268</v>
      </c>
      <c r="AAI21" s="90">
        <f t="shared" ca="1" si="722"/>
        <v>-2.4211108199080753</v>
      </c>
      <c r="AAJ21" s="90">
        <f t="shared" ca="1" si="723"/>
        <v>79.105241375758681</v>
      </c>
      <c r="AAK21" s="90">
        <f t="shared" ca="1" si="724"/>
        <v>156.85507152688714</v>
      </c>
      <c r="AAL21" s="90">
        <f t="shared" ca="1" si="725"/>
        <v>151.48383339794302</v>
      </c>
      <c r="AAM21" s="90">
        <f t="shared" ca="1" si="726"/>
        <v>174.58270959943451</v>
      </c>
      <c r="AAN21" s="90">
        <f t="shared" ca="1" si="727"/>
        <v>87.020253800696736</v>
      </c>
      <c r="AAO21" s="90">
        <f t="shared" ca="1" si="728"/>
        <v>54.930942046171609</v>
      </c>
      <c r="AAP21" s="90">
        <f t="shared" ca="1" si="729"/>
        <v>331.49038561892218</v>
      </c>
      <c r="AAQ21" s="90">
        <f t="shared" ca="1" si="730"/>
        <v>100.01361367178052</v>
      </c>
      <c r="AAR21" s="90">
        <f t="shared" ca="1" si="731"/>
        <v>15.119052046561077</v>
      </c>
      <c r="AAS21" s="90">
        <f t="shared" ca="1" si="732"/>
        <v>79.564523394429941</v>
      </c>
      <c r="AAT21" s="90">
        <f t="shared" ca="1" si="733"/>
        <v>110.28105999846554</v>
      </c>
      <c r="AAU21" s="90">
        <f t="shared" ca="1" si="734"/>
        <v>60.788282531472383</v>
      </c>
      <c r="AAV21" s="90">
        <f t="shared" ca="1" si="735"/>
        <v>74.802435069644403</v>
      </c>
      <c r="AAW21" s="90">
        <f t="shared" ca="1" si="736"/>
        <v>143.39662743073552</v>
      </c>
      <c r="AAX21" s="90">
        <f t="shared" ca="1" si="737"/>
        <v>162.34391668255358</v>
      </c>
      <c r="AAY21" s="90">
        <f t="shared" ca="1" si="738"/>
        <v>134.67961532670961</v>
      </c>
      <c r="AAZ21" s="90">
        <f t="shared" ca="1" si="739"/>
        <v>39.235013887503648</v>
      </c>
      <c r="ABA21" s="90">
        <f t="shared" ca="1" si="740"/>
        <v>66.025314113308397</v>
      </c>
      <c r="ABB21" s="90">
        <f t="shared" ca="1" si="741"/>
        <v>8.509941995706404</v>
      </c>
      <c r="ABC21" s="90">
        <f t="shared" ca="1" si="742"/>
        <v>117.06496389989698</v>
      </c>
      <c r="ABD21" s="90">
        <f t="shared" ca="1" si="743"/>
        <v>66.86189669815586</v>
      </c>
      <c r="ABE21" s="90">
        <f t="shared" ca="1" si="744"/>
        <v>322.22065114636479</v>
      </c>
      <c r="ABF21" s="90">
        <f t="shared" ca="1" si="745"/>
        <v>169.66064227469298</v>
      </c>
      <c r="ABG21" s="90">
        <f t="shared" ca="1" si="746"/>
        <v>33.028077762599942</v>
      </c>
      <c r="ABH21" s="90">
        <f t="shared" ca="1" si="747"/>
        <v>88.576404718463209</v>
      </c>
      <c r="ABI21" s="90">
        <f t="shared" ca="1" si="748"/>
        <v>30.430303351604643</v>
      </c>
      <c r="ABJ21" s="90">
        <f t="shared" ca="1" si="749"/>
        <v>63.695035160979018</v>
      </c>
      <c r="ABK21" s="90">
        <f t="shared" ca="1" si="750"/>
        <v>98.425781793631046</v>
      </c>
      <c r="ABL21" s="90">
        <f t="shared" ca="1" si="751"/>
        <v>111.58099807531883</v>
      </c>
      <c r="ABM21" s="90">
        <f t="shared" ca="1" si="752"/>
        <v>417.00512323430661</v>
      </c>
      <c r="ABN21" s="90">
        <f t="shared" ca="1" si="753"/>
        <v>29.251428821974894</v>
      </c>
      <c r="ABO21" s="90">
        <f t="shared" ca="1" si="754"/>
        <v>42.057052533224237</v>
      </c>
      <c r="ABP21" s="90">
        <f t="shared" ca="1" si="755"/>
        <v>43.587642761977079</v>
      </c>
      <c r="ABQ21" s="90">
        <f t="shared" ca="1" si="756"/>
        <v>49.912144289444328</v>
      </c>
      <c r="ABR21" s="90">
        <f t="shared" ca="1" si="757"/>
        <v>101.46254779217601</v>
      </c>
      <c r="ABS21" s="90">
        <f t="shared" ca="1" si="758"/>
        <v>62.471640045627545</v>
      </c>
      <c r="ABT21" s="90">
        <f t="shared" ca="1" si="759"/>
        <v>110.56457529835386</v>
      </c>
      <c r="ABU21" s="90">
        <f t="shared" ca="1" si="760"/>
        <v>43.161768045350165</v>
      </c>
      <c r="ABV21" s="90">
        <f t="shared" ca="1" si="761"/>
        <v>162.2817363302448</v>
      </c>
      <c r="ABW21" s="90">
        <f t="shared" ca="1" si="762"/>
        <v>10.603532596315608</v>
      </c>
      <c r="ABX21" s="90">
        <f t="shared" ca="1" si="763"/>
        <v>24.973242459702099</v>
      </c>
      <c r="ABY21" s="90">
        <f t="shared" ca="1" si="764"/>
        <v>53.711142955613134</v>
      </c>
      <c r="ABZ21" s="90">
        <f t="shared" ca="1" si="765"/>
        <v>92.376792751107601</v>
      </c>
      <c r="ACA21" s="90">
        <f t="shared" ca="1" si="766"/>
        <v>376.1687840098777</v>
      </c>
      <c r="ACB21" s="90">
        <f t="shared" ca="1" si="767"/>
        <v>175.89281524279505</v>
      </c>
      <c r="ACC21" s="90">
        <f t="shared" ca="1" si="768"/>
        <v>40.933452273153442</v>
      </c>
      <c r="ACD21" s="90">
        <f t="shared" ca="1" si="769"/>
        <v>158.46887751183533</v>
      </c>
      <c r="ACE21" s="90">
        <f t="shared" ca="1" si="770"/>
        <v>125.94466380521692</v>
      </c>
      <c r="ACF21" s="90">
        <f t="shared" ca="1" si="771"/>
        <v>12.375158273086326</v>
      </c>
      <c r="ACG21" s="90">
        <f t="shared" ca="1" si="772"/>
        <v>110.82702093118075</v>
      </c>
      <c r="ACH21" s="90">
        <f t="shared" ca="1" si="773"/>
        <v>109.0820757370022</v>
      </c>
      <c r="ACI21" s="90">
        <f t="shared" ca="1" si="774"/>
        <v>5.2605683612721279</v>
      </c>
      <c r="ACJ21" s="90">
        <f t="shared" ca="1" si="775"/>
        <v>60.487329935852031</v>
      </c>
      <c r="ACK21" s="90">
        <f t="shared" ca="1" si="776"/>
        <v>122.07270246796072</v>
      </c>
      <c r="ACL21" s="90">
        <f t="shared" ca="1" si="777"/>
        <v>133.93233350840379</v>
      </c>
      <c r="ACM21" s="90">
        <f t="shared" ca="1" si="778"/>
        <v>329.92181205067135</v>
      </c>
      <c r="ACN21" s="90">
        <f t="shared" ca="1" si="779"/>
        <v>-2.5910060292630455</v>
      </c>
      <c r="ACO21" s="90">
        <f t="shared" ca="1" si="780"/>
        <v>60.86488788579107</v>
      </c>
      <c r="ACP21" s="90">
        <f t="shared" ca="1" si="781"/>
        <v>172.36911606457662</v>
      </c>
      <c r="ACQ21" s="90">
        <f t="shared" ca="1" si="782"/>
        <v>71.392646584476921</v>
      </c>
      <c r="ACR21" s="90">
        <f t="shared" ca="1" si="783"/>
        <v>56.855125933906365</v>
      </c>
      <c r="ACS21" s="90">
        <f t="shared" ca="1" si="784"/>
        <v>116.84322770689958</v>
      </c>
      <c r="ACT21" s="90">
        <f t="shared" ca="1" si="785"/>
        <v>35.20168723855862</v>
      </c>
      <c r="ACU21" s="90">
        <f t="shared" ca="1" si="786"/>
        <v>65.098468307594331</v>
      </c>
      <c r="ACV21" s="90">
        <f t="shared" ca="1" si="787"/>
        <v>119.508553736753</v>
      </c>
      <c r="ACW21" s="90">
        <f t="shared" ca="1" si="788"/>
        <v>195.74191396867582</v>
      </c>
      <c r="ACX21" s="90">
        <f t="shared" ca="1" si="789"/>
        <v>9.3201957253387526</v>
      </c>
      <c r="ACY21" s="90">
        <f t="shared" ca="1" si="790"/>
        <v>127.96850895002683</v>
      </c>
      <c r="ACZ21" s="90">
        <f t="shared" ca="1" si="791"/>
        <v>7.3341795315903626</v>
      </c>
      <c r="ADA21" s="90">
        <f t="shared" ca="1" si="792"/>
        <v>272.99394618132806</v>
      </c>
      <c r="ADB21" s="90">
        <f t="shared" ca="1" si="793"/>
        <v>94.13841199720919</v>
      </c>
      <c r="ADC21" s="90">
        <f t="shared" ca="1" si="794"/>
        <v>133.90145623155871</v>
      </c>
      <c r="ADD21" s="90">
        <f t="shared" ca="1" si="795"/>
        <v>120.18879437212973</v>
      </c>
      <c r="ADE21" s="90">
        <f t="shared" ca="1" si="796"/>
        <v>36.139163069609772</v>
      </c>
      <c r="ADF21" s="90">
        <f t="shared" ca="1" si="797"/>
        <v>124.38284624099407</v>
      </c>
      <c r="ADG21" s="90">
        <f t="shared" ca="1" si="798"/>
        <v>55.617238504288267</v>
      </c>
      <c r="ADH21" s="90">
        <f t="shared" ca="1" si="799"/>
        <v>89.665881493155808</v>
      </c>
      <c r="ADI21" s="90">
        <f t="shared" ca="1" si="800"/>
        <v>131.00009539666863</v>
      </c>
      <c r="ADJ21" s="90">
        <f t="shared" ca="1" si="801"/>
        <v>24.442310903827245</v>
      </c>
      <c r="ADK21" s="90">
        <f t="shared" ca="1" si="802"/>
        <v>240.445274357665</v>
      </c>
      <c r="ADL21" s="90">
        <f t="shared" ca="1" si="803"/>
        <v>60.75971030390577</v>
      </c>
      <c r="ADM21" s="90">
        <f t="shared" ca="1" si="804"/>
        <v>34.438804948523789</v>
      </c>
      <c r="ADN21" s="90">
        <f t="shared" ca="1" si="805"/>
        <v>206.58456114230441</v>
      </c>
      <c r="ADO21" s="90">
        <f t="shared" ca="1" si="806"/>
        <v>60.238017699223555</v>
      </c>
      <c r="ADP21" s="90">
        <f t="shared" ca="1" si="807"/>
        <v>152.74126135215687</v>
      </c>
      <c r="ADQ21" s="90">
        <f t="shared" ca="1" si="808"/>
        <v>115.47562707847591</v>
      </c>
      <c r="ADR21" s="90">
        <f t="shared" ca="1" si="809"/>
        <v>322.65030352151899</v>
      </c>
      <c r="ADS21" s="90">
        <f t="shared" ca="1" si="810"/>
        <v>39.476736727536647</v>
      </c>
      <c r="ADT21" s="90">
        <f t="shared" ca="1" si="811"/>
        <v>137.12459500336811</v>
      </c>
      <c r="ADU21" s="90">
        <f t="shared" ca="1" si="812"/>
        <v>50.584074228818373</v>
      </c>
      <c r="ADV21" s="90">
        <f t="shared" ca="1" si="813"/>
        <v>69.284296789187238</v>
      </c>
      <c r="ADW21" s="90">
        <f t="shared" ca="1" si="814"/>
        <v>30.648050449204121</v>
      </c>
      <c r="ADX21" s="90">
        <f t="shared" ca="1" si="815"/>
        <v>64.29997224912421</v>
      </c>
      <c r="ADY21" s="90">
        <f t="shared" ca="1" si="816"/>
        <v>47.465940885904814</v>
      </c>
      <c r="ADZ21" s="90">
        <f t="shared" ca="1" si="817"/>
        <v>51.193770722808736</v>
      </c>
      <c r="AEA21" s="90">
        <f t="shared" ca="1" si="818"/>
        <v>71.370342841100481</v>
      </c>
      <c r="AEB21" s="90">
        <f t="shared" ca="1" si="819"/>
        <v>13.045285799581192</v>
      </c>
      <c r="AEC21" s="90">
        <f t="shared" ca="1" si="820"/>
        <v>129.3382892720677</v>
      </c>
      <c r="AED21" s="90">
        <f t="shared" ca="1" si="821"/>
        <v>41.963832741412546</v>
      </c>
      <c r="AEE21" s="90">
        <f t="shared" ca="1" si="822"/>
        <v>255.35383996796691</v>
      </c>
      <c r="AEF21" s="90">
        <f t="shared" ca="1" si="823"/>
        <v>13.762724885256128</v>
      </c>
      <c r="AEG21" s="90">
        <f t="shared" ca="1" si="824"/>
        <v>102.761782935684</v>
      </c>
      <c r="AEH21" s="90">
        <f t="shared" ca="1" si="825"/>
        <v>134.44831996807972</v>
      </c>
      <c r="AEI21" s="90">
        <f t="shared" ca="1" si="826"/>
        <v>129.59082897640511</v>
      </c>
      <c r="AEJ21" s="90">
        <f t="shared" ca="1" si="827"/>
        <v>50.098205632755629</v>
      </c>
      <c r="AEK21" s="90">
        <f t="shared" ca="1" si="828"/>
        <v>31.840285872008334</v>
      </c>
      <c r="AEL21" s="90">
        <f t="shared" ca="1" si="829"/>
        <v>11.22531771470152</v>
      </c>
      <c r="AEM21" s="90">
        <f t="shared" ca="1" si="830"/>
        <v>77.310440283082372</v>
      </c>
      <c r="AEN21" s="90">
        <f t="shared" ca="1" si="831"/>
        <v>44.136503039282637</v>
      </c>
      <c r="AEO21" s="90">
        <f t="shared" ca="1" si="832"/>
        <v>40.165129369360677</v>
      </c>
      <c r="AEP21" s="90">
        <f t="shared" ca="1" si="833"/>
        <v>21.320256823897076</v>
      </c>
      <c r="AEQ21" s="90">
        <f t="shared" ca="1" si="834"/>
        <v>-1.2492644446567904</v>
      </c>
      <c r="AER21" s="90">
        <f t="shared" ca="1" si="835"/>
        <v>89.128365319253589</v>
      </c>
      <c r="AES21" s="90">
        <f t="shared" ca="1" si="836"/>
        <v>214.63980371289057</v>
      </c>
      <c r="AET21" s="90">
        <f t="shared" ca="1" si="837"/>
        <v>95.367043019042455</v>
      </c>
      <c r="AEU21" s="90">
        <f t="shared" ca="1" si="838"/>
        <v>138.83753930550964</v>
      </c>
      <c r="AEV21" s="90">
        <f t="shared" ca="1" si="839"/>
        <v>99.704808943793068</v>
      </c>
      <c r="AEW21" s="90">
        <f t="shared" ca="1" si="840"/>
        <v>159.34620695087588</v>
      </c>
      <c r="AEX21" s="90">
        <f t="shared" ca="1" si="841"/>
        <v>145.6813597842781</v>
      </c>
      <c r="AEY21" s="90">
        <f t="shared" ca="1" si="842"/>
        <v>44.323128715513747</v>
      </c>
      <c r="AEZ21" s="90">
        <f t="shared" ca="1" si="843"/>
        <v>39.338732729799872</v>
      </c>
      <c r="AFA21" s="90">
        <f t="shared" ca="1" si="844"/>
        <v>169.77282672760103</v>
      </c>
      <c r="AFB21" s="90">
        <f t="shared" ca="1" si="845"/>
        <v>70.350433738565584</v>
      </c>
      <c r="AFC21" s="90">
        <f t="shared" ca="1" si="846"/>
        <v>16.957005438444664</v>
      </c>
      <c r="AFD21" s="90">
        <f t="shared" ca="1" si="847"/>
        <v>94.401254529968867</v>
      </c>
      <c r="AFE21" s="90">
        <f t="shared" ca="1" si="848"/>
        <v>77.187589079779812</v>
      </c>
      <c r="AFF21" s="90">
        <f t="shared" ca="1" si="849"/>
        <v>26.103532456808498</v>
      </c>
      <c r="AFG21" s="90">
        <f t="shared" ca="1" si="850"/>
        <v>19.749126444370088</v>
      </c>
      <c r="AFH21" s="90">
        <f t="shared" ca="1" si="851"/>
        <v>149.28120757762201</v>
      </c>
      <c r="AFI21" s="90">
        <f t="shared" ca="1" si="852"/>
        <v>117.7997180609855</v>
      </c>
      <c r="AFJ21" s="90">
        <f t="shared" ca="1" si="853"/>
        <v>191.74552274544095</v>
      </c>
      <c r="AFK21" s="90">
        <f t="shared" ca="1" si="854"/>
        <v>28.167831717782732</v>
      </c>
      <c r="AFL21" s="90">
        <f t="shared" ca="1" si="855"/>
        <v>36.361099524063462</v>
      </c>
      <c r="AFM21" s="90">
        <f t="shared" ca="1" si="856"/>
        <v>76.161986315215572</v>
      </c>
      <c r="AFN21" s="90">
        <f t="shared" ca="1" si="857"/>
        <v>25.733953237618444</v>
      </c>
      <c r="AFO21" s="90">
        <f t="shared" ca="1" si="858"/>
        <v>186.84932446609986</v>
      </c>
      <c r="AFP21" s="90">
        <f t="shared" ca="1" si="859"/>
        <v>47.123511718426862</v>
      </c>
      <c r="AFQ21" s="90">
        <f t="shared" ca="1" si="860"/>
        <v>190.57323490150264</v>
      </c>
      <c r="AFR21" s="90">
        <f t="shared" ca="1" si="861"/>
        <v>37.541563272596548</v>
      </c>
      <c r="AFS21" s="90">
        <f t="shared" ca="1" si="862"/>
        <v>161.39801734162421</v>
      </c>
      <c r="AFT21" s="90">
        <f t="shared" ca="1" si="863"/>
        <v>18.536439329899078</v>
      </c>
      <c r="AFU21" s="90">
        <f t="shared" ca="1" si="864"/>
        <v>75.95659278446567</v>
      </c>
      <c r="AFV21" s="90">
        <f t="shared" ca="1" si="865"/>
        <v>91.853758880671393</v>
      </c>
      <c r="AFW21" s="90">
        <f t="shared" ca="1" si="866"/>
        <v>142.12052262955697</v>
      </c>
      <c r="AFX21" s="90">
        <f t="shared" ca="1" si="867"/>
        <v>150.88801586359503</v>
      </c>
      <c r="AFY21" s="90">
        <f t="shared" ca="1" si="868"/>
        <v>31.560143556374939</v>
      </c>
      <c r="AFZ21" s="90">
        <f t="shared" ca="1" si="869"/>
        <v>41.909036035479289</v>
      </c>
      <c r="AGA21" s="90">
        <f t="shared" ca="1" si="870"/>
        <v>129.94244661728243</v>
      </c>
      <c r="AGB21" s="90">
        <f t="shared" ca="1" si="871"/>
        <v>54.23552351792388</v>
      </c>
      <c r="AGC21" s="90">
        <f t="shared" ca="1" si="872"/>
        <v>-6.6368750733704127</v>
      </c>
      <c r="AGD21" s="90">
        <f t="shared" ca="1" si="873"/>
        <v>112.73954746551269</v>
      </c>
      <c r="AGE21" s="90">
        <f t="shared" ca="1" si="874"/>
        <v>57.988156160234752</v>
      </c>
      <c r="AGF21" s="90">
        <f t="shared" ca="1" si="875"/>
        <v>83.734625874798951</v>
      </c>
      <c r="AGG21" s="90">
        <f t="shared" ca="1" si="876"/>
        <v>28.867562017615125</v>
      </c>
      <c r="AGH21" s="90">
        <f t="shared" ca="1" si="877"/>
        <v>58.637571730503211</v>
      </c>
      <c r="AGI21" s="90">
        <f t="shared" ca="1" si="878"/>
        <v>52.265375171416153</v>
      </c>
      <c r="AGJ21" s="90">
        <f t="shared" ca="1" si="879"/>
        <v>138.81558716211768</v>
      </c>
      <c r="AGK21" s="90">
        <f t="shared" ca="1" si="880"/>
        <v>52.652202350843133</v>
      </c>
      <c r="AGL21" s="90">
        <f t="shared" ca="1" si="881"/>
        <v>107.4973867500572</v>
      </c>
      <c r="AGM21" s="90">
        <f t="shared" ca="1" si="882"/>
        <v>80.394914521306887</v>
      </c>
      <c r="AGN21" s="90">
        <f t="shared" ca="1" si="883"/>
        <v>74.241223922719001</v>
      </c>
      <c r="AGO21" s="90">
        <f t="shared" ca="1" si="884"/>
        <v>62.896117274300302</v>
      </c>
      <c r="AGP21" s="90">
        <f t="shared" ca="1" si="885"/>
        <v>34.607749330598324</v>
      </c>
      <c r="AGQ21" s="90">
        <f t="shared" ca="1" si="886"/>
        <v>41.361638473632979</v>
      </c>
      <c r="AGR21" s="90">
        <f t="shared" ca="1" si="887"/>
        <v>67.044883038893602</v>
      </c>
      <c r="AGS21" s="90">
        <f t="shared" ca="1" si="888"/>
        <v>222.11206649016273</v>
      </c>
      <c r="AGT21" s="90">
        <f t="shared" ca="1" si="889"/>
        <v>144.47054267130969</v>
      </c>
      <c r="AGU21" s="90">
        <f t="shared" ca="1" si="890"/>
        <v>74.449940447742463</v>
      </c>
      <c r="AGV21" s="90">
        <f t="shared" ca="1" si="891"/>
        <v>46.051702334002243</v>
      </c>
      <c r="AGW21" s="90">
        <f t="shared" ca="1" si="892"/>
        <v>218.38426089556881</v>
      </c>
      <c r="AGX21" s="90">
        <f t="shared" ca="1" si="893"/>
        <v>125.7531134258423</v>
      </c>
      <c r="AGY21" s="90">
        <f t="shared" ca="1" si="894"/>
        <v>36.969927684381645</v>
      </c>
      <c r="AGZ21" s="90">
        <f t="shared" ca="1" si="895"/>
        <v>87.500174930703722</v>
      </c>
      <c r="AHA21" s="90">
        <f t="shared" ca="1" si="896"/>
        <v>128.52547782990121</v>
      </c>
      <c r="AHB21" s="90">
        <f t="shared" ca="1" si="897"/>
        <v>112.01004228071939</v>
      </c>
      <c r="AHC21" s="90">
        <f t="shared" ca="1" si="898"/>
        <v>338.59945668455055</v>
      </c>
      <c r="AHD21" s="90">
        <f t="shared" ca="1" si="899"/>
        <v>152.95485633916746</v>
      </c>
      <c r="AHE21" s="90">
        <f t="shared" ca="1" si="900"/>
        <v>113.38560435657718</v>
      </c>
      <c r="AHF21" s="90">
        <f t="shared" ca="1" si="901"/>
        <v>96.476166645933816</v>
      </c>
      <c r="AHG21" s="90">
        <f t="shared" ca="1" si="902"/>
        <v>122.21575016120876</v>
      </c>
      <c r="AHH21" s="90">
        <f t="shared" ca="1" si="903"/>
        <v>136.48078949418189</v>
      </c>
      <c r="AHI21" s="90">
        <f t="shared" ca="1" si="904"/>
        <v>10.648834717171683</v>
      </c>
      <c r="AHJ21" s="90">
        <f t="shared" ca="1" si="905"/>
        <v>114.05016190743056</v>
      </c>
      <c r="AHK21" s="90">
        <f t="shared" ca="1" si="906"/>
        <v>126.18831699841238</v>
      </c>
      <c r="AHL21" s="90">
        <f t="shared" ca="1" si="907"/>
        <v>15.550349579419134</v>
      </c>
      <c r="AHM21" s="90">
        <f t="shared" ca="1" si="908"/>
        <v>173.98157322794239</v>
      </c>
      <c r="AHN21" s="90">
        <f t="shared" ca="1" si="909"/>
        <v>112.1270885427386</v>
      </c>
      <c r="AHO21" s="90">
        <f t="shared" ca="1" si="910"/>
        <v>28.977580174272603</v>
      </c>
      <c r="AHP21" s="90">
        <f t="shared" ca="1" si="911"/>
        <v>122.90909272759676</v>
      </c>
      <c r="AHQ21" s="90">
        <f t="shared" ca="1" si="912"/>
        <v>58.257309496005483</v>
      </c>
      <c r="AHR21" s="90">
        <f t="shared" ca="1" si="913"/>
        <v>-6.3128192541589501</v>
      </c>
      <c r="AHS21" s="90">
        <f t="shared" ca="1" si="914"/>
        <v>29.549343668146484</v>
      </c>
      <c r="AHT21" s="90">
        <f t="shared" ca="1" si="915"/>
        <v>246.70182449935538</v>
      </c>
      <c r="AHU21" s="90">
        <f t="shared" ca="1" si="916"/>
        <v>102.69099222516543</v>
      </c>
      <c r="AHV21" s="90">
        <f t="shared" ca="1" si="917"/>
        <v>54.16814886208283</v>
      </c>
      <c r="AHW21" s="90">
        <f t="shared" ca="1" si="918"/>
        <v>134.71135331446473</v>
      </c>
      <c r="AHX21" s="90">
        <f t="shared" ca="1" si="919"/>
        <v>17.769100887286527</v>
      </c>
      <c r="AHY21" s="90">
        <f t="shared" ca="1" si="920"/>
        <v>151.04863904940089</v>
      </c>
      <c r="AHZ21" s="90">
        <f t="shared" ca="1" si="921"/>
        <v>195.19117050458186</v>
      </c>
      <c r="AIA21" s="90">
        <f t="shared" ca="1" si="922"/>
        <v>122.33169302194253</v>
      </c>
      <c r="AIB21" s="90">
        <f t="shared" ca="1" si="923"/>
        <v>87.980542225642992</v>
      </c>
      <c r="AIC21" s="90">
        <f t="shared" ca="1" si="924"/>
        <v>125.46995586289971</v>
      </c>
      <c r="AID21" s="90">
        <f t="shared" ca="1" si="925"/>
        <v>67.278695550765491</v>
      </c>
      <c r="AIE21" s="90">
        <f t="shared" ca="1" si="926"/>
        <v>290.43361388347068</v>
      </c>
      <c r="AIF21" s="90">
        <f t="shared" ca="1" si="927"/>
        <v>351.00571574941216</v>
      </c>
      <c r="AIG21" s="90">
        <f t="shared" ca="1" si="928"/>
        <v>141.51185348079201</v>
      </c>
      <c r="AIH21" s="90">
        <f t="shared" ca="1" si="929"/>
        <v>110.52640492404825</v>
      </c>
      <c r="AII21" s="90">
        <f t="shared" ca="1" si="930"/>
        <v>31.259358202333363</v>
      </c>
      <c r="AIJ21" s="90">
        <f t="shared" ca="1" si="931"/>
        <v>24.126876638384196</v>
      </c>
      <c r="AIK21" s="90">
        <f t="shared" ca="1" si="932"/>
        <v>10.017449343101468</v>
      </c>
      <c r="AIL21" s="90">
        <f t="shared" ca="1" si="933"/>
        <v>54.033996664856964</v>
      </c>
      <c r="AIM21" s="90">
        <f t="shared" ca="1" si="934"/>
        <v>98.214718258515035</v>
      </c>
      <c r="AIN21" s="90">
        <f t="shared" ca="1" si="935"/>
        <v>47.405114862721248</v>
      </c>
      <c r="AIO21" s="90">
        <f t="shared" ca="1" si="936"/>
        <v>27.997654084512295</v>
      </c>
      <c r="AIP21" s="90">
        <f t="shared" ca="1" si="937"/>
        <v>86.080943430543797</v>
      </c>
      <c r="AIQ21" s="90">
        <f t="shared" ca="1" si="938"/>
        <v>-2.4181642510086294</v>
      </c>
      <c r="AIR21" s="90">
        <f t="shared" ca="1" si="939"/>
        <v>98.78160956869732</v>
      </c>
      <c r="AIS21" s="90">
        <f t="shared" ca="1" si="940"/>
        <v>22.928091354296981</v>
      </c>
      <c r="AIT21" s="90">
        <f t="shared" ca="1" si="941"/>
        <v>165.22001916670959</v>
      </c>
      <c r="AIU21" s="90">
        <f t="shared" ca="1" si="942"/>
        <v>81.031085623240998</v>
      </c>
      <c r="AIV21" s="90">
        <f t="shared" ca="1" si="943"/>
        <v>124.5678184142364</v>
      </c>
      <c r="AIW21" s="90">
        <f t="shared" ca="1" si="944"/>
        <v>176.68973614908793</v>
      </c>
      <c r="AIX21" s="90">
        <f t="shared" ca="1" si="945"/>
        <v>64.664531855111903</v>
      </c>
      <c r="AIY21" s="90">
        <f t="shared" ca="1" si="946"/>
        <v>59.792778162249718</v>
      </c>
      <c r="AIZ21" s="90">
        <f t="shared" ca="1" si="947"/>
        <v>144.23782583150609</v>
      </c>
      <c r="AJA21" s="90">
        <f t="shared" ca="1" si="948"/>
        <v>173.15801135938031</v>
      </c>
      <c r="AJB21" s="90">
        <f t="shared" ca="1" si="949"/>
        <v>14.235741773599345</v>
      </c>
      <c r="AJC21" s="90">
        <f t="shared" ca="1" si="950"/>
        <v>-2.2459168126360485</v>
      </c>
      <c r="AJD21" s="90">
        <f t="shared" ca="1" si="951"/>
        <v>70.422030582344377</v>
      </c>
      <c r="AJE21" s="90">
        <f t="shared" ca="1" si="952"/>
        <v>140.90501789715648</v>
      </c>
      <c r="AJF21" s="90">
        <f t="shared" ca="1" si="953"/>
        <v>34.430824308978714</v>
      </c>
      <c r="AJG21" s="90">
        <f t="shared" ca="1" si="954"/>
        <v>92.078770279585584</v>
      </c>
      <c r="AJH21" s="90">
        <f t="shared" ca="1" si="955"/>
        <v>36.092080352607717</v>
      </c>
      <c r="AJI21" s="90">
        <f t="shared" ca="1" si="956"/>
        <v>111.50642997750586</v>
      </c>
      <c r="AJJ21" s="90">
        <f t="shared" ca="1" si="957"/>
        <v>95.901461326727457</v>
      </c>
      <c r="AJK21" s="90">
        <f t="shared" ca="1" si="958"/>
        <v>78.629735971689911</v>
      </c>
      <c r="AJL21" s="90">
        <f t="shared" ca="1" si="959"/>
        <v>41.252358825021467</v>
      </c>
      <c r="AJM21" s="90">
        <f t="shared" ca="1" si="960"/>
        <v>99.014008114784716</v>
      </c>
      <c r="AJN21" s="90">
        <f t="shared" ca="1" si="961"/>
        <v>48.094012884587997</v>
      </c>
      <c r="AJO21" s="90">
        <f t="shared" ca="1" si="962"/>
        <v>10.788111343421589</v>
      </c>
      <c r="AJP21" s="90">
        <f t="shared" ca="1" si="963"/>
        <v>263.54738057062622</v>
      </c>
      <c r="AJQ21" s="90">
        <f t="shared" ca="1" si="964"/>
        <v>70.17156624360139</v>
      </c>
      <c r="AJR21" s="90">
        <f t="shared" ca="1" si="965"/>
        <v>6.77155585188933</v>
      </c>
      <c r="AJS21" s="90">
        <f t="shared" ca="1" si="966"/>
        <v>54.609400513383719</v>
      </c>
      <c r="AJT21" s="90">
        <f t="shared" ca="1" si="967"/>
        <v>156.05077957271695</v>
      </c>
      <c r="AJU21" s="90">
        <f t="shared" ca="1" si="968"/>
        <v>30.886801935833208</v>
      </c>
      <c r="AJV21" s="90">
        <f t="shared" ca="1" si="969"/>
        <v>125.45594497287877</v>
      </c>
      <c r="AJW21" s="90">
        <f t="shared" ca="1" si="970"/>
        <v>84.909503740918709</v>
      </c>
      <c r="AJX21" s="90">
        <f t="shared" ca="1" si="971"/>
        <v>45.029429124883158</v>
      </c>
      <c r="AJY21" s="90">
        <f t="shared" ca="1" si="972"/>
        <v>25.592156805721508</v>
      </c>
      <c r="AJZ21" s="90">
        <f t="shared" ca="1" si="973"/>
        <v>41.998170108235037</v>
      </c>
      <c r="AKA21" s="90">
        <f t="shared" ca="1" si="974"/>
        <v>28.539418378356881</v>
      </c>
      <c r="AKB21" s="90">
        <f t="shared" ca="1" si="975"/>
        <v>103.79153806652707</v>
      </c>
      <c r="AKC21" s="90">
        <f t="shared" ca="1" si="976"/>
        <v>12.843667700283843</v>
      </c>
      <c r="AKD21" s="90">
        <f t="shared" ca="1" si="977"/>
        <v>207.98246103830743</v>
      </c>
      <c r="AKE21" s="90">
        <f t="shared" ca="1" si="978"/>
        <v>93.100087034568944</v>
      </c>
      <c r="AKF21" s="90">
        <f t="shared" ca="1" si="979"/>
        <v>81.635115151822291</v>
      </c>
      <c r="AKG21" s="90">
        <f t="shared" ca="1" si="980"/>
        <v>67.152769124785337</v>
      </c>
      <c r="AKH21" s="90">
        <f t="shared" ca="1" si="981"/>
        <v>17.414912570026267</v>
      </c>
      <c r="AKI21" s="90">
        <f t="shared" ca="1" si="982"/>
        <v>277.0276979095463</v>
      </c>
      <c r="AKJ21" s="90">
        <f t="shared" ca="1" si="983"/>
        <v>22.056472745672359</v>
      </c>
      <c r="AKK21" s="90">
        <f t="shared" ca="1" si="984"/>
        <v>30.953249335876507</v>
      </c>
      <c r="AKL21" s="90">
        <f t="shared" ca="1" si="985"/>
        <v>42.506347177206791</v>
      </c>
      <c r="AKM21" s="90">
        <f t="shared" ca="1" si="986"/>
        <v>81.127481296714848</v>
      </c>
      <c r="AKN21" s="90">
        <f t="shared" ca="1" si="987"/>
        <v>43.18767780096514</v>
      </c>
      <c r="AKO21" s="90">
        <f t="shared" ca="1" si="988"/>
        <v>29.205631416703113</v>
      </c>
      <c r="AKP21" s="90">
        <f t="shared" ca="1" si="989"/>
        <v>101.26064820405526</v>
      </c>
      <c r="AKQ21" s="90">
        <f t="shared" ca="1" si="990"/>
        <v>39.517584731522888</v>
      </c>
      <c r="AKR21" s="90">
        <f t="shared" ca="1" si="991"/>
        <v>11.174168464804206</v>
      </c>
      <c r="AKS21" s="90">
        <f t="shared" ca="1" si="992"/>
        <v>91.822433117513242</v>
      </c>
      <c r="AKT21" s="90">
        <f t="shared" ca="1" si="993"/>
        <v>41.901649948940623</v>
      </c>
      <c r="AKU21" s="90">
        <f t="shared" ca="1" si="994"/>
        <v>35.207709532068833</v>
      </c>
      <c r="AKV21" s="90">
        <f t="shared" ca="1" si="995"/>
        <v>11.73727415267118</v>
      </c>
      <c r="AKW21" s="90">
        <f t="shared" ca="1" si="996"/>
        <v>110.38303449281507</v>
      </c>
      <c r="AKX21" s="90">
        <f t="shared" ca="1" si="997"/>
        <v>88.158682135676941</v>
      </c>
      <c r="AKY21" s="90">
        <f t="shared" ca="1" si="998"/>
        <v>57.709630220563611</v>
      </c>
      <c r="AKZ21" s="90">
        <f t="shared" ca="1" si="999"/>
        <v>190.60599746639269</v>
      </c>
      <c r="ALA21" s="90">
        <f t="shared" ca="1" si="1000"/>
        <v>339.48283293009621</v>
      </c>
      <c r="ALB21" s="90">
        <f t="shared" ca="1" si="1001"/>
        <v>125.14032910619053</v>
      </c>
      <c r="ALC21" s="90">
        <f t="shared" ca="1" si="1002"/>
        <v>125.30007100870378</v>
      </c>
      <c r="ALD21" s="90">
        <f t="shared" ca="1" si="1003"/>
        <v>302.87318864579544</v>
      </c>
      <c r="ALE21" s="90">
        <f t="shared" ca="1" si="1004"/>
        <v>102.20981999612995</v>
      </c>
      <c r="ALF21" s="90">
        <f t="shared" ca="1" si="1005"/>
        <v>156.38718889667996</v>
      </c>
      <c r="ALG21" s="90">
        <f t="shared" ca="1" si="1006"/>
        <v>50.879235091056906</v>
      </c>
      <c r="ALH21" s="90">
        <f t="shared" ca="1" si="1007"/>
        <v>5.2881907996914679</v>
      </c>
      <c r="ALI21" s="90">
        <f t="shared" ca="1" si="1008"/>
        <v>313.04327569237313</v>
      </c>
      <c r="ALJ21" s="90">
        <f t="shared" ca="1" si="1009"/>
        <v>144.47169508802943</v>
      </c>
      <c r="ALK21" s="90">
        <f t="shared" ca="1" si="1010"/>
        <v>48.482950518183443</v>
      </c>
      <c r="ALL21" s="90">
        <f t="shared" ca="1" si="1011"/>
        <v>58.101897712127965</v>
      </c>
      <c r="ALM21" s="90">
        <f t="shared" ca="1" si="1012"/>
        <v>44.210439342827414</v>
      </c>
      <c r="ALN21" s="90">
        <f t="shared" ca="1" si="1013"/>
        <v>134.66442787599672</v>
      </c>
      <c r="ALO21" s="90">
        <f t="shared" ca="1" si="1014"/>
        <v>130.79676909968683</v>
      </c>
      <c r="ALP21" s="90">
        <f t="shared" ca="1" si="1015"/>
        <v>187.84132136286476</v>
      </c>
      <c r="ALQ21" s="90">
        <f t="shared" ca="1" si="1016"/>
        <v>36.811111911973057</v>
      </c>
    </row>
    <row r="22" spans="3:1005" x14ac:dyDescent="0.35">
      <c r="C22" s="61">
        <f t="shared" ca="1" si="17"/>
        <v>0.12891621215752069</v>
      </c>
      <c r="D22" s="90">
        <f t="shared" ca="1" si="0"/>
        <v>104.00572346174255</v>
      </c>
      <c r="E22">
        <v>5</v>
      </c>
      <c r="F22" s="90">
        <f t="shared" ca="1" si="1017"/>
        <v>6.3243123104859222</v>
      </c>
      <c r="G22" s="90">
        <f t="shared" ca="1" si="18"/>
        <v>41.565375737774801</v>
      </c>
      <c r="H22" s="90">
        <f t="shared" ca="1" si="19"/>
        <v>28.020758200219028</v>
      </c>
      <c r="I22" s="90">
        <f t="shared" ca="1" si="20"/>
        <v>152.99359798954728</v>
      </c>
      <c r="J22" s="90">
        <f t="shared" ca="1" si="21"/>
        <v>32.70747677094797</v>
      </c>
      <c r="K22" s="90">
        <f t="shared" ca="1" si="22"/>
        <v>260.06800262813539</v>
      </c>
      <c r="L22" s="90">
        <f t="shared" ca="1" si="23"/>
        <v>164.1684978920467</v>
      </c>
      <c r="M22" s="90">
        <f t="shared" ca="1" si="24"/>
        <v>17.514442865728725</v>
      </c>
      <c r="N22" s="90">
        <f t="shared" ca="1" si="25"/>
        <v>52.704389355188248</v>
      </c>
      <c r="O22" s="90">
        <f t="shared" ca="1" si="26"/>
        <v>76.588808094128495</v>
      </c>
      <c r="P22" s="90">
        <f t="shared" ca="1" si="27"/>
        <v>19.926548085488754</v>
      </c>
      <c r="Q22" s="90">
        <f t="shared" ca="1" si="28"/>
        <v>46.118863648912821</v>
      </c>
      <c r="R22" s="90">
        <f t="shared" ca="1" si="29"/>
        <v>32.011605133968295</v>
      </c>
      <c r="S22" s="90">
        <f t="shared" ca="1" si="30"/>
        <v>454.61950627270295</v>
      </c>
      <c r="T22" s="90">
        <f t="shared" ca="1" si="31"/>
        <v>245.32187704274531</v>
      </c>
      <c r="U22" s="90">
        <f t="shared" ca="1" si="32"/>
        <v>84.909955565381338</v>
      </c>
      <c r="V22" s="90">
        <f t="shared" ca="1" si="33"/>
        <v>159.86798270200535</v>
      </c>
      <c r="W22" s="90">
        <f t="shared" ca="1" si="34"/>
        <v>146.56701621779601</v>
      </c>
      <c r="X22" s="90">
        <f t="shared" ca="1" si="35"/>
        <v>204.11655098505645</v>
      </c>
      <c r="Y22" s="90">
        <f t="shared" ca="1" si="36"/>
        <v>323.15138990788574</v>
      </c>
      <c r="Z22" s="90">
        <f t="shared" ca="1" si="37"/>
        <v>128.47851152796528</v>
      </c>
      <c r="AA22" s="90">
        <f t="shared" ca="1" si="38"/>
        <v>62.899101389074687</v>
      </c>
      <c r="AB22" s="90">
        <f t="shared" ca="1" si="39"/>
        <v>62.44220341671042</v>
      </c>
      <c r="AC22" s="90">
        <f t="shared" ca="1" si="40"/>
        <v>44.208479805557396</v>
      </c>
      <c r="AD22" s="90">
        <f t="shared" ca="1" si="41"/>
        <v>208.22252189225114</v>
      </c>
      <c r="AE22" s="90">
        <f t="shared" ca="1" si="42"/>
        <v>105.92862167219134</v>
      </c>
      <c r="AF22" s="90">
        <f t="shared" ca="1" si="43"/>
        <v>255.96377864882118</v>
      </c>
      <c r="AG22" s="90">
        <f t="shared" ca="1" si="44"/>
        <v>98.123408132784078</v>
      </c>
      <c r="AH22" s="90">
        <f t="shared" ca="1" si="45"/>
        <v>23.640700704492996</v>
      </c>
      <c r="AI22" s="90">
        <f t="shared" ca="1" si="46"/>
        <v>45.202591576551846</v>
      </c>
      <c r="AJ22" s="90">
        <f t="shared" ca="1" si="47"/>
        <v>78.791753538480833</v>
      </c>
      <c r="AK22" s="90">
        <f t="shared" ca="1" si="48"/>
        <v>-6.6754256287556206</v>
      </c>
      <c r="AL22" s="90">
        <f t="shared" ca="1" si="49"/>
        <v>111.76617612549494</v>
      </c>
      <c r="AM22" s="90">
        <f t="shared" ca="1" si="50"/>
        <v>-1.7008239749552707</v>
      </c>
      <c r="AN22" s="90">
        <f t="shared" ca="1" si="51"/>
        <v>38.166558974672746</v>
      </c>
      <c r="AO22" s="90">
        <f t="shared" ca="1" si="52"/>
        <v>151.09479538496771</v>
      </c>
      <c r="AP22" s="90">
        <f t="shared" ca="1" si="53"/>
        <v>106.59012892135226</v>
      </c>
      <c r="AQ22" s="90">
        <f t="shared" ca="1" si="54"/>
        <v>138.03845771044587</v>
      </c>
      <c r="AR22" s="90">
        <f t="shared" ca="1" si="55"/>
        <v>51.684721139299484</v>
      </c>
      <c r="AS22" s="90">
        <f t="shared" ca="1" si="56"/>
        <v>208.71690217133431</v>
      </c>
      <c r="AT22" s="90">
        <f t="shared" ca="1" si="57"/>
        <v>89.373902641937121</v>
      </c>
      <c r="AU22" s="90">
        <f t="shared" ca="1" si="58"/>
        <v>111.06704589753598</v>
      </c>
      <c r="AV22" s="90">
        <f t="shared" ca="1" si="59"/>
        <v>61.850298604450451</v>
      </c>
      <c r="AW22" s="90">
        <f t="shared" ca="1" si="60"/>
        <v>70.237586038311349</v>
      </c>
      <c r="AX22" s="90">
        <f t="shared" ca="1" si="61"/>
        <v>34.854570276230788</v>
      </c>
      <c r="AY22" s="90">
        <f t="shared" ca="1" si="62"/>
        <v>191.4037235919977</v>
      </c>
      <c r="AZ22" s="90">
        <f t="shared" ca="1" si="63"/>
        <v>92.632586566685518</v>
      </c>
      <c r="BA22" s="90">
        <f t="shared" ca="1" si="64"/>
        <v>186.27072380092494</v>
      </c>
      <c r="BB22" s="90">
        <f t="shared" ca="1" si="65"/>
        <v>38.007824235786885</v>
      </c>
      <c r="BC22" s="90">
        <f t="shared" ca="1" si="66"/>
        <v>167.66179614709529</v>
      </c>
      <c r="BD22" s="90">
        <f t="shared" ca="1" si="67"/>
        <v>166.57518292301432</v>
      </c>
      <c r="BE22" s="90">
        <f t="shared" ca="1" si="68"/>
        <v>6.6904529736367833</v>
      </c>
      <c r="BF22" s="90">
        <f t="shared" ca="1" si="69"/>
        <v>35.60717496724493</v>
      </c>
      <c r="BG22" s="90">
        <f t="shared" ca="1" si="70"/>
        <v>51.68075970659558</v>
      </c>
      <c r="BH22" s="90">
        <f t="shared" ca="1" si="71"/>
        <v>26.915501218836646</v>
      </c>
      <c r="BI22" s="90">
        <f t="shared" ca="1" si="72"/>
        <v>78.347845173603758</v>
      </c>
      <c r="BJ22" s="90">
        <f t="shared" ca="1" si="73"/>
        <v>35.044227658517393</v>
      </c>
      <c r="BK22" s="90">
        <f t="shared" ca="1" si="74"/>
        <v>2.6058659258889145</v>
      </c>
      <c r="BL22" s="90">
        <f t="shared" ca="1" si="75"/>
        <v>74.006969569712908</v>
      </c>
      <c r="BM22" s="90">
        <f t="shared" ca="1" si="76"/>
        <v>77.929797913738085</v>
      </c>
      <c r="BN22" s="90">
        <f t="shared" ca="1" si="77"/>
        <v>8.9824210980629786</v>
      </c>
      <c r="BO22" s="90">
        <f t="shared" ca="1" si="78"/>
        <v>197.27873586713841</v>
      </c>
      <c r="BP22" s="90">
        <f t="shared" ca="1" si="79"/>
        <v>90.300675067611792</v>
      </c>
      <c r="BQ22" s="90">
        <f t="shared" ca="1" si="80"/>
        <v>146.42275100497412</v>
      </c>
      <c r="BR22" s="90">
        <f t="shared" ca="1" si="81"/>
        <v>134.07371909208294</v>
      </c>
      <c r="BS22" s="90">
        <f t="shared" ca="1" si="82"/>
        <v>37.138639869568429</v>
      </c>
      <c r="BT22" s="90">
        <f t="shared" ca="1" si="83"/>
        <v>79.163857625671099</v>
      </c>
      <c r="BU22" s="90">
        <f t="shared" ca="1" si="84"/>
        <v>50.951010726527699</v>
      </c>
      <c r="BV22" s="90">
        <f t="shared" ca="1" si="85"/>
        <v>12.577495506283872</v>
      </c>
      <c r="BW22" s="90">
        <f t="shared" ca="1" si="86"/>
        <v>160.8197865222557</v>
      </c>
      <c r="BX22" s="90">
        <f t="shared" ca="1" si="87"/>
        <v>30.003319933039077</v>
      </c>
      <c r="BY22" s="90">
        <f t="shared" ca="1" si="88"/>
        <v>57.455011371747474</v>
      </c>
      <c r="BZ22" s="90">
        <f t="shared" ca="1" si="89"/>
        <v>178.21481420380437</v>
      </c>
      <c r="CA22" s="90">
        <f t="shared" ca="1" si="90"/>
        <v>15.22450734740757</v>
      </c>
      <c r="CB22" s="90">
        <f t="shared" ca="1" si="91"/>
        <v>64.303647297799259</v>
      </c>
      <c r="CC22" s="90">
        <f t="shared" ca="1" si="92"/>
        <v>70.704588326603115</v>
      </c>
      <c r="CD22" s="90">
        <f t="shared" ca="1" si="93"/>
        <v>124.14722840630125</v>
      </c>
      <c r="CE22" s="90">
        <f t="shared" ca="1" si="94"/>
        <v>1.2193390468860925</v>
      </c>
      <c r="CF22" s="90">
        <f t="shared" ca="1" si="95"/>
        <v>77.857522344358642</v>
      </c>
      <c r="CG22" s="90">
        <f t="shared" ca="1" si="96"/>
        <v>25.24727774832807</v>
      </c>
      <c r="CH22" s="90">
        <f t="shared" ca="1" si="97"/>
        <v>73.011739923437247</v>
      </c>
      <c r="CI22" s="90">
        <f t="shared" ca="1" si="98"/>
        <v>35.619742644769282</v>
      </c>
      <c r="CJ22" s="90">
        <f t="shared" ca="1" si="99"/>
        <v>86.074183026798991</v>
      </c>
      <c r="CK22" s="90">
        <f t="shared" ca="1" si="100"/>
        <v>71.082016202584299</v>
      </c>
      <c r="CL22" s="90">
        <f t="shared" ca="1" si="101"/>
        <v>84.829782996986282</v>
      </c>
      <c r="CM22" s="90">
        <f t="shared" ca="1" si="102"/>
        <v>51.103396737549524</v>
      </c>
      <c r="CN22" s="90">
        <f t="shared" ca="1" si="103"/>
        <v>137.00799031761017</v>
      </c>
      <c r="CO22" s="90">
        <f t="shared" ca="1" si="104"/>
        <v>131.26235002972939</v>
      </c>
      <c r="CP22" s="90">
        <f t="shared" ca="1" si="105"/>
        <v>166.73991222763519</v>
      </c>
      <c r="CQ22" s="90">
        <f t="shared" ca="1" si="106"/>
        <v>15.106197282500828</v>
      </c>
      <c r="CR22" s="90">
        <f t="shared" ca="1" si="107"/>
        <v>20.714123553834089</v>
      </c>
      <c r="CS22" s="90">
        <f t="shared" ca="1" si="108"/>
        <v>111.01370369828422</v>
      </c>
      <c r="CT22" s="90">
        <f t="shared" ca="1" si="109"/>
        <v>42.224708600061916</v>
      </c>
      <c r="CU22" s="90">
        <f t="shared" ca="1" si="110"/>
        <v>26.634448917646903</v>
      </c>
      <c r="CV22" s="90">
        <f t="shared" ca="1" si="111"/>
        <v>141.76955389071861</v>
      </c>
      <c r="CW22" s="90">
        <f t="shared" ca="1" si="112"/>
        <v>275.71608380168658</v>
      </c>
      <c r="CX22" s="90">
        <f t="shared" ca="1" si="113"/>
        <v>172.09557200818628</v>
      </c>
      <c r="CY22" s="90">
        <f t="shared" ca="1" si="114"/>
        <v>61.243355439067088</v>
      </c>
      <c r="CZ22" s="90">
        <f t="shared" ca="1" si="115"/>
        <v>120.75922768176788</v>
      </c>
      <c r="DA22" s="90">
        <f t="shared" ca="1" si="116"/>
        <v>61.299627674120742</v>
      </c>
      <c r="DB22" s="90">
        <f t="shared" ca="1" si="117"/>
        <v>346.30683400998151</v>
      </c>
      <c r="DC22" s="90">
        <f t="shared" ca="1" si="118"/>
        <v>17.644600725848914</v>
      </c>
      <c r="DD22" s="90">
        <f t="shared" ca="1" si="119"/>
        <v>228.3124460424095</v>
      </c>
      <c r="DE22" s="90">
        <f t="shared" ca="1" si="120"/>
        <v>72.351395504091172</v>
      </c>
      <c r="DF22" s="90">
        <f t="shared" ca="1" si="121"/>
        <v>17.371831292845954</v>
      </c>
      <c r="DG22" s="90">
        <f t="shared" ca="1" si="122"/>
        <v>53.89663788731864</v>
      </c>
      <c r="DH22" s="90">
        <f t="shared" ca="1" si="123"/>
        <v>160.83105990209418</v>
      </c>
      <c r="DI22" s="90">
        <f t="shared" ca="1" si="124"/>
        <v>133.80910090901929</v>
      </c>
      <c r="DJ22" s="90">
        <f t="shared" ca="1" si="125"/>
        <v>209.00210747809467</v>
      </c>
      <c r="DK22" s="90">
        <f t="shared" ca="1" si="126"/>
        <v>59.698145114819901</v>
      </c>
      <c r="DL22" s="90">
        <f t="shared" ca="1" si="127"/>
        <v>13.909271927384149</v>
      </c>
      <c r="DM22" s="90">
        <f t="shared" ca="1" si="128"/>
        <v>11.896062597777004</v>
      </c>
      <c r="DN22" s="90">
        <f t="shared" ca="1" si="129"/>
        <v>15.415690078346115</v>
      </c>
      <c r="DO22" s="90">
        <f t="shared" ca="1" si="130"/>
        <v>404.20702227394594</v>
      </c>
      <c r="DP22" s="90">
        <f t="shared" ca="1" si="131"/>
        <v>18.098260205257446</v>
      </c>
      <c r="DQ22" s="90">
        <f t="shared" ca="1" si="132"/>
        <v>630.10972438939416</v>
      </c>
      <c r="DR22" s="90">
        <f t="shared" ca="1" si="133"/>
        <v>20.148725952970018</v>
      </c>
      <c r="DS22" s="90">
        <f t="shared" ca="1" si="134"/>
        <v>25.572634176659498</v>
      </c>
      <c r="DT22" s="90">
        <f t="shared" ca="1" si="135"/>
        <v>-1.3702674601398046</v>
      </c>
      <c r="DU22" s="90">
        <f t="shared" ca="1" si="136"/>
        <v>71.332923338752678</v>
      </c>
      <c r="DV22" s="90">
        <f t="shared" ca="1" si="137"/>
        <v>228.55237748513974</v>
      </c>
      <c r="DW22" s="90">
        <f t="shared" ca="1" si="138"/>
        <v>338.51079915387527</v>
      </c>
      <c r="DX22" s="90">
        <f t="shared" ca="1" si="139"/>
        <v>126.6437226545587</v>
      </c>
      <c r="DY22" s="90">
        <f t="shared" ca="1" si="140"/>
        <v>60.035251134957662</v>
      </c>
      <c r="DZ22" s="90">
        <f t="shared" ca="1" si="141"/>
        <v>417.47291887974785</v>
      </c>
      <c r="EA22" s="90">
        <f t="shared" ca="1" si="142"/>
        <v>46.603923621820385</v>
      </c>
      <c r="EB22" s="90">
        <f t="shared" ca="1" si="143"/>
        <v>164.99898861750151</v>
      </c>
      <c r="EC22" s="90">
        <f t="shared" ca="1" si="144"/>
        <v>100.07822879348036</v>
      </c>
      <c r="ED22" s="90">
        <f t="shared" ca="1" si="145"/>
        <v>60.351915339454798</v>
      </c>
      <c r="EE22" s="90">
        <f t="shared" ca="1" si="146"/>
        <v>-6.1111643877799526</v>
      </c>
      <c r="EF22" s="90">
        <f t="shared" ca="1" si="147"/>
        <v>303.11151207309246</v>
      </c>
      <c r="EG22" s="90">
        <f t="shared" ca="1" si="148"/>
        <v>31.323630453368324</v>
      </c>
      <c r="EH22" s="90">
        <f t="shared" ca="1" si="149"/>
        <v>48.998650042784796</v>
      </c>
      <c r="EI22" s="90">
        <f t="shared" ca="1" si="150"/>
        <v>113.59893626688027</v>
      </c>
      <c r="EJ22" s="90">
        <f t="shared" ca="1" si="151"/>
        <v>34.273365859858501</v>
      </c>
      <c r="EK22" s="90">
        <f t="shared" ca="1" si="152"/>
        <v>42.677676855388022</v>
      </c>
      <c r="EL22" s="90">
        <f t="shared" ca="1" si="153"/>
        <v>272.70711099587129</v>
      </c>
      <c r="EM22" s="90">
        <f t="shared" ca="1" si="154"/>
        <v>22.224499183017194</v>
      </c>
      <c r="EN22" s="90">
        <f t="shared" ca="1" si="155"/>
        <v>70.539524060502103</v>
      </c>
      <c r="EO22" s="90">
        <f t="shared" ca="1" si="156"/>
        <v>221.94480022880961</v>
      </c>
      <c r="EP22" s="90">
        <f t="shared" ca="1" si="157"/>
        <v>109.93760488243046</v>
      </c>
      <c r="EQ22" s="90">
        <f t="shared" ca="1" si="158"/>
        <v>60.519957769746888</v>
      </c>
      <c r="ER22" s="90">
        <f t="shared" ca="1" si="159"/>
        <v>69.764710758105338</v>
      </c>
      <c r="ES22" s="90">
        <f t="shared" ca="1" si="160"/>
        <v>151.71816054228924</v>
      </c>
      <c r="ET22" s="90">
        <f t="shared" ca="1" si="161"/>
        <v>34.079497976036727</v>
      </c>
      <c r="EU22" s="90">
        <f t="shared" ca="1" si="162"/>
        <v>40.593450225782512</v>
      </c>
      <c r="EV22" s="90">
        <f t="shared" ca="1" si="163"/>
        <v>156.35284073181043</v>
      </c>
      <c r="EW22" s="90">
        <f t="shared" ca="1" si="164"/>
        <v>243.59255579729961</v>
      </c>
      <c r="EX22" s="90">
        <f t="shared" ca="1" si="165"/>
        <v>18.650651848989565</v>
      </c>
      <c r="EY22" s="90">
        <f t="shared" ca="1" si="166"/>
        <v>165.76126934911858</v>
      </c>
      <c r="EZ22" s="90">
        <f t="shared" ca="1" si="167"/>
        <v>55.004307734185879</v>
      </c>
      <c r="FA22" s="90">
        <f t="shared" ca="1" si="168"/>
        <v>244.96152850344393</v>
      </c>
      <c r="FB22" s="90">
        <f t="shared" ca="1" si="169"/>
        <v>59.146145612427503</v>
      </c>
      <c r="FC22" s="90">
        <f t="shared" ca="1" si="170"/>
        <v>172.25048560614104</v>
      </c>
      <c r="FD22" s="90">
        <f t="shared" ca="1" si="171"/>
        <v>17.621700245563655</v>
      </c>
      <c r="FE22" s="90">
        <f t="shared" ca="1" si="172"/>
        <v>18.338654523486987</v>
      </c>
      <c r="FF22" s="90">
        <f t="shared" ca="1" si="173"/>
        <v>32.693359510598974</v>
      </c>
      <c r="FG22" s="90">
        <f t="shared" ca="1" si="174"/>
        <v>380.44628908095524</v>
      </c>
      <c r="FH22" s="90">
        <f t="shared" ca="1" si="175"/>
        <v>128.10204278402614</v>
      </c>
      <c r="FI22" s="90">
        <f t="shared" ca="1" si="176"/>
        <v>8.9472161437707012</v>
      </c>
      <c r="FJ22" s="90">
        <f t="shared" ca="1" si="177"/>
        <v>67.005095040571248</v>
      </c>
      <c r="FK22" s="90">
        <f t="shared" ca="1" si="178"/>
        <v>76.366067233836475</v>
      </c>
      <c r="FL22" s="90">
        <f t="shared" ca="1" si="179"/>
        <v>305.98093312148609</v>
      </c>
      <c r="FM22" s="90">
        <f t="shared" ca="1" si="180"/>
        <v>74.116817293063804</v>
      </c>
      <c r="FN22" s="90">
        <f t="shared" ca="1" si="181"/>
        <v>63.171832996158429</v>
      </c>
      <c r="FO22" s="90">
        <f t="shared" ca="1" si="182"/>
        <v>599.47410848598918</v>
      </c>
      <c r="FP22" s="90">
        <f t="shared" ca="1" si="183"/>
        <v>23.686863569180989</v>
      </c>
      <c r="FQ22" s="90">
        <f t="shared" ca="1" si="184"/>
        <v>105.9379176550926</v>
      </c>
      <c r="FR22" s="90">
        <f t="shared" ca="1" si="185"/>
        <v>38.096470197207267</v>
      </c>
      <c r="FS22" s="90">
        <f t="shared" ca="1" si="186"/>
        <v>45.957716492642739</v>
      </c>
      <c r="FT22" s="90">
        <f t="shared" ca="1" si="187"/>
        <v>94.863456952456701</v>
      </c>
      <c r="FU22" s="90">
        <f t="shared" ca="1" si="188"/>
        <v>247.07135368757989</v>
      </c>
      <c r="FV22" s="90">
        <f t="shared" ca="1" si="189"/>
        <v>50.308452211077849</v>
      </c>
      <c r="FW22" s="90">
        <f t="shared" ca="1" si="190"/>
        <v>9.2972347953753953</v>
      </c>
      <c r="FX22" s="90">
        <f t="shared" ca="1" si="191"/>
        <v>107.24144530362045</v>
      </c>
      <c r="FY22" s="90">
        <f t="shared" ca="1" si="192"/>
        <v>278.4576533361149</v>
      </c>
      <c r="FZ22" s="90">
        <f t="shared" ca="1" si="193"/>
        <v>22.505969768964636</v>
      </c>
      <c r="GA22" s="90">
        <f t="shared" ca="1" si="194"/>
        <v>16.274098166628242</v>
      </c>
      <c r="GB22" s="90">
        <f t="shared" ca="1" si="195"/>
        <v>24.160330194938922</v>
      </c>
      <c r="GC22" s="90">
        <f t="shared" ca="1" si="196"/>
        <v>183.36500037976415</v>
      </c>
      <c r="GD22" s="90">
        <f t="shared" ca="1" si="197"/>
        <v>227.92150669146932</v>
      </c>
      <c r="GE22" s="90">
        <f t="shared" ca="1" si="198"/>
        <v>22.266263308439257</v>
      </c>
      <c r="GF22" s="90">
        <f t="shared" ca="1" si="199"/>
        <v>40.390614620496244</v>
      </c>
      <c r="GG22" s="90">
        <f t="shared" ca="1" si="200"/>
        <v>149.51189046553301</v>
      </c>
      <c r="GH22" s="90">
        <f t="shared" ca="1" si="201"/>
        <v>215.85329811368121</v>
      </c>
      <c r="GI22" s="90">
        <f t="shared" ca="1" si="202"/>
        <v>70.64852244701521</v>
      </c>
      <c r="GJ22" s="90">
        <f t="shared" ca="1" si="203"/>
        <v>49.160344629536283</v>
      </c>
      <c r="GK22" s="90">
        <f t="shared" ca="1" si="204"/>
        <v>238.6102233785183</v>
      </c>
      <c r="GL22" s="90">
        <f t="shared" ca="1" si="205"/>
        <v>136.70341017931062</v>
      </c>
      <c r="GM22" s="90">
        <f t="shared" ca="1" si="206"/>
        <v>7.8550446912706668</v>
      </c>
      <c r="GN22" s="90">
        <f t="shared" ca="1" si="207"/>
        <v>42.343921474846915</v>
      </c>
      <c r="GO22" s="90">
        <f t="shared" ca="1" si="208"/>
        <v>43.210273055484507</v>
      </c>
      <c r="GP22" s="90">
        <f t="shared" ca="1" si="209"/>
        <v>298.79165958644114</v>
      </c>
      <c r="GQ22" s="90">
        <f t="shared" ca="1" si="210"/>
        <v>71.755530268766378</v>
      </c>
      <c r="GR22" s="90">
        <f t="shared" ca="1" si="211"/>
        <v>209.78413206300246</v>
      </c>
      <c r="GS22" s="90">
        <f t="shared" ca="1" si="212"/>
        <v>56.227758477685192</v>
      </c>
      <c r="GT22" s="90">
        <f t="shared" ca="1" si="213"/>
        <v>11.560957437781031</v>
      </c>
      <c r="GU22" s="90">
        <f t="shared" ca="1" si="214"/>
        <v>138.10949538029811</v>
      </c>
      <c r="GV22" s="90">
        <f t="shared" ca="1" si="215"/>
        <v>246.76526703533472</v>
      </c>
      <c r="GW22" s="90">
        <f t="shared" ca="1" si="216"/>
        <v>149.07767422431161</v>
      </c>
      <c r="GX22" s="90">
        <f t="shared" ca="1" si="217"/>
        <v>489.49640595290163</v>
      </c>
      <c r="GY22" s="90">
        <f t="shared" ca="1" si="218"/>
        <v>202.24273964049527</v>
      </c>
      <c r="GZ22" s="90">
        <f t="shared" ca="1" si="219"/>
        <v>135.06093475351679</v>
      </c>
      <c r="HA22" s="90">
        <f t="shared" ca="1" si="220"/>
        <v>69.60338875485327</v>
      </c>
      <c r="HB22" s="90">
        <f t="shared" ca="1" si="221"/>
        <v>86.056426765744035</v>
      </c>
      <c r="HC22" s="90">
        <f t="shared" ca="1" si="222"/>
        <v>111.66308894102721</v>
      </c>
      <c r="HD22" s="90">
        <f t="shared" ca="1" si="223"/>
        <v>100.65078296693736</v>
      </c>
      <c r="HE22" s="90">
        <f t="shared" ca="1" si="224"/>
        <v>194.70826673433785</v>
      </c>
      <c r="HF22" s="90">
        <f t="shared" ca="1" si="225"/>
        <v>144.58024782642769</v>
      </c>
      <c r="HG22" s="90">
        <f t="shared" ca="1" si="226"/>
        <v>130.03906548058143</v>
      </c>
      <c r="HH22" s="90">
        <f t="shared" ca="1" si="227"/>
        <v>40.73871625646035</v>
      </c>
      <c r="HI22" s="90">
        <f t="shared" ca="1" si="228"/>
        <v>117.78977148009741</v>
      </c>
      <c r="HJ22" s="90">
        <f t="shared" ca="1" si="229"/>
        <v>123.00776376314091</v>
      </c>
      <c r="HK22" s="90">
        <f t="shared" ca="1" si="230"/>
        <v>139.50306838149012</v>
      </c>
      <c r="HL22" s="90">
        <f t="shared" ca="1" si="231"/>
        <v>87.127714293575522</v>
      </c>
      <c r="HM22" s="90">
        <f t="shared" ca="1" si="232"/>
        <v>98.477398638796728</v>
      </c>
      <c r="HN22" s="90">
        <f t="shared" ca="1" si="233"/>
        <v>77.577986621565771</v>
      </c>
      <c r="HO22" s="90">
        <f t="shared" ca="1" si="234"/>
        <v>174.45382490862644</v>
      </c>
      <c r="HP22" s="90">
        <f t="shared" ca="1" si="235"/>
        <v>144.24333772839893</v>
      </c>
      <c r="HQ22" s="90">
        <f t="shared" ca="1" si="236"/>
        <v>228.14059912019329</v>
      </c>
      <c r="HR22" s="90">
        <f t="shared" ca="1" si="237"/>
        <v>35.611015207722197</v>
      </c>
      <c r="HS22" s="90">
        <f t="shared" ca="1" si="238"/>
        <v>52.900853489094615</v>
      </c>
      <c r="HT22" s="90">
        <f t="shared" ca="1" si="239"/>
        <v>69.207006842647004</v>
      </c>
      <c r="HU22" s="90">
        <f t="shared" ca="1" si="240"/>
        <v>21.966358414684588</v>
      </c>
      <c r="HV22" s="90">
        <f t="shared" ca="1" si="241"/>
        <v>43.135952091761183</v>
      </c>
      <c r="HW22" s="90">
        <f t="shared" ca="1" si="242"/>
        <v>86.189050540814733</v>
      </c>
      <c r="HX22" s="90">
        <f t="shared" ca="1" si="243"/>
        <v>84.280974854175923</v>
      </c>
      <c r="HY22" s="90">
        <f t="shared" ca="1" si="244"/>
        <v>354.45827307556755</v>
      </c>
      <c r="HZ22" s="90">
        <f t="shared" ca="1" si="245"/>
        <v>150.67565253504509</v>
      </c>
      <c r="IA22" s="90">
        <f t="shared" ca="1" si="246"/>
        <v>113.36528000332433</v>
      </c>
      <c r="IB22" s="90">
        <f t="shared" ca="1" si="247"/>
        <v>150.584225452814</v>
      </c>
      <c r="IC22" s="90">
        <f t="shared" ca="1" si="248"/>
        <v>20.765447151064247</v>
      </c>
      <c r="ID22" s="90">
        <f t="shared" ca="1" si="249"/>
        <v>25.507621178099296</v>
      </c>
      <c r="IE22" s="90">
        <f t="shared" ca="1" si="250"/>
        <v>16.784751182993141</v>
      </c>
      <c r="IF22" s="90">
        <f t="shared" ca="1" si="251"/>
        <v>2.891866793290101</v>
      </c>
      <c r="IG22" s="90">
        <f t="shared" ca="1" si="252"/>
        <v>102.14131692371784</v>
      </c>
      <c r="IH22" s="90">
        <f t="shared" ca="1" si="253"/>
        <v>69.938093826410153</v>
      </c>
      <c r="II22" s="90">
        <f t="shared" ca="1" si="254"/>
        <v>20.327651559173596</v>
      </c>
      <c r="IJ22" s="90">
        <f t="shared" ca="1" si="255"/>
        <v>37.038181803384447</v>
      </c>
      <c r="IK22" s="90">
        <f t="shared" ca="1" si="256"/>
        <v>177.95022818868574</v>
      </c>
      <c r="IL22" s="90">
        <f t="shared" ca="1" si="257"/>
        <v>176.99977579023991</v>
      </c>
      <c r="IM22" s="90">
        <f t="shared" ca="1" si="258"/>
        <v>223.90159976025549</v>
      </c>
      <c r="IN22" s="90">
        <f t="shared" ca="1" si="259"/>
        <v>117.83484085081925</v>
      </c>
      <c r="IO22" s="90">
        <f t="shared" ca="1" si="260"/>
        <v>5.8205450730405142</v>
      </c>
      <c r="IP22" s="90">
        <f t="shared" ca="1" si="261"/>
        <v>28.497063380781899</v>
      </c>
      <c r="IQ22" s="90">
        <f t="shared" ca="1" si="262"/>
        <v>103.78950277832053</v>
      </c>
      <c r="IR22" s="90">
        <f t="shared" ca="1" si="263"/>
        <v>193.78362007724016</v>
      </c>
      <c r="IS22" s="90">
        <f t="shared" ca="1" si="264"/>
        <v>65.174373847006407</v>
      </c>
      <c r="IT22" s="90">
        <f t="shared" ca="1" si="265"/>
        <v>10.523745354770426</v>
      </c>
      <c r="IU22" s="90">
        <f t="shared" ca="1" si="266"/>
        <v>446.61356430488405</v>
      </c>
      <c r="IV22" s="90">
        <f t="shared" ca="1" si="267"/>
        <v>19.965283591161299</v>
      </c>
      <c r="IW22" s="90">
        <f t="shared" ca="1" si="268"/>
        <v>44.926470125855694</v>
      </c>
      <c r="IX22" s="90">
        <f t="shared" ca="1" si="269"/>
        <v>115.56700483280171</v>
      </c>
      <c r="IY22" s="90">
        <f t="shared" ca="1" si="270"/>
        <v>90.312504998457371</v>
      </c>
      <c r="IZ22" s="90">
        <f t="shared" ca="1" si="271"/>
        <v>163.69527509523948</v>
      </c>
      <c r="JA22" s="90">
        <f t="shared" ca="1" si="272"/>
        <v>54.334087397736091</v>
      </c>
      <c r="JB22" s="90">
        <f t="shared" ca="1" si="273"/>
        <v>17.509571225334028</v>
      </c>
      <c r="JC22" s="90">
        <f t="shared" ca="1" si="274"/>
        <v>12.488068471749772</v>
      </c>
      <c r="JD22" s="90">
        <f t="shared" ca="1" si="275"/>
        <v>45.63635065485726</v>
      </c>
      <c r="JE22" s="90">
        <f t="shared" ca="1" si="276"/>
        <v>36.382116772750592</v>
      </c>
      <c r="JF22" s="90">
        <f t="shared" ca="1" si="277"/>
        <v>41.209652582044875</v>
      </c>
      <c r="JG22" s="90">
        <f t="shared" ca="1" si="278"/>
        <v>182.69797611416155</v>
      </c>
      <c r="JH22" s="90">
        <f t="shared" ca="1" si="279"/>
        <v>17.739045540336395</v>
      </c>
      <c r="JI22" s="90">
        <f t="shared" ca="1" si="280"/>
        <v>25.045642299247525</v>
      </c>
      <c r="JJ22" s="90">
        <f t="shared" ca="1" si="281"/>
        <v>24.880899183308617</v>
      </c>
      <c r="JK22" s="90">
        <f t="shared" ca="1" si="282"/>
        <v>165.46623384192912</v>
      </c>
      <c r="JL22" s="90">
        <f t="shared" ca="1" si="283"/>
        <v>211.10045613845782</v>
      </c>
      <c r="JM22" s="90">
        <f t="shared" ca="1" si="284"/>
        <v>108.57982389586496</v>
      </c>
      <c r="JN22" s="90">
        <f t="shared" ca="1" si="285"/>
        <v>105.23196395849246</v>
      </c>
      <c r="JO22" s="90">
        <f t="shared" ca="1" si="286"/>
        <v>47.150711914787195</v>
      </c>
      <c r="JP22" s="90">
        <f t="shared" ca="1" si="287"/>
        <v>26.425393064191571</v>
      </c>
      <c r="JQ22" s="90">
        <f t="shared" ca="1" si="288"/>
        <v>63.213882426136308</v>
      </c>
      <c r="JR22" s="90">
        <f t="shared" ca="1" si="289"/>
        <v>108.96466192868924</v>
      </c>
      <c r="JS22" s="90">
        <f t="shared" ca="1" si="290"/>
        <v>46.657585728817857</v>
      </c>
      <c r="JT22" s="90">
        <f t="shared" ca="1" si="291"/>
        <v>28.41257364469686</v>
      </c>
      <c r="JU22" s="90">
        <f t="shared" ca="1" si="292"/>
        <v>49.679428301930677</v>
      </c>
      <c r="JV22" s="90">
        <f t="shared" ca="1" si="293"/>
        <v>158.16158853096383</v>
      </c>
      <c r="JW22" s="90">
        <f t="shared" ca="1" si="294"/>
        <v>51.556627125353081</v>
      </c>
      <c r="JX22" s="90">
        <f t="shared" ca="1" si="295"/>
        <v>33.296079391779102</v>
      </c>
      <c r="JY22" s="90">
        <f t="shared" ca="1" si="296"/>
        <v>157.18522610182805</v>
      </c>
      <c r="JZ22" s="90">
        <f t="shared" ca="1" si="297"/>
        <v>26.286618157409436</v>
      </c>
      <c r="KA22" s="90">
        <f t="shared" ca="1" si="298"/>
        <v>19.787095058752946</v>
      </c>
      <c r="KB22" s="90">
        <f t="shared" ca="1" si="299"/>
        <v>76.892927099465609</v>
      </c>
      <c r="KC22" s="90">
        <f t="shared" ca="1" si="300"/>
        <v>12.204323683621801</v>
      </c>
      <c r="KD22" s="90">
        <f t="shared" ca="1" si="301"/>
        <v>7.4151214621366801</v>
      </c>
      <c r="KE22" s="90">
        <f t="shared" ca="1" si="302"/>
        <v>40.743224388559426</v>
      </c>
      <c r="KF22" s="90">
        <f t="shared" ca="1" si="303"/>
        <v>71.347207040439486</v>
      </c>
      <c r="KG22" s="90">
        <f t="shared" ca="1" si="304"/>
        <v>145.32531831884683</v>
      </c>
      <c r="KH22" s="90">
        <f t="shared" ca="1" si="305"/>
        <v>671.40243166791197</v>
      </c>
      <c r="KI22" s="90">
        <f t="shared" ca="1" si="306"/>
        <v>50.135670289672859</v>
      </c>
      <c r="KJ22" s="90">
        <f t="shared" ca="1" si="307"/>
        <v>191.54878438851611</v>
      </c>
      <c r="KK22" s="90">
        <f t="shared" ca="1" si="308"/>
        <v>34.78331300045933</v>
      </c>
      <c r="KL22" s="90">
        <f t="shared" ca="1" si="309"/>
        <v>9.5451607892938704</v>
      </c>
      <c r="KM22" s="90">
        <f t="shared" ca="1" si="310"/>
        <v>84.353777385321223</v>
      </c>
      <c r="KN22" s="90">
        <f t="shared" ca="1" si="311"/>
        <v>157.64055756607468</v>
      </c>
      <c r="KO22" s="90">
        <f t="shared" ca="1" si="312"/>
        <v>91.598894919550574</v>
      </c>
      <c r="KP22" s="90">
        <f t="shared" ca="1" si="313"/>
        <v>135.45824327915182</v>
      </c>
      <c r="KQ22" s="90">
        <f t="shared" ca="1" si="314"/>
        <v>50.488392515038797</v>
      </c>
      <c r="KR22" s="90">
        <f t="shared" ca="1" si="315"/>
        <v>84.796415936624484</v>
      </c>
      <c r="KS22" s="90">
        <f t="shared" ca="1" si="316"/>
        <v>63.458783109713472</v>
      </c>
      <c r="KT22" s="90">
        <f t="shared" ca="1" si="317"/>
        <v>147.77858092470291</v>
      </c>
      <c r="KU22" s="90">
        <f t="shared" ca="1" si="318"/>
        <v>26.328210042599164</v>
      </c>
      <c r="KV22" s="90">
        <f t="shared" ca="1" si="319"/>
        <v>83.17308098746858</v>
      </c>
      <c r="KW22" s="90">
        <f t="shared" ca="1" si="320"/>
        <v>56.478597158813329</v>
      </c>
      <c r="KX22" s="90">
        <f t="shared" ca="1" si="321"/>
        <v>71.897112565751755</v>
      </c>
      <c r="KY22" s="90">
        <f t="shared" ca="1" si="322"/>
        <v>188.24577231648306</v>
      </c>
      <c r="KZ22" s="90">
        <f t="shared" ca="1" si="323"/>
        <v>69.939069232428906</v>
      </c>
      <c r="LA22" s="90">
        <f t="shared" ca="1" si="324"/>
        <v>97.424804936571675</v>
      </c>
      <c r="LB22" s="90">
        <f t="shared" ca="1" si="325"/>
        <v>44.556400479965269</v>
      </c>
      <c r="LC22" s="90">
        <f t="shared" ca="1" si="326"/>
        <v>548.46613920700463</v>
      </c>
      <c r="LD22" s="90">
        <f t="shared" ca="1" si="327"/>
        <v>103.78393308829698</v>
      </c>
      <c r="LE22" s="90">
        <f t="shared" ca="1" si="328"/>
        <v>102.15504910176999</v>
      </c>
      <c r="LF22" s="90">
        <f t="shared" ca="1" si="329"/>
        <v>16.971104302397165</v>
      </c>
      <c r="LG22" s="90">
        <f t="shared" ca="1" si="330"/>
        <v>107.47949559375282</v>
      </c>
      <c r="LH22" s="90">
        <f t="shared" ca="1" si="331"/>
        <v>109.02378639948591</v>
      </c>
      <c r="LI22" s="90">
        <f t="shared" ca="1" si="332"/>
        <v>91.693640284504554</v>
      </c>
      <c r="LJ22" s="90">
        <f t="shared" ca="1" si="333"/>
        <v>38.504860214210481</v>
      </c>
      <c r="LK22" s="90">
        <f t="shared" ca="1" si="334"/>
        <v>14.107317800463752</v>
      </c>
      <c r="LL22" s="90">
        <f t="shared" ca="1" si="335"/>
        <v>48.785253344466788</v>
      </c>
      <c r="LM22" s="90">
        <f t="shared" ca="1" si="336"/>
        <v>133.67680853832923</v>
      </c>
      <c r="LN22" s="90">
        <f t="shared" ca="1" si="337"/>
        <v>2.6373326106321624</v>
      </c>
      <c r="LO22" s="90">
        <f t="shared" ca="1" si="338"/>
        <v>86.001926420473737</v>
      </c>
      <c r="LP22" s="90">
        <f t="shared" ca="1" si="339"/>
        <v>3.245991195580654</v>
      </c>
      <c r="LQ22" s="90">
        <f t="shared" ca="1" si="340"/>
        <v>168.03293106466654</v>
      </c>
      <c r="LR22" s="90">
        <f t="shared" ca="1" si="341"/>
        <v>66.940275251776796</v>
      </c>
      <c r="LS22" s="90">
        <f t="shared" ca="1" si="342"/>
        <v>131.98982943032624</v>
      </c>
      <c r="LT22" s="90">
        <f t="shared" ca="1" si="343"/>
        <v>27.001612363183156</v>
      </c>
      <c r="LU22" s="90">
        <f t="shared" ca="1" si="344"/>
        <v>144.99785219943246</v>
      </c>
      <c r="LV22" s="90">
        <f t="shared" ca="1" si="345"/>
        <v>162.87518113671862</v>
      </c>
      <c r="LW22" s="90">
        <f t="shared" ca="1" si="346"/>
        <v>102.25557003853028</v>
      </c>
      <c r="LX22" s="90">
        <f t="shared" ca="1" si="347"/>
        <v>60.178165551419447</v>
      </c>
      <c r="LY22" s="90">
        <f t="shared" ca="1" si="348"/>
        <v>73.694959816382791</v>
      </c>
      <c r="LZ22" s="90">
        <f t="shared" ca="1" si="349"/>
        <v>86.927238218115733</v>
      </c>
      <c r="MA22" s="90">
        <f t="shared" ca="1" si="350"/>
        <v>87.815475899789988</v>
      </c>
      <c r="MB22" s="90">
        <f t="shared" ca="1" si="351"/>
        <v>47.703440566010173</v>
      </c>
      <c r="MC22" s="90">
        <f t="shared" ca="1" si="352"/>
        <v>50.003623001256955</v>
      </c>
      <c r="MD22" s="90">
        <f t="shared" ca="1" si="353"/>
        <v>400.71925226812874</v>
      </c>
      <c r="ME22" s="90">
        <f t="shared" ca="1" si="354"/>
        <v>22.684155542003001</v>
      </c>
      <c r="MF22" s="90">
        <f t="shared" ca="1" si="355"/>
        <v>202.17347781961928</v>
      </c>
      <c r="MG22" s="90">
        <f t="shared" ca="1" si="356"/>
        <v>92.24642917373896</v>
      </c>
      <c r="MH22" s="90">
        <f t="shared" ca="1" si="357"/>
        <v>112.37090636784174</v>
      </c>
      <c r="MI22" s="90">
        <f t="shared" ca="1" si="358"/>
        <v>31.292377912022872</v>
      </c>
      <c r="MJ22" s="90">
        <f t="shared" ca="1" si="359"/>
        <v>55.644114328355982</v>
      </c>
      <c r="MK22" s="90">
        <f t="shared" ca="1" si="360"/>
        <v>57.206860441147718</v>
      </c>
      <c r="ML22" s="90">
        <f t="shared" ca="1" si="361"/>
        <v>147.03813198029738</v>
      </c>
      <c r="MM22" s="90">
        <f t="shared" ca="1" si="362"/>
        <v>106.08287914813829</v>
      </c>
      <c r="MN22" s="90">
        <f t="shared" ca="1" si="363"/>
        <v>285.46298818896355</v>
      </c>
      <c r="MO22" s="90">
        <f t="shared" ca="1" si="364"/>
        <v>281.48527218189184</v>
      </c>
      <c r="MP22" s="90">
        <f t="shared" ca="1" si="365"/>
        <v>232.52914389540862</v>
      </c>
      <c r="MQ22" s="90">
        <f t="shared" ca="1" si="366"/>
        <v>135.03615138226434</v>
      </c>
      <c r="MR22" s="90">
        <f t="shared" ca="1" si="367"/>
        <v>52.975391233781302</v>
      </c>
      <c r="MS22" s="90">
        <f t="shared" ca="1" si="368"/>
        <v>89.422862863747866</v>
      </c>
      <c r="MT22" s="90">
        <f t="shared" ca="1" si="369"/>
        <v>28.494170411200436</v>
      </c>
      <c r="MU22" s="90">
        <f t="shared" ca="1" si="370"/>
        <v>33.469476078250906</v>
      </c>
      <c r="MV22" s="90">
        <f t="shared" ca="1" si="371"/>
        <v>123.95398350863812</v>
      </c>
      <c r="MW22" s="90">
        <f t="shared" ca="1" si="372"/>
        <v>60.954010550921446</v>
      </c>
      <c r="MX22" s="90">
        <f t="shared" ca="1" si="373"/>
        <v>55.225382859951409</v>
      </c>
      <c r="MY22" s="90">
        <f t="shared" ca="1" si="374"/>
        <v>84.644780737968688</v>
      </c>
      <c r="MZ22" s="90">
        <f t="shared" ca="1" si="375"/>
        <v>507.11230439072324</v>
      </c>
      <c r="NA22" s="90">
        <f t="shared" ca="1" si="376"/>
        <v>142.35035913207136</v>
      </c>
      <c r="NB22" s="90">
        <f t="shared" ca="1" si="377"/>
        <v>117.06480752732934</v>
      </c>
      <c r="NC22" s="90">
        <f t="shared" ca="1" si="378"/>
        <v>14.663918188783812</v>
      </c>
      <c r="ND22" s="90">
        <f t="shared" ca="1" si="379"/>
        <v>109.25671462040575</v>
      </c>
      <c r="NE22" s="90">
        <f t="shared" ca="1" si="380"/>
        <v>80.116003470097951</v>
      </c>
      <c r="NF22" s="90">
        <f t="shared" ca="1" si="381"/>
        <v>20.861195178546627</v>
      </c>
      <c r="NG22" s="90">
        <f t="shared" ca="1" si="382"/>
        <v>80.661587771968769</v>
      </c>
      <c r="NH22" s="90">
        <f t="shared" ca="1" si="383"/>
        <v>83.3128178418457</v>
      </c>
      <c r="NI22" s="90">
        <f t="shared" ca="1" si="384"/>
        <v>131.37463722798884</v>
      </c>
      <c r="NJ22" s="90">
        <f t="shared" ca="1" si="385"/>
        <v>240.71091588487207</v>
      </c>
      <c r="NK22" s="90">
        <f t="shared" ca="1" si="386"/>
        <v>46.575596436315188</v>
      </c>
      <c r="NL22" s="90">
        <f t="shared" ca="1" si="387"/>
        <v>498.6954051302165</v>
      </c>
      <c r="NM22" s="90">
        <f t="shared" ca="1" si="388"/>
        <v>89.475280529541124</v>
      </c>
      <c r="NN22" s="90">
        <f t="shared" ca="1" si="389"/>
        <v>14.631777838419623</v>
      </c>
      <c r="NO22" s="90">
        <f t="shared" ca="1" si="390"/>
        <v>185.64754324594287</v>
      </c>
      <c r="NP22" s="90">
        <f t="shared" ca="1" si="391"/>
        <v>45.560904701295456</v>
      </c>
      <c r="NQ22" s="90">
        <f t="shared" ca="1" si="392"/>
        <v>20.504348845460296</v>
      </c>
      <c r="NR22" s="90">
        <f t="shared" ca="1" si="393"/>
        <v>106.13765878981066</v>
      </c>
      <c r="NS22" s="90">
        <f t="shared" ca="1" si="394"/>
        <v>-32.430032742781414</v>
      </c>
      <c r="NT22" s="90">
        <f t="shared" ca="1" si="395"/>
        <v>-1.6165489247307321</v>
      </c>
      <c r="NU22" s="90">
        <f t="shared" ca="1" si="396"/>
        <v>25.169219959017763</v>
      </c>
      <c r="NV22" s="90">
        <f t="shared" ca="1" si="397"/>
        <v>33.827504247551147</v>
      </c>
      <c r="NW22" s="90">
        <f t="shared" ca="1" si="398"/>
        <v>114.56882583412046</v>
      </c>
      <c r="NX22" s="90">
        <f t="shared" ca="1" si="399"/>
        <v>137.29200549549202</v>
      </c>
      <c r="NY22" s="90">
        <f t="shared" ca="1" si="400"/>
        <v>-5.5072447698491862</v>
      </c>
      <c r="NZ22" s="90">
        <f t="shared" ca="1" si="401"/>
        <v>302.99033011444772</v>
      </c>
      <c r="OA22" s="90">
        <f t="shared" ca="1" si="402"/>
        <v>88.830725917219056</v>
      </c>
      <c r="OB22" s="90">
        <f t="shared" ca="1" si="403"/>
        <v>38.146052754502293</v>
      </c>
      <c r="OC22" s="90">
        <f t="shared" ca="1" si="404"/>
        <v>244.14075626542584</v>
      </c>
      <c r="OD22" s="90">
        <f t="shared" ca="1" si="405"/>
        <v>87.765205213076115</v>
      </c>
      <c r="OE22" s="90">
        <f t="shared" ca="1" si="406"/>
        <v>42.165774828398064</v>
      </c>
      <c r="OF22" s="90">
        <f t="shared" ca="1" si="407"/>
        <v>18.72016914763304</v>
      </c>
      <c r="OG22" s="90">
        <f t="shared" ca="1" si="408"/>
        <v>59.899814812076073</v>
      </c>
      <c r="OH22" s="90">
        <f t="shared" ca="1" si="409"/>
        <v>118.03485775285172</v>
      </c>
      <c r="OI22" s="90">
        <f t="shared" ca="1" si="410"/>
        <v>40.361932084795399</v>
      </c>
      <c r="OJ22" s="90">
        <f t="shared" ca="1" si="411"/>
        <v>-5.4188339987044962</v>
      </c>
      <c r="OK22" s="90">
        <f t="shared" ca="1" si="412"/>
        <v>71.006894322948568</v>
      </c>
      <c r="OL22" s="90">
        <f t="shared" ca="1" si="413"/>
        <v>147.20044339597663</v>
      </c>
      <c r="OM22" s="90">
        <f t="shared" ca="1" si="414"/>
        <v>127.99134000855939</v>
      </c>
      <c r="ON22" s="90">
        <f t="shared" ca="1" si="415"/>
        <v>105.62406803326408</v>
      </c>
      <c r="OO22" s="90">
        <f t="shared" ca="1" si="416"/>
        <v>127.74032364962243</v>
      </c>
      <c r="OP22" s="90">
        <f t="shared" ca="1" si="417"/>
        <v>20.008842528916357</v>
      </c>
      <c r="OQ22" s="90">
        <f t="shared" ca="1" si="418"/>
        <v>110.99810647494677</v>
      </c>
      <c r="OR22" s="90">
        <f t="shared" ca="1" si="419"/>
        <v>123.91196091295144</v>
      </c>
      <c r="OS22" s="90">
        <f t="shared" ca="1" si="420"/>
        <v>144.44995224645339</v>
      </c>
      <c r="OT22" s="90">
        <f t="shared" ca="1" si="421"/>
        <v>70.616770234861491</v>
      </c>
      <c r="OU22" s="90">
        <f t="shared" ca="1" si="422"/>
        <v>214.76668017380624</v>
      </c>
      <c r="OV22" s="90">
        <f t="shared" ca="1" si="423"/>
        <v>122.45572002864294</v>
      </c>
      <c r="OW22" s="90">
        <f t="shared" ca="1" si="424"/>
        <v>38.518577521929693</v>
      </c>
      <c r="OX22" s="90">
        <f t="shared" ca="1" si="425"/>
        <v>26.461696075598365</v>
      </c>
      <c r="OY22" s="90">
        <f t="shared" ca="1" si="426"/>
        <v>49.498158809415145</v>
      </c>
      <c r="OZ22" s="90">
        <f t="shared" ca="1" si="427"/>
        <v>46.479923472583842</v>
      </c>
      <c r="PA22" s="90">
        <f t="shared" ca="1" si="428"/>
        <v>107.67245658881373</v>
      </c>
      <c r="PB22" s="90">
        <f t="shared" ca="1" si="429"/>
        <v>182.19420764032017</v>
      </c>
      <c r="PC22" s="90">
        <f t="shared" ca="1" si="430"/>
        <v>9.4548849312003256</v>
      </c>
      <c r="PD22" s="90">
        <f t="shared" ca="1" si="431"/>
        <v>88.37937264069754</v>
      </c>
      <c r="PE22" s="90">
        <f t="shared" ca="1" si="432"/>
        <v>149.57768171043082</v>
      </c>
      <c r="PF22" s="90">
        <f t="shared" ca="1" si="433"/>
        <v>13.254735536743155</v>
      </c>
      <c r="PG22" s="90">
        <f t="shared" ca="1" si="434"/>
        <v>25.407011971018338</v>
      </c>
      <c r="PH22" s="90">
        <f t="shared" ca="1" si="435"/>
        <v>105.18017135143256</v>
      </c>
      <c r="PI22" s="90">
        <f t="shared" ca="1" si="436"/>
        <v>30.53219637728715</v>
      </c>
      <c r="PJ22" s="90">
        <f t="shared" ca="1" si="437"/>
        <v>307.86638936653281</v>
      </c>
      <c r="PK22" s="90">
        <f t="shared" ca="1" si="438"/>
        <v>76.706356576756392</v>
      </c>
      <c r="PL22" s="90">
        <f t="shared" ca="1" si="439"/>
        <v>99.261737317074989</v>
      </c>
      <c r="PM22" s="90">
        <f t="shared" ca="1" si="440"/>
        <v>220.43752795867576</v>
      </c>
      <c r="PN22" s="90">
        <f t="shared" ca="1" si="441"/>
        <v>19.033835908380205</v>
      </c>
      <c r="PO22" s="90">
        <f t="shared" ca="1" si="442"/>
        <v>200.9452052995008</v>
      </c>
      <c r="PP22" s="90">
        <f t="shared" ca="1" si="443"/>
        <v>36.396926534961651</v>
      </c>
      <c r="PQ22" s="90">
        <f t="shared" ca="1" si="444"/>
        <v>241.06289343519936</v>
      </c>
      <c r="PR22" s="90">
        <f t="shared" ca="1" si="445"/>
        <v>79.664706433857276</v>
      </c>
      <c r="PS22" s="90">
        <f t="shared" ca="1" si="446"/>
        <v>22.824850341924549</v>
      </c>
      <c r="PT22" s="90">
        <f t="shared" ca="1" si="447"/>
        <v>69.083654422189724</v>
      </c>
      <c r="PU22" s="90">
        <f t="shared" ca="1" si="448"/>
        <v>16.435144214320005</v>
      </c>
      <c r="PV22" s="90">
        <f t="shared" ca="1" si="449"/>
        <v>76.303325957076964</v>
      </c>
      <c r="PW22" s="90">
        <f t="shared" ca="1" si="450"/>
        <v>305.12807857603036</v>
      </c>
      <c r="PX22" s="90">
        <f t="shared" ca="1" si="451"/>
        <v>141.76553441205135</v>
      </c>
      <c r="PY22" s="90">
        <f t="shared" ca="1" si="452"/>
        <v>196.13600869854017</v>
      </c>
      <c r="PZ22" s="90">
        <f t="shared" ca="1" si="453"/>
        <v>47.726202050724716</v>
      </c>
      <c r="QA22" s="90">
        <f t="shared" ca="1" si="454"/>
        <v>140.12924801749728</v>
      </c>
      <c r="QB22" s="90">
        <f t="shared" ca="1" si="455"/>
        <v>112.7977977230434</v>
      </c>
      <c r="QC22" s="90">
        <f t="shared" ca="1" si="456"/>
        <v>14.801012647904054</v>
      </c>
      <c r="QD22" s="90">
        <f t="shared" ca="1" si="457"/>
        <v>210.39207397868384</v>
      </c>
      <c r="QE22" s="90">
        <f t="shared" ca="1" si="458"/>
        <v>74.916055960860504</v>
      </c>
      <c r="QF22" s="90">
        <f t="shared" ca="1" si="459"/>
        <v>106.47478300674324</v>
      </c>
      <c r="QG22" s="90">
        <f t="shared" ca="1" si="460"/>
        <v>48.70751940724427</v>
      </c>
      <c r="QH22" s="90">
        <f t="shared" ca="1" si="461"/>
        <v>105.64054523719322</v>
      </c>
      <c r="QI22" s="90">
        <f t="shared" ca="1" si="462"/>
        <v>140.93863563516166</v>
      </c>
      <c r="QJ22" s="90">
        <f t="shared" ca="1" si="463"/>
        <v>99.104499378147665</v>
      </c>
      <c r="QK22" s="90">
        <f t="shared" ca="1" si="464"/>
        <v>97.640542072512886</v>
      </c>
      <c r="QL22" s="90">
        <f t="shared" ca="1" si="465"/>
        <v>104.66307754977171</v>
      </c>
      <c r="QM22" s="90">
        <f t="shared" ca="1" si="466"/>
        <v>47.841070302216181</v>
      </c>
      <c r="QN22" s="90">
        <f t="shared" ca="1" si="467"/>
        <v>23.781141361054495</v>
      </c>
      <c r="QO22" s="90">
        <f t="shared" ca="1" si="468"/>
        <v>88.440640111326303</v>
      </c>
      <c r="QP22" s="90">
        <f t="shared" ca="1" si="469"/>
        <v>96.674004139668057</v>
      </c>
      <c r="QQ22" s="90">
        <f t="shared" ca="1" si="470"/>
        <v>178.5434985491795</v>
      </c>
      <c r="QR22" s="90">
        <f t="shared" ca="1" si="471"/>
        <v>305.86295937373546</v>
      </c>
      <c r="QS22" s="90">
        <f t="shared" ca="1" si="472"/>
        <v>276.98349216789393</v>
      </c>
      <c r="QT22" s="90">
        <f t="shared" ca="1" si="473"/>
        <v>213.06921306139344</v>
      </c>
      <c r="QU22" s="90">
        <f t="shared" ca="1" si="474"/>
        <v>190.7296795909192</v>
      </c>
      <c r="QV22" s="90">
        <f t="shared" ca="1" si="475"/>
        <v>164.38689223466685</v>
      </c>
      <c r="QW22" s="90">
        <f t="shared" ca="1" si="476"/>
        <v>-9.5016836802783633</v>
      </c>
      <c r="QX22" s="90">
        <f t="shared" ca="1" si="477"/>
        <v>86.48959669018538</v>
      </c>
      <c r="QY22" s="90">
        <f t="shared" ca="1" si="478"/>
        <v>127.28370091381251</v>
      </c>
      <c r="QZ22" s="90">
        <f t="shared" ca="1" si="479"/>
        <v>53.615895318278938</v>
      </c>
      <c r="RA22" s="90">
        <f t="shared" ca="1" si="480"/>
        <v>293.38114146893008</v>
      </c>
      <c r="RB22" s="90">
        <f t="shared" ca="1" si="481"/>
        <v>69.25569942740637</v>
      </c>
      <c r="RC22" s="90">
        <f t="shared" ca="1" si="482"/>
        <v>72.397721892048125</v>
      </c>
      <c r="RD22" s="90">
        <f t="shared" ca="1" si="483"/>
        <v>-8.722167858681944</v>
      </c>
      <c r="RE22" s="90">
        <f t="shared" ca="1" si="484"/>
        <v>78.956242459434748</v>
      </c>
      <c r="RF22" s="90">
        <f t="shared" ca="1" si="485"/>
        <v>431.16405332560123</v>
      </c>
      <c r="RG22" s="90">
        <f t="shared" ca="1" si="486"/>
        <v>33.43458819082597</v>
      </c>
      <c r="RH22" s="90">
        <f t="shared" ca="1" si="487"/>
        <v>101.05094894979831</v>
      </c>
      <c r="RI22" s="90">
        <f t="shared" ca="1" si="488"/>
        <v>84.146269882944694</v>
      </c>
      <c r="RJ22" s="90">
        <f t="shared" ca="1" si="489"/>
        <v>67.198588933738719</v>
      </c>
      <c r="RK22" s="90">
        <f t="shared" ca="1" si="490"/>
        <v>12.912771214758436</v>
      </c>
      <c r="RL22" s="90">
        <f t="shared" ca="1" si="491"/>
        <v>4.4287386496229724</v>
      </c>
      <c r="RM22" s="90">
        <f t="shared" ca="1" si="492"/>
        <v>53.117211363561246</v>
      </c>
      <c r="RN22" s="90">
        <f t="shared" ca="1" si="493"/>
        <v>178.1103306830737</v>
      </c>
      <c r="RO22" s="90">
        <f t="shared" ca="1" si="494"/>
        <v>45.150990372125015</v>
      </c>
      <c r="RP22" s="90">
        <f t="shared" ca="1" si="495"/>
        <v>249.68849395247517</v>
      </c>
      <c r="RQ22" s="90">
        <f t="shared" ca="1" si="496"/>
        <v>122.59035628959403</v>
      </c>
      <c r="RR22" s="90">
        <f t="shared" ca="1" si="497"/>
        <v>30.230266671143912</v>
      </c>
      <c r="RS22" s="90">
        <f t="shared" ca="1" si="498"/>
        <v>41.215191307874008</v>
      </c>
      <c r="RT22" s="90">
        <f t="shared" ca="1" si="499"/>
        <v>39.031354350191108</v>
      </c>
      <c r="RU22" s="90">
        <f t="shared" ca="1" si="500"/>
        <v>103.92744954771686</v>
      </c>
      <c r="RV22" s="90">
        <f t="shared" ca="1" si="501"/>
        <v>148.59485326690697</v>
      </c>
      <c r="RW22" s="90">
        <f t="shared" ca="1" si="502"/>
        <v>115.10914680158012</v>
      </c>
      <c r="RX22" s="90">
        <f t="shared" ca="1" si="503"/>
        <v>43.187863758179184</v>
      </c>
      <c r="RY22" s="90">
        <f t="shared" ca="1" si="504"/>
        <v>35.22229981913398</v>
      </c>
      <c r="RZ22" s="90">
        <f t="shared" ca="1" si="505"/>
        <v>25.077504865827908</v>
      </c>
      <c r="SA22" s="90">
        <f t="shared" ca="1" si="506"/>
        <v>183.28637523955405</v>
      </c>
      <c r="SB22" s="90">
        <f t="shared" ca="1" si="507"/>
        <v>99.358417730831462</v>
      </c>
      <c r="SC22" s="90">
        <f t="shared" ca="1" si="508"/>
        <v>81.725286743532038</v>
      </c>
      <c r="SD22" s="90">
        <f t="shared" ca="1" si="509"/>
        <v>22.968126902048176</v>
      </c>
      <c r="SE22" s="90">
        <f t="shared" ca="1" si="510"/>
        <v>7.4831036046922597</v>
      </c>
      <c r="SF22" s="90">
        <f t="shared" ca="1" si="511"/>
        <v>53.089760410099053</v>
      </c>
      <c r="SG22" s="90">
        <f t="shared" ca="1" si="512"/>
        <v>243.81374871786022</v>
      </c>
      <c r="SH22" s="90">
        <f t="shared" ca="1" si="513"/>
        <v>263.47775871874501</v>
      </c>
      <c r="SI22" s="90">
        <f t="shared" ca="1" si="514"/>
        <v>36.463320654233058</v>
      </c>
      <c r="SJ22" s="90">
        <f t="shared" ca="1" si="515"/>
        <v>23.413360422618158</v>
      </c>
      <c r="SK22" s="90">
        <f t="shared" ca="1" si="516"/>
        <v>191.78155463337836</v>
      </c>
      <c r="SL22" s="90">
        <f t="shared" ca="1" si="517"/>
        <v>43.582147630633877</v>
      </c>
      <c r="SM22" s="90">
        <f t="shared" ca="1" si="518"/>
        <v>32.707057175717445</v>
      </c>
      <c r="SN22" s="90">
        <f t="shared" ca="1" si="519"/>
        <v>31.177446629428246</v>
      </c>
      <c r="SO22" s="90">
        <f t="shared" ca="1" si="520"/>
        <v>133.73496495096666</v>
      </c>
      <c r="SP22" s="90">
        <f t="shared" ca="1" si="521"/>
        <v>99.557326877923401</v>
      </c>
      <c r="SQ22" s="90">
        <f t="shared" ca="1" si="522"/>
        <v>98.738336629600397</v>
      </c>
      <c r="SR22" s="90">
        <f t="shared" ca="1" si="523"/>
        <v>24.150705069733458</v>
      </c>
      <c r="SS22" s="90">
        <f t="shared" ca="1" si="524"/>
        <v>34.050278110795048</v>
      </c>
      <c r="ST22" s="90">
        <f t="shared" ca="1" si="525"/>
        <v>143.99187894467201</v>
      </c>
      <c r="SU22" s="90">
        <f t="shared" ca="1" si="526"/>
        <v>204.06809799520232</v>
      </c>
      <c r="SV22" s="90">
        <f t="shared" ca="1" si="527"/>
        <v>69.384935833691969</v>
      </c>
      <c r="SW22" s="90">
        <f t="shared" ca="1" si="528"/>
        <v>273.17730182203638</v>
      </c>
      <c r="SX22" s="90">
        <f t="shared" ca="1" si="529"/>
        <v>86.794887638898018</v>
      </c>
      <c r="SY22" s="90">
        <f t="shared" ca="1" si="530"/>
        <v>76.129476036682988</v>
      </c>
      <c r="SZ22" s="90">
        <f t="shared" ca="1" si="531"/>
        <v>26.391842517466852</v>
      </c>
      <c r="TA22" s="90">
        <f t="shared" ca="1" si="532"/>
        <v>107.9414101558751</v>
      </c>
      <c r="TB22" s="90">
        <f t="shared" ca="1" si="533"/>
        <v>124.58157498200477</v>
      </c>
      <c r="TC22" s="90">
        <f t="shared" ca="1" si="534"/>
        <v>149.55479389873031</v>
      </c>
      <c r="TD22" s="90">
        <f t="shared" ca="1" si="535"/>
        <v>130.94700105781425</v>
      </c>
      <c r="TE22" s="90">
        <f t="shared" ca="1" si="536"/>
        <v>58.606464372539179</v>
      </c>
      <c r="TF22" s="90">
        <f t="shared" ca="1" si="537"/>
        <v>10.840963760961772</v>
      </c>
      <c r="TG22" s="90">
        <f t="shared" ca="1" si="538"/>
        <v>86.612085097670914</v>
      </c>
      <c r="TH22" s="90">
        <f t="shared" ca="1" si="539"/>
        <v>42.104866496494687</v>
      </c>
      <c r="TI22" s="90">
        <f t="shared" ca="1" si="540"/>
        <v>96.072587961446416</v>
      </c>
      <c r="TJ22" s="90">
        <f t="shared" ca="1" si="541"/>
        <v>133.78758988430951</v>
      </c>
      <c r="TK22" s="90">
        <f t="shared" ca="1" si="542"/>
        <v>19.326983832857707</v>
      </c>
      <c r="TL22" s="90">
        <f t="shared" ca="1" si="543"/>
        <v>21.25502991270189</v>
      </c>
      <c r="TM22" s="90">
        <f t="shared" ca="1" si="544"/>
        <v>112.48891701330875</v>
      </c>
      <c r="TN22" s="90">
        <f t="shared" ca="1" si="545"/>
        <v>4.3129158983044302</v>
      </c>
      <c r="TO22" s="90">
        <f t="shared" ca="1" si="546"/>
        <v>44.615315372956786</v>
      </c>
      <c r="TP22" s="90">
        <f t="shared" ca="1" si="547"/>
        <v>38.990445081801049</v>
      </c>
      <c r="TQ22" s="90">
        <f t="shared" ca="1" si="548"/>
        <v>105.16092746798562</v>
      </c>
      <c r="TR22" s="90">
        <f t="shared" ca="1" si="549"/>
        <v>42.857870868739411</v>
      </c>
      <c r="TS22" s="90">
        <f t="shared" ca="1" si="550"/>
        <v>42.106320230128894</v>
      </c>
      <c r="TT22" s="90">
        <f t="shared" ca="1" si="551"/>
        <v>189.63729792086718</v>
      </c>
      <c r="TU22" s="90">
        <f t="shared" ca="1" si="552"/>
        <v>83.593714554339826</v>
      </c>
      <c r="TV22" s="90">
        <f t="shared" ca="1" si="553"/>
        <v>114.47615728731338</v>
      </c>
      <c r="TW22" s="90">
        <f t="shared" ca="1" si="554"/>
        <v>29.528388252467497</v>
      </c>
      <c r="TX22" s="90">
        <f t="shared" ca="1" si="555"/>
        <v>53.31817229408631</v>
      </c>
      <c r="TY22" s="90">
        <f t="shared" ca="1" si="556"/>
        <v>145.6003109754827</v>
      </c>
      <c r="TZ22" s="90">
        <f t="shared" ca="1" si="557"/>
        <v>64.685117689297215</v>
      </c>
      <c r="UA22" s="90">
        <f t="shared" ca="1" si="558"/>
        <v>48.720387819731499</v>
      </c>
      <c r="UB22" s="90">
        <f t="shared" ca="1" si="559"/>
        <v>22.23510079427491</v>
      </c>
      <c r="UC22" s="90">
        <f t="shared" ca="1" si="560"/>
        <v>44.804684875962856</v>
      </c>
      <c r="UD22" s="90">
        <f t="shared" ca="1" si="561"/>
        <v>263.29075332534512</v>
      </c>
      <c r="UE22" s="90">
        <f t="shared" ca="1" si="562"/>
        <v>168.96043709307975</v>
      </c>
      <c r="UF22" s="90">
        <f t="shared" ca="1" si="563"/>
        <v>67.346561323246775</v>
      </c>
      <c r="UG22" s="90">
        <f t="shared" ca="1" si="564"/>
        <v>33.617769416868306</v>
      </c>
      <c r="UH22" s="90">
        <f t="shared" ca="1" si="565"/>
        <v>98.05679814821913</v>
      </c>
      <c r="UI22" s="90">
        <f t="shared" ca="1" si="566"/>
        <v>229.85286402851293</v>
      </c>
      <c r="UJ22" s="90">
        <f t="shared" ca="1" si="567"/>
        <v>190.99916715571004</v>
      </c>
      <c r="UK22" s="90">
        <f t="shared" ca="1" si="568"/>
        <v>12.269195151206121</v>
      </c>
      <c r="UL22" s="90">
        <f t="shared" ca="1" si="569"/>
        <v>70.478187818260878</v>
      </c>
      <c r="UM22" s="90">
        <f t="shared" ca="1" si="570"/>
        <v>19.369866363648924</v>
      </c>
      <c r="UN22" s="90">
        <f t="shared" ca="1" si="571"/>
        <v>135.85564288174311</v>
      </c>
      <c r="UO22" s="90">
        <f t="shared" ca="1" si="572"/>
        <v>175.53691177613564</v>
      </c>
      <c r="UP22" s="90">
        <f t="shared" ca="1" si="573"/>
        <v>135.5122405132505</v>
      </c>
      <c r="UQ22" s="90">
        <f t="shared" ca="1" si="574"/>
        <v>176.02887824624835</v>
      </c>
      <c r="UR22" s="90">
        <f t="shared" ca="1" si="575"/>
        <v>125.82964518014963</v>
      </c>
      <c r="US22" s="90">
        <f t="shared" ca="1" si="576"/>
        <v>43.531847504060984</v>
      </c>
      <c r="UT22" s="90">
        <f t="shared" ca="1" si="577"/>
        <v>217.28398012359199</v>
      </c>
      <c r="UU22" s="90">
        <f t="shared" ca="1" si="578"/>
        <v>0.99728995023594214</v>
      </c>
      <c r="UV22" s="90">
        <f t="shared" ca="1" si="579"/>
        <v>138.6428467246356</v>
      </c>
      <c r="UW22" s="90">
        <f t="shared" ca="1" si="580"/>
        <v>88.789610772913051</v>
      </c>
      <c r="UX22" s="90">
        <f t="shared" ca="1" si="581"/>
        <v>57.586865228632938</v>
      </c>
      <c r="UY22" s="90">
        <f t="shared" ca="1" si="582"/>
        <v>299.63453685391653</v>
      </c>
      <c r="UZ22" s="90">
        <f t="shared" ca="1" si="583"/>
        <v>267.83647516030351</v>
      </c>
      <c r="VA22" s="90">
        <f t="shared" ca="1" si="584"/>
        <v>98.246833581720139</v>
      </c>
      <c r="VB22" s="90">
        <f t="shared" ca="1" si="585"/>
        <v>72.560378112724194</v>
      </c>
      <c r="VC22" s="90">
        <f t="shared" ca="1" si="586"/>
        <v>377.3514179492376</v>
      </c>
      <c r="VD22" s="90">
        <f t="shared" ca="1" si="587"/>
        <v>8.6703877545371419</v>
      </c>
      <c r="VE22" s="90">
        <f t="shared" ca="1" si="588"/>
        <v>228.29633565013756</v>
      </c>
      <c r="VF22" s="90">
        <f t="shared" ca="1" si="589"/>
        <v>14.391968864483308</v>
      </c>
      <c r="VG22" s="90">
        <f t="shared" ca="1" si="590"/>
        <v>143.30335575770852</v>
      </c>
      <c r="VH22" s="90">
        <f t="shared" ca="1" si="591"/>
        <v>60.476560881137345</v>
      </c>
      <c r="VI22" s="90">
        <f t="shared" ca="1" si="592"/>
        <v>57.138536056810558</v>
      </c>
      <c r="VJ22" s="90">
        <f t="shared" ca="1" si="593"/>
        <v>20.310316854196287</v>
      </c>
      <c r="VK22" s="90">
        <f t="shared" ca="1" si="594"/>
        <v>17.687524249636731</v>
      </c>
      <c r="VL22" s="90">
        <f t="shared" ca="1" si="595"/>
        <v>60.956417274714674</v>
      </c>
      <c r="VM22" s="90">
        <f t="shared" ca="1" si="596"/>
        <v>150.4780408528766</v>
      </c>
      <c r="VN22" s="90">
        <f t="shared" ca="1" si="597"/>
        <v>185.30523142597053</v>
      </c>
      <c r="VO22" s="90">
        <f t="shared" ca="1" si="598"/>
        <v>34.710198646287438</v>
      </c>
      <c r="VP22" s="90">
        <f t="shared" ca="1" si="599"/>
        <v>6.1366012311350779</v>
      </c>
      <c r="VQ22" s="90">
        <f t="shared" ca="1" si="600"/>
        <v>45.647058911082162</v>
      </c>
      <c r="VR22" s="90">
        <f t="shared" ca="1" si="601"/>
        <v>33.784340764497649</v>
      </c>
      <c r="VS22" s="90">
        <f t="shared" ca="1" si="602"/>
        <v>13.187453544574046</v>
      </c>
      <c r="VT22" s="90">
        <f t="shared" ca="1" si="603"/>
        <v>78.091198501327142</v>
      </c>
      <c r="VU22" s="90">
        <f t="shared" ca="1" si="604"/>
        <v>133.22642811085592</v>
      </c>
      <c r="VV22" s="90">
        <f t="shared" ca="1" si="605"/>
        <v>25.669252306737281</v>
      </c>
      <c r="VW22" s="90">
        <f t="shared" ca="1" si="606"/>
        <v>39.814766582759141</v>
      </c>
      <c r="VX22" s="90">
        <f t="shared" ca="1" si="607"/>
        <v>75.258717377706475</v>
      </c>
      <c r="VY22" s="90">
        <f t="shared" ca="1" si="608"/>
        <v>81.442638645561757</v>
      </c>
      <c r="VZ22" s="90">
        <f t="shared" ca="1" si="609"/>
        <v>222.21048220026853</v>
      </c>
      <c r="WA22" s="90">
        <f t="shared" ca="1" si="610"/>
        <v>101.43892606385724</v>
      </c>
      <c r="WB22" s="90">
        <f t="shared" ca="1" si="611"/>
        <v>331.80833518005102</v>
      </c>
      <c r="WC22" s="90">
        <f t="shared" ca="1" si="612"/>
        <v>334.97225046014478</v>
      </c>
      <c r="WD22" s="90">
        <f t="shared" ca="1" si="613"/>
        <v>129.36021002512942</v>
      </c>
      <c r="WE22" s="90">
        <f t="shared" ca="1" si="614"/>
        <v>78.76002461177049</v>
      </c>
      <c r="WF22" s="90">
        <f t="shared" ca="1" si="615"/>
        <v>11.722625282542978</v>
      </c>
      <c r="WG22" s="90">
        <f t="shared" ca="1" si="616"/>
        <v>216.09636193701544</v>
      </c>
      <c r="WH22" s="90">
        <f t="shared" ca="1" si="617"/>
        <v>157.20913670865303</v>
      </c>
      <c r="WI22" s="90">
        <f t="shared" ca="1" si="618"/>
        <v>10.801582742420464</v>
      </c>
      <c r="WJ22" s="90">
        <f t="shared" ca="1" si="619"/>
        <v>60.891286405983891</v>
      </c>
      <c r="WK22" s="90">
        <f t="shared" ca="1" si="620"/>
        <v>65.917255434895168</v>
      </c>
      <c r="WL22" s="90">
        <f t="shared" ca="1" si="621"/>
        <v>49.820103733306325</v>
      </c>
      <c r="WM22" s="90">
        <f t="shared" ca="1" si="622"/>
        <v>16.852993545844008</v>
      </c>
      <c r="WN22" s="90">
        <f t="shared" ca="1" si="623"/>
        <v>44.818434075871451</v>
      </c>
      <c r="WO22" s="90">
        <f t="shared" ca="1" si="624"/>
        <v>56.664321314314705</v>
      </c>
      <c r="WP22" s="90">
        <f t="shared" ca="1" si="625"/>
        <v>50.949779250243651</v>
      </c>
      <c r="WQ22" s="90">
        <f t="shared" ca="1" si="626"/>
        <v>58.709207244925651</v>
      </c>
      <c r="WR22" s="90">
        <f t="shared" ca="1" si="627"/>
        <v>15.983035729437582</v>
      </c>
      <c r="WS22" s="90">
        <f t="shared" ca="1" si="628"/>
        <v>3.7350853688401568</v>
      </c>
      <c r="WT22" s="90">
        <f t="shared" ca="1" si="629"/>
        <v>74.188955090187832</v>
      </c>
      <c r="WU22" s="90">
        <f t="shared" ca="1" si="630"/>
        <v>5.8502941105793314</v>
      </c>
      <c r="WV22" s="90">
        <f t="shared" ca="1" si="631"/>
        <v>454.47093198499596</v>
      </c>
      <c r="WW22" s="90">
        <f t="shared" ca="1" si="632"/>
        <v>123.60119717469463</v>
      </c>
      <c r="WX22" s="90">
        <f t="shared" ca="1" si="633"/>
        <v>280.73579797394268</v>
      </c>
      <c r="WY22" s="90">
        <f t="shared" ca="1" si="634"/>
        <v>456.19852436672284</v>
      </c>
      <c r="WZ22" s="90">
        <f t="shared" ca="1" si="635"/>
        <v>29.680907601372517</v>
      </c>
      <c r="XA22" s="90">
        <f t="shared" ca="1" si="636"/>
        <v>185.8286944516021</v>
      </c>
      <c r="XB22" s="90">
        <f t="shared" ca="1" si="637"/>
        <v>10.172990905878637</v>
      </c>
      <c r="XC22" s="90">
        <f t="shared" ca="1" si="638"/>
        <v>129.91247563535143</v>
      </c>
      <c r="XD22" s="90">
        <f t="shared" ca="1" si="639"/>
        <v>135.97545084952716</v>
      </c>
      <c r="XE22" s="90">
        <f t="shared" ca="1" si="640"/>
        <v>55.56611959832253</v>
      </c>
      <c r="XF22" s="90">
        <f t="shared" ca="1" si="641"/>
        <v>17.226153770738751</v>
      </c>
      <c r="XG22" s="90">
        <f t="shared" ca="1" si="642"/>
        <v>170.37787758097573</v>
      </c>
      <c r="XH22" s="90">
        <f t="shared" ca="1" si="643"/>
        <v>44.88641373667398</v>
      </c>
      <c r="XI22" s="90">
        <f t="shared" ca="1" si="644"/>
        <v>26.157781986664759</v>
      </c>
      <c r="XJ22" s="90">
        <f t="shared" ca="1" si="645"/>
        <v>3.3385760460759442</v>
      </c>
      <c r="XK22" s="90">
        <f t="shared" ca="1" si="646"/>
        <v>153.14873375332024</v>
      </c>
      <c r="XL22" s="90">
        <f t="shared" ca="1" si="647"/>
        <v>117.50788592418206</v>
      </c>
      <c r="XM22" s="90">
        <f t="shared" ca="1" si="648"/>
        <v>35.481956525170723</v>
      </c>
      <c r="XN22" s="90">
        <f t="shared" ca="1" si="649"/>
        <v>75.199011449982933</v>
      </c>
      <c r="XO22" s="90">
        <f t="shared" ca="1" si="650"/>
        <v>96.909538402213286</v>
      </c>
      <c r="XP22" s="90">
        <f t="shared" ca="1" si="651"/>
        <v>12.592279199822849</v>
      </c>
      <c r="XQ22" s="90">
        <f t="shared" ca="1" si="652"/>
        <v>32.293573989755409</v>
      </c>
      <c r="XR22" s="90">
        <f t="shared" ca="1" si="653"/>
        <v>16.279524275641638</v>
      </c>
      <c r="XS22" s="90">
        <f t="shared" ca="1" si="654"/>
        <v>36.621678256974079</v>
      </c>
      <c r="XT22" s="90">
        <f t="shared" ca="1" si="655"/>
        <v>116.33886720717994</v>
      </c>
      <c r="XU22" s="90">
        <f t="shared" ca="1" si="656"/>
        <v>82.593833063055058</v>
      </c>
      <c r="XV22" s="90">
        <f t="shared" ca="1" si="657"/>
        <v>10.044475873290942</v>
      </c>
      <c r="XW22" s="90">
        <f t="shared" ca="1" si="658"/>
        <v>104.21289327071666</v>
      </c>
      <c r="XX22" s="90">
        <f t="shared" ca="1" si="659"/>
        <v>8.7468066415663728</v>
      </c>
      <c r="XY22" s="90">
        <f t="shared" ca="1" si="660"/>
        <v>42.686479380536959</v>
      </c>
      <c r="XZ22" s="90">
        <f t="shared" ca="1" si="661"/>
        <v>93.577470286129738</v>
      </c>
      <c r="YA22" s="90">
        <f t="shared" ca="1" si="662"/>
        <v>141.40064380823884</v>
      </c>
      <c r="YB22" s="90">
        <f t="shared" ca="1" si="663"/>
        <v>206.65182687823784</v>
      </c>
      <c r="YC22" s="90">
        <f t="shared" ca="1" si="664"/>
        <v>81.08423659200902</v>
      </c>
      <c r="YD22" s="90">
        <f t="shared" ca="1" si="665"/>
        <v>58.864271370080694</v>
      </c>
      <c r="YE22" s="90">
        <f t="shared" ca="1" si="666"/>
        <v>323.60058736704588</v>
      </c>
      <c r="YF22" s="90">
        <f t="shared" ca="1" si="667"/>
        <v>2.0318987246308495</v>
      </c>
      <c r="YG22" s="90">
        <f t="shared" ca="1" si="668"/>
        <v>44.549683204499125</v>
      </c>
      <c r="YH22" s="90">
        <f t="shared" ca="1" si="669"/>
        <v>207.60642720735237</v>
      </c>
      <c r="YI22" s="90">
        <f t="shared" ca="1" si="670"/>
        <v>38.208992002122216</v>
      </c>
      <c r="YJ22" s="90">
        <f t="shared" ca="1" si="671"/>
        <v>246.15755387965442</v>
      </c>
      <c r="YK22" s="90">
        <f t="shared" ca="1" si="672"/>
        <v>149.7800849281283</v>
      </c>
      <c r="YL22" s="90">
        <f t="shared" ca="1" si="673"/>
        <v>58.845375962552851</v>
      </c>
      <c r="YM22" s="90">
        <f t="shared" ca="1" si="674"/>
        <v>14.313739043365722</v>
      </c>
      <c r="YN22" s="90">
        <f t="shared" ca="1" si="675"/>
        <v>62.62577209661923</v>
      </c>
      <c r="YO22" s="90">
        <f t="shared" ca="1" si="676"/>
        <v>5.2135042872466641</v>
      </c>
      <c r="YP22" s="90">
        <f t="shared" ca="1" si="677"/>
        <v>243.40417143644953</v>
      </c>
      <c r="YQ22" s="90">
        <f t="shared" ca="1" si="678"/>
        <v>201.0959048754859</v>
      </c>
      <c r="YR22" s="90">
        <f t="shared" ca="1" si="679"/>
        <v>2.4456081220777248</v>
      </c>
      <c r="YS22" s="90">
        <f t="shared" ca="1" si="680"/>
        <v>188.62114492881975</v>
      </c>
      <c r="YT22" s="90">
        <f t="shared" ca="1" si="681"/>
        <v>69.511411651814598</v>
      </c>
      <c r="YU22" s="90">
        <f t="shared" ca="1" si="682"/>
        <v>247.46159681689116</v>
      </c>
      <c r="YV22" s="90">
        <f t="shared" ca="1" si="683"/>
        <v>66.089588566789431</v>
      </c>
      <c r="YW22" s="90">
        <f t="shared" ca="1" si="684"/>
        <v>52.783125852148842</v>
      </c>
      <c r="YX22" s="90">
        <f t="shared" ca="1" si="685"/>
        <v>82.464017178723054</v>
      </c>
      <c r="YY22" s="90">
        <f t="shared" ca="1" si="686"/>
        <v>116.44346865248913</v>
      </c>
      <c r="YZ22" s="90">
        <f t="shared" ca="1" si="687"/>
        <v>65.146300812157136</v>
      </c>
      <c r="ZA22" s="90">
        <f t="shared" ca="1" si="688"/>
        <v>91.022655753439096</v>
      </c>
      <c r="ZB22" s="90">
        <f t="shared" ca="1" si="689"/>
        <v>295.55044453429673</v>
      </c>
      <c r="ZC22" s="90">
        <f t="shared" ca="1" si="690"/>
        <v>221.25257966415006</v>
      </c>
      <c r="ZD22" s="90">
        <f t="shared" ca="1" si="691"/>
        <v>216.84947478426184</v>
      </c>
      <c r="ZE22" s="90">
        <f t="shared" ca="1" si="692"/>
        <v>49.192364967653056</v>
      </c>
      <c r="ZF22" s="90">
        <f t="shared" ca="1" si="693"/>
        <v>106.88867645873678</v>
      </c>
      <c r="ZG22" s="90">
        <f t="shared" ca="1" si="694"/>
        <v>155.93796800153692</v>
      </c>
      <c r="ZH22" s="90">
        <f t="shared" ca="1" si="695"/>
        <v>286.94038767506828</v>
      </c>
      <c r="ZI22" s="90">
        <f t="shared" ca="1" si="696"/>
        <v>124.84654021821939</v>
      </c>
      <c r="ZJ22" s="90">
        <f t="shared" ca="1" si="697"/>
        <v>172.7794201566675</v>
      </c>
      <c r="ZK22" s="90">
        <f t="shared" ca="1" si="698"/>
        <v>43.73456425717464</v>
      </c>
      <c r="ZL22" s="90">
        <f t="shared" ca="1" si="699"/>
        <v>21.637530699594461</v>
      </c>
      <c r="ZM22" s="90">
        <f t="shared" ca="1" si="700"/>
        <v>213.97119388639089</v>
      </c>
      <c r="ZN22" s="90">
        <f t="shared" ca="1" si="701"/>
        <v>49.760287329474046</v>
      </c>
      <c r="ZO22" s="90">
        <f t="shared" ca="1" si="702"/>
        <v>21.508410023026578</v>
      </c>
      <c r="ZP22" s="90">
        <f t="shared" ca="1" si="703"/>
        <v>78.412558576858672</v>
      </c>
      <c r="ZQ22" s="90">
        <f t="shared" ca="1" si="704"/>
        <v>130.53932000917558</v>
      </c>
      <c r="ZR22" s="90">
        <f t="shared" ca="1" si="705"/>
        <v>41.165114583617999</v>
      </c>
      <c r="ZS22" s="90">
        <f t="shared" ca="1" si="706"/>
        <v>106.16847516095405</v>
      </c>
      <c r="ZT22" s="90">
        <f t="shared" ca="1" si="707"/>
        <v>17.384354824819496</v>
      </c>
      <c r="ZU22" s="90">
        <f t="shared" ca="1" si="708"/>
        <v>2.4525800045195134</v>
      </c>
      <c r="ZV22" s="90">
        <f t="shared" ca="1" si="709"/>
        <v>388.04662615012518</v>
      </c>
      <c r="ZW22" s="90">
        <f t="shared" ca="1" si="710"/>
        <v>47.164327150329996</v>
      </c>
      <c r="ZX22" s="90">
        <f t="shared" ca="1" si="711"/>
        <v>172.26700963095095</v>
      </c>
      <c r="ZY22" s="90">
        <f t="shared" ca="1" si="712"/>
        <v>199.15051867740917</v>
      </c>
      <c r="ZZ22" s="90">
        <f t="shared" ca="1" si="713"/>
        <v>69.743182952861886</v>
      </c>
      <c r="AAA22" s="90">
        <f t="shared" ca="1" si="714"/>
        <v>137.34939755195859</v>
      </c>
      <c r="AAB22" s="90">
        <f t="shared" ca="1" si="715"/>
        <v>19.538167564041949</v>
      </c>
      <c r="AAC22" s="90">
        <f t="shared" ca="1" si="716"/>
        <v>64.974459521768637</v>
      </c>
      <c r="AAD22" s="90">
        <f t="shared" ca="1" si="717"/>
        <v>133.7328469564373</v>
      </c>
      <c r="AAE22" s="90">
        <f t="shared" ca="1" si="718"/>
        <v>68.456958248459316</v>
      </c>
      <c r="AAF22" s="90">
        <f t="shared" ca="1" si="719"/>
        <v>4.5876275504081212</v>
      </c>
      <c r="AAG22" s="90">
        <f t="shared" ca="1" si="720"/>
        <v>44.913152282296068</v>
      </c>
      <c r="AAH22" s="90">
        <f t="shared" ca="1" si="721"/>
        <v>169.73415574988914</v>
      </c>
      <c r="AAI22" s="90">
        <f t="shared" ca="1" si="722"/>
        <v>-2.2831468401538606</v>
      </c>
      <c r="AAJ22" s="90">
        <f t="shared" ca="1" si="723"/>
        <v>78.962881656555069</v>
      </c>
      <c r="AAK22" s="90">
        <f t="shared" ca="1" si="724"/>
        <v>299.13648392043524</v>
      </c>
      <c r="AAL22" s="90">
        <f t="shared" ca="1" si="725"/>
        <v>179.27310290627213</v>
      </c>
      <c r="AAM22" s="90">
        <f t="shared" ca="1" si="726"/>
        <v>267.73681644480314</v>
      </c>
      <c r="AAN22" s="90">
        <f t="shared" ca="1" si="727"/>
        <v>93.401605596936804</v>
      </c>
      <c r="AAO22" s="90">
        <f t="shared" ca="1" si="728"/>
        <v>63.544782424008801</v>
      </c>
      <c r="AAP22" s="90">
        <f t="shared" ca="1" si="729"/>
        <v>220.0234758352895</v>
      </c>
      <c r="AAQ22" s="90">
        <f t="shared" ca="1" si="730"/>
        <v>58.795062097094778</v>
      </c>
      <c r="AAR22" s="90">
        <f t="shared" ca="1" si="731"/>
        <v>2.694652712659237</v>
      </c>
      <c r="AAS22" s="90">
        <f t="shared" ca="1" si="732"/>
        <v>94.153048309944083</v>
      </c>
      <c r="AAT22" s="90">
        <f t="shared" ca="1" si="733"/>
        <v>137.83971328440046</v>
      </c>
      <c r="AAU22" s="90">
        <f t="shared" ca="1" si="734"/>
        <v>86.697533119507924</v>
      </c>
      <c r="AAV22" s="90">
        <f t="shared" ca="1" si="735"/>
        <v>51.803333219609897</v>
      </c>
      <c r="AAW22" s="90">
        <f t="shared" ca="1" si="736"/>
        <v>226.8738324976309</v>
      </c>
      <c r="AAX22" s="90">
        <f t="shared" ca="1" si="737"/>
        <v>144.09300889476106</v>
      </c>
      <c r="AAY22" s="90">
        <f t="shared" ca="1" si="738"/>
        <v>140.34771397213791</v>
      </c>
      <c r="AAZ22" s="90">
        <f t="shared" ca="1" si="739"/>
        <v>67.082986684693964</v>
      </c>
      <c r="ABA22" s="90">
        <f t="shared" ca="1" si="740"/>
        <v>94.095978712616258</v>
      </c>
      <c r="ABB22" s="90">
        <f t="shared" ca="1" si="741"/>
        <v>10.155041331669201</v>
      </c>
      <c r="ABC22" s="90">
        <f t="shared" ca="1" si="742"/>
        <v>134.9674152467407</v>
      </c>
      <c r="ABD22" s="90">
        <f t="shared" ca="1" si="743"/>
        <v>95.009398722205546</v>
      </c>
      <c r="ABE22" s="90">
        <f t="shared" ca="1" si="744"/>
        <v>158.13608614537682</v>
      </c>
      <c r="ABF22" s="90">
        <f t="shared" ca="1" si="745"/>
        <v>98.195264478421549</v>
      </c>
      <c r="ABG22" s="90">
        <f t="shared" ca="1" si="746"/>
        <v>41.563162409810793</v>
      </c>
      <c r="ABH22" s="90">
        <f t="shared" ca="1" si="747"/>
        <v>118.97515044039841</v>
      </c>
      <c r="ABI22" s="90">
        <f t="shared" ca="1" si="748"/>
        <v>8.7872637450893478</v>
      </c>
      <c r="ABJ22" s="90">
        <f t="shared" ca="1" si="749"/>
        <v>76.531675609953851</v>
      </c>
      <c r="ABK22" s="90">
        <f t="shared" ca="1" si="750"/>
        <v>46.450866965311427</v>
      </c>
      <c r="ABL22" s="90">
        <f t="shared" ca="1" si="751"/>
        <v>94.204909102157245</v>
      </c>
      <c r="ABM22" s="90">
        <f t="shared" ca="1" si="752"/>
        <v>335.70055434596907</v>
      </c>
      <c r="ABN22" s="90">
        <f t="shared" ca="1" si="753"/>
        <v>22.131503846822973</v>
      </c>
      <c r="ABO22" s="90">
        <f t="shared" ca="1" si="754"/>
        <v>26.974957106359657</v>
      </c>
      <c r="ABP22" s="90">
        <f t="shared" ca="1" si="755"/>
        <v>63.551749624996404</v>
      </c>
      <c r="ABQ22" s="90">
        <f t="shared" ca="1" si="756"/>
        <v>48.751790142831098</v>
      </c>
      <c r="ABR22" s="90">
        <f t="shared" ca="1" si="757"/>
        <v>101.30350410432811</v>
      </c>
      <c r="ABS22" s="90">
        <f t="shared" ca="1" si="758"/>
        <v>84.437344204466896</v>
      </c>
      <c r="ABT22" s="90">
        <f t="shared" ca="1" si="759"/>
        <v>90.742143074922566</v>
      </c>
      <c r="ABU22" s="90">
        <f t="shared" ca="1" si="760"/>
        <v>50.822620404990651</v>
      </c>
      <c r="ABV22" s="90">
        <f t="shared" ca="1" si="761"/>
        <v>137.08002220464576</v>
      </c>
      <c r="ABW22" s="90">
        <f t="shared" ca="1" si="762"/>
        <v>14.076382089918193</v>
      </c>
      <c r="ABX22" s="90">
        <f t="shared" ca="1" si="763"/>
        <v>34.794555057640601</v>
      </c>
      <c r="ABY22" s="90">
        <f t="shared" ca="1" si="764"/>
        <v>46.818159007345976</v>
      </c>
      <c r="ABZ22" s="90">
        <f t="shared" ca="1" si="765"/>
        <v>126.60973999720832</v>
      </c>
      <c r="ACA22" s="90">
        <f t="shared" ca="1" si="766"/>
        <v>535.76811751461719</v>
      </c>
      <c r="ACB22" s="90">
        <f t="shared" ca="1" si="767"/>
        <v>91.359165813580944</v>
      </c>
      <c r="ACC22" s="90">
        <f t="shared" ca="1" si="768"/>
        <v>63.297735743274579</v>
      </c>
      <c r="ACD22" s="90">
        <f t="shared" ca="1" si="769"/>
        <v>204.28961098202157</v>
      </c>
      <c r="ACE22" s="90">
        <f t="shared" ca="1" si="770"/>
        <v>141.35003163294758</v>
      </c>
      <c r="ACF22" s="90">
        <f t="shared" ca="1" si="771"/>
        <v>19.357491899416669</v>
      </c>
      <c r="ACG22" s="90">
        <f t="shared" ca="1" si="772"/>
        <v>170.30543286994569</v>
      </c>
      <c r="ACH22" s="90">
        <f t="shared" ca="1" si="773"/>
        <v>104.66306417501546</v>
      </c>
      <c r="ACI22" s="90">
        <f t="shared" ca="1" si="774"/>
        <v>6.543683952008359</v>
      </c>
      <c r="ACJ22" s="90">
        <f t="shared" ca="1" si="775"/>
        <v>101.53288670827681</v>
      </c>
      <c r="ACK22" s="90">
        <f t="shared" ca="1" si="776"/>
        <v>85.028245214568798</v>
      </c>
      <c r="ACL22" s="90">
        <f t="shared" ca="1" si="777"/>
        <v>181.99695420205231</v>
      </c>
      <c r="ACM22" s="90">
        <f t="shared" ca="1" si="778"/>
        <v>291.9418811271492</v>
      </c>
      <c r="ACN22" s="90">
        <f t="shared" ca="1" si="779"/>
        <v>-2.6011874305858447</v>
      </c>
      <c r="ACO22" s="90">
        <f t="shared" ca="1" si="780"/>
        <v>76.784764291350839</v>
      </c>
      <c r="ACP22" s="90">
        <f t="shared" ca="1" si="781"/>
        <v>100.01092437357998</v>
      </c>
      <c r="ACQ22" s="90">
        <f t="shared" ca="1" si="782"/>
        <v>23.174767180596767</v>
      </c>
      <c r="ACR22" s="90">
        <f t="shared" ca="1" si="783"/>
        <v>44.598424983315603</v>
      </c>
      <c r="ACS22" s="90">
        <f t="shared" ca="1" si="784"/>
        <v>65.523807586815295</v>
      </c>
      <c r="ACT22" s="90">
        <f t="shared" ca="1" si="785"/>
        <v>55.044835646724664</v>
      </c>
      <c r="ACU22" s="90">
        <f t="shared" ca="1" si="786"/>
        <v>72.659178564745943</v>
      </c>
      <c r="ACV22" s="90">
        <f t="shared" ca="1" si="787"/>
        <v>134.97242292186897</v>
      </c>
      <c r="ACW22" s="90">
        <f t="shared" ca="1" si="788"/>
        <v>185.64539273563281</v>
      </c>
      <c r="ACX22" s="90">
        <f t="shared" ca="1" si="789"/>
        <v>11.403503211531577</v>
      </c>
      <c r="ACY22" s="90">
        <f t="shared" ca="1" si="790"/>
        <v>83.527271186914177</v>
      </c>
      <c r="ACZ22" s="90">
        <f t="shared" ca="1" si="791"/>
        <v>7.4866559952432672</v>
      </c>
      <c r="ADA22" s="90">
        <f t="shared" ca="1" si="792"/>
        <v>431.98438581898665</v>
      </c>
      <c r="ADB22" s="90">
        <f t="shared" ca="1" si="793"/>
        <v>133.61096619759584</v>
      </c>
      <c r="ADC22" s="90">
        <f t="shared" ca="1" si="794"/>
        <v>252.27254657783132</v>
      </c>
      <c r="ADD22" s="90">
        <f t="shared" ca="1" si="795"/>
        <v>181.94575479246532</v>
      </c>
      <c r="ADE22" s="90">
        <f t="shared" ca="1" si="796"/>
        <v>50.557518835331045</v>
      </c>
      <c r="ADF22" s="90">
        <f t="shared" ca="1" si="797"/>
        <v>206.10848914467533</v>
      </c>
      <c r="ADG22" s="90">
        <f t="shared" ca="1" si="798"/>
        <v>57.502429955834593</v>
      </c>
      <c r="ADH22" s="90">
        <f t="shared" ca="1" si="799"/>
        <v>139.44745384619253</v>
      </c>
      <c r="ADI22" s="90">
        <f t="shared" ca="1" si="800"/>
        <v>168.99132759628716</v>
      </c>
      <c r="ADJ22" s="90">
        <f t="shared" ca="1" si="801"/>
        <v>26.94024734690117</v>
      </c>
      <c r="ADK22" s="90">
        <f t="shared" ca="1" si="802"/>
        <v>162.17427183568174</v>
      </c>
      <c r="ADL22" s="90">
        <f t="shared" ca="1" si="803"/>
        <v>65.660237930964016</v>
      </c>
      <c r="ADM22" s="90">
        <f t="shared" ca="1" si="804"/>
        <v>51.61958652082339</v>
      </c>
      <c r="ADN22" s="90">
        <f t="shared" ca="1" si="805"/>
        <v>252.14582354489318</v>
      </c>
      <c r="ADO22" s="90">
        <f t="shared" ca="1" si="806"/>
        <v>67.013666083954519</v>
      </c>
      <c r="ADP22" s="90">
        <f t="shared" ca="1" si="807"/>
        <v>141.81048309219719</v>
      </c>
      <c r="ADQ22" s="90">
        <f t="shared" ca="1" si="808"/>
        <v>152.28554063263459</v>
      </c>
      <c r="ADR22" s="90">
        <f t="shared" ca="1" si="809"/>
        <v>236.18472890345896</v>
      </c>
      <c r="ADS22" s="90">
        <f t="shared" ca="1" si="810"/>
        <v>41.718482056987469</v>
      </c>
      <c r="ADT22" s="90">
        <f t="shared" ca="1" si="811"/>
        <v>179.3042312304288</v>
      </c>
      <c r="ADU22" s="90">
        <f t="shared" ca="1" si="812"/>
        <v>44.860637791345141</v>
      </c>
      <c r="ADV22" s="90">
        <f t="shared" ca="1" si="813"/>
        <v>100.65705489794271</v>
      </c>
      <c r="ADW22" s="90">
        <f t="shared" ca="1" si="814"/>
        <v>-5.3621947754721413</v>
      </c>
      <c r="ADX22" s="90">
        <f t="shared" ca="1" si="815"/>
        <v>78.171061801396078</v>
      </c>
      <c r="ADY22" s="90">
        <f t="shared" ca="1" si="816"/>
        <v>32.639785925977449</v>
      </c>
      <c r="ADZ22" s="90">
        <f t="shared" ca="1" si="817"/>
        <v>54.37499825572926</v>
      </c>
      <c r="AEA22" s="90">
        <f t="shared" ca="1" si="818"/>
        <v>48.749079170312179</v>
      </c>
      <c r="AEB22" s="90">
        <f t="shared" ca="1" si="819"/>
        <v>10.494071436322221</v>
      </c>
      <c r="AEC22" s="90">
        <f t="shared" ca="1" si="820"/>
        <v>174.04003466380405</v>
      </c>
      <c r="AED22" s="90">
        <f t="shared" ca="1" si="821"/>
        <v>32.177286387941002</v>
      </c>
      <c r="AEE22" s="90">
        <f t="shared" ca="1" si="822"/>
        <v>249.79480915713012</v>
      </c>
      <c r="AEF22" s="90">
        <f t="shared" ca="1" si="823"/>
        <v>12.871477222491201</v>
      </c>
      <c r="AEG22" s="90">
        <f t="shared" ca="1" si="824"/>
        <v>116.12379287035529</v>
      </c>
      <c r="AEH22" s="90">
        <f t="shared" ca="1" si="825"/>
        <v>180.57044001102199</v>
      </c>
      <c r="AEI22" s="90">
        <f t="shared" ca="1" si="826"/>
        <v>14.290701094996543</v>
      </c>
      <c r="AEJ22" s="90">
        <f t="shared" ca="1" si="827"/>
        <v>30.900854840373238</v>
      </c>
      <c r="AEK22" s="90">
        <f t="shared" ca="1" si="828"/>
        <v>41.513629413933742</v>
      </c>
      <c r="AEL22" s="90">
        <f t="shared" ca="1" si="829"/>
        <v>13.724662414204904</v>
      </c>
      <c r="AEM22" s="90">
        <f t="shared" ca="1" si="830"/>
        <v>101.53852888222733</v>
      </c>
      <c r="AEN22" s="90">
        <f t="shared" ca="1" si="831"/>
        <v>39.550877183392913</v>
      </c>
      <c r="AEO22" s="90">
        <f t="shared" ca="1" si="832"/>
        <v>44.777263446247822</v>
      </c>
      <c r="AEP22" s="90">
        <f t="shared" ca="1" si="833"/>
        <v>17.096985772591658</v>
      </c>
      <c r="AEQ22" s="90">
        <f t="shared" ca="1" si="834"/>
        <v>-0.79757458842563489</v>
      </c>
      <c r="AER22" s="90">
        <f t="shared" ca="1" si="835"/>
        <v>137.8960126138619</v>
      </c>
      <c r="AES22" s="90">
        <f t="shared" ca="1" si="836"/>
        <v>240.60164150801091</v>
      </c>
      <c r="AET22" s="90">
        <f t="shared" ca="1" si="837"/>
        <v>104.44007763527367</v>
      </c>
      <c r="AEU22" s="90">
        <f t="shared" ca="1" si="838"/>
        <v>162.59482086528186</v>
      </c>
      <c r="AEV22" s="90">
        <f t="shared" ca="1" si="839"/>
        <v>71.243726927208584</v>
      </c>
      <c r="AEW22" s="90">
        <f t="shared" ca="1" si="840"/>
        <v>122.91094418074888</v>
      </c>
      <c r="AEX22" s="90">
        <f t="shared" ca="1" si="841"/>
        <v>113.98237669762511</v>
      </c>
      <c r="AEY22" s="90">
        <f t="shared" ca="1" si="842"/>
        <v>82.517710300849515</v>
      </c>
      <c r="AEZ22" s="90">
        <f t="shared" ca="1" si="843"/>
        <v>46.971647808588457</v>
      </c>
      <c r="AFA22" s="90">
        <f t="shared" ca="1" si="844"/>
        <v>105.53302180104738</v>
      </c>
      <c r="AFB22" s="90">
        <f t="shared" ca="1" si="845"/>
        <v>43.10525499267559</v>
      </c>
      <c r="AFC22" s="90">
        <f t="shared" ca="1" si="846"/>
        <v>30.778942025519914</v>
      </c>
      <c r="AFD22" s="90">
        <f t="shared" ca="1" si="847"/>
        <v>73.389985597546698</v>
      </c>
      <c r="AFE22" s="90">
        <f t="shared" ca="1" si="848"/>
        <v>116.38473182434021</v>
      </c>
      <c r="AFF22" s="90">
        <f t="shared" ca="1" si="849"/>
        <v>30.516149241019754</v>
      </c>
      <c r="AFG22" s="90">
        <f t="shared" ca="1" si="850"/>
        <v>13.643863233083144</v>
      </c>
      <c r="AFH22" s="90">
        <f t="shared" ca="1" si="851"/>
        <v>171.33091818645443</v>
      </c>
      <c r="AFI22" s="90">
        <f t="shared" ca="1" si="852"/>
        <v>167.08928671928464</v>
      </c>
      <c r="AFJ22" s="90">
        <f t="shared" ca="1" si="853"/>
        <v>282.05033103037908</v>
      </c>
      <c r="AFK22" s="90">
        <f t="shared" ca="1" si="854"/>
        <v>10.337490357141439</v>
      </c>
      <c r="AFL22" s="90">
        <f t="shared" ca="1" si="855"/>
        <v>34.334901174352666</v>
      </c>
      <c r="AFM22" s="90">
        <f t="shared" ca="1" si="856"/>
        <v>104.0043512285705</v>
      </c>
      <c r="AFN22" s="90">
        <f t="shared" ca="1" si="857"/>
        <v>25.424482051966461</v>
      </c>
      <c r="AFO22" s="90">
        <f t="shared" ca="1" si="858"/>
        <v>259.9274281517325</v>
      </c>
      <c r="AFP22" s="90">
        <f t="shared" ca="1" si="859"/>
        <v>45.481182868243145</v>
      </c>
      <c r="AFQ22" s="90">
        <f t="shared" ca="1" si="860"/>
        <v>309.907872437555</v>
      </c>
      <c r="AFR22" s="90">
        <f t="shared" ca="1" si="861"/>
        <v>52.509352041731269</v>
      </c>
      <c r="AFS22" s="90">
        <f t="shared" ca="1" si="862"/>
        <v>207.50855537044225</v>
      </c>
      <c r="AFT22" s="90">
        <f t="shared" ca="1" si="863"/>
        <v>15.763963018676058</v>
      </c>
      <c r="AFU22" s="90">
        <f t="shared" ca="1" si="864"/>
        <v>55.282442686553019</v>
      </c>
      <c r="AFV22" s="90">
        <f t="shared" ca="1" si="865"/>
        <v>68.130544786523444</v>
      </c>
      <c r="AFW22" s="90">
        <f t="shared" ca="1" si="866"/>
        <v>247.13753605608719</v>
      </c>
      <c r="AFX22" s="90">
        <f t="shared" ca="1" si="867"/>
        <v>106.73194912749626</v>
      </c>
      <c r="AFY22" s="90">
        <f t="shared" ca="1" si="868"/>
        <v>35.239575858662228</v>
      </c>
      <c r="AFZ22" s="90">
        <f t="shared" ca="1" si="869"/>
        <v>32.483955730212649</v>
      </c>
      <c r="AGA22" s="90">
        <f t="shared" ca="1" si="870"/>
        <v>193.97423666077873</v>
      </c>
      <c r="AGB22" s="90">
        <f t="shared" ca="1" si="871"/>
        <v>74.678822337732015</v>
      </c>
      <c r="AGC22" s="90">
        <f t="shared" ca="1" si="872"/>
        <v>-8.6572387441356806</v>
      </c>
      <c r="AGD22" s="90">
        <f t="shared" ca="1" si="873"/>
        <v>109.02924376845553</v>
      </c>
      <c r="AGE22" s="90">
        <f t="shared" ca="1" si="874"/>
        <v>20.961275693242602</v>
      </c>
      <c r="AGF22" s="90">
        <f t="shared" ca="1" si="875"/>
        <v>131.85104907683163</v>
      </c>
      <c r="AGG22" s="90">
        <f t="shared" ca="1" si="876"/>
        <v>30.005359412664941</v>
      </c>
      <c r="AGH22" s="90">
        <f t="shared" ca="1" si="877"/>
        <v>60.138070929983733</v>
      </c>
      <c r="AGI22" s="90">
        <f t="shared" ca="1" si="878"/>
        <v>27.587453744665019</v>
      </c>
      <c r="AGJ22" s="90">
        <f t="shared" ca="1" si="879"/>
        <v>192.85504260307187</v>
      </c>
      <c r="AGK22" s="90">
        <f t="shared" ca="1" si="880"/>
        <v>51.20254444782843</v>
      </c>
      <c r="AGL22" s="90">
        <f t="shared" ca="1" si="881"/>
        <v>119.36828298240775</v>
      </c>
      <c r="AGM22" s="90">
        <f t="shared" ca="1" si="882"/>
        <v>127.79666015011151</v>
      </c>
      <c r="AGN22" s="90">
        <f t="shared" ca="1" si="883"/>
        <v>43.638749406515352</v>
      </c>
      <c r="AGO22" s="90">
        <f t="shared" ca="1" si="884"/>
        <v>54.584329187114022</v>
      </c>
      <c r="AGP22" s="90">
        <f t="shared" ca="1" si="885"/>
        <v>25.221907488062083</v>
      </c>
      <c r="AGQ22" s="90">
        <f t="shared" ca="1" si="886"/>
        <v>59.693047691547456</v>
      </c>
      <c r="AGR22" s="90">
        <f t="shared" ca="1" si="887"/>
        <v>52.906557953181412</v>
      </c>
      <c r="AGS22" s="90">
        <f t="shared" ca="1" si="888"/>
        <v>128.31921438832993</v>
      </c>
      <c r="AGT22" s="90">
        <f t="shared" ca="1" si="889"/>
        <v>33.170157918552199</v>
      </c>
      <c r="AGU22" s="90">
        <f t="shared" ca="1" si="890"/>
        <v>107.02640934632251</v>
      </c>
      <c r="AGV22" s="90">
        <f t="shared" ca="1" si="891"/>
        <v>40.791104281234745</v>
      </c>
      <c r="AGW22" s="90">
        <f t="shared" ca="1" si="892"/>
        <v>289.91782009394029</v>
      </c>
      <c r="AGX22" s="90">
        <f t="shared" ca="1" si="893"/>
        <v>167.22892019467071</v>
      </c>
      <c r="AGY22" s="90">
        <f t="shared" ca="1" si="894"/>
        <v>20.098706684368761</v>
      </c>
      <c r="AGZ22" s="90">
        <f t="shared" ca="1" si="895"/>
        <v>80.835383736631158</v>
      </c>
      <c r="AHA22" s="90">
        <f t="shared" ca="1" si="896"/>
        <v>-26.222392458127867</v>
      </c>
      <c r="AHB22" s="90">
        <f t="shared" ca="1" si="897"/>
        <v>127.78430330206662</v>
      </c>
      <c r="AHC22" s="90">
        <f t="shared" ca="1" si="898"/>
        <v>411.11742111671094</v>
      </c>
      <c r="AHD22" s="90">
        <f t="shared" ca="1" si="899"/>
        <v>97.842201765189884</v>
      </c>
      <c r="AHE22" s="90">
        <f t="shared" ca="1" si="900"/>
        <v>184.38296159844069</v>
      </c>
      <c r="AHF22" s="90">
        <f t="shared" ca="1" si="901"/>
        <v>80.864978423658812</v>
      </c>
      <c r="AHG22" s="90">
        <f t="shared" ca="1" si="902"/>
        <v>98.31049426581599</v>
      </c>
      <c r="AHH22" s="90">
        <f t="shared" ca="1" si="903"/>
        <v>174.01070372832143</v>
      </c>
      <c r="AHI22" s="90">
        <f t="shared" ca="1" si="904"/>
        <v>13.573967428726279</v>
      </c>
      <c r="AHJ22" s="90">
        <f t="shared" ca="1" si="905"/>
        <v>184.05912329608714</v>
      </c>
      <c r="AHK22" s="90">
        <f t="shared" ca="1" si="906"/>
        <v>117.25932037983895</v>
      </c>
      <c r="AHL22" s="90">
        <f t="shared" ca="1" si="907"/>
        <v>17.942148238731512</v>
      </c>
      <c r="AHM22" s="90">
        <f t="shared" ca="1" si="908"/>
        <v>208.00631110040112</v>
      </c>
      <c r="AHN22" s="90">
        <f t="shared" ca="1" si="909"/>
        <v>155.00403957939318</v>
      </c>
      <c r="AHO22" s="90">
        <f t="shared" ca="1" si="910"/>
        <v>34.902879523523019</v>
      </c>
      <c r="AHP22" s="90">
        <f t="shared" ca="1" si="911"/>
        <v>181.1116929785079</v>
      </c>
      <c r="AHQ22" s="90">
        <f t="shared" ca="1" si="912"/>
        <v>68.066003868542111</v>
      </c>
      <c r="AHR22" s="90">
        <f t="shared" ca="1" si="913"/>
        <v>-6.2349301190565987</v>
      </c>
      <c r="AHS22" s="90">
        <f t="shared" ca="1" si="914"/>
        <v>13.249271665907006</v>
      </c>
      <c r="AHT22" s="90">
        <f t="shared" ca="1" si="915"/>
        <v>181.48566295069466</v>
      </c>
      <c r="AHU22" s="90">
        <f t="shared" ca="1" si="916"/>
        <v>78.944784156011579</v>
      </c>
      <c r="AHV22" s="90">
        <f t="shared" ca="1" si="917"/>
        <v>37.401624443607766</v>
      </c>
      <c r="AHW22" s="90">
        <f t="shared" ca="1" si="918"/>
        <v>136.4542899266612</v>
      </c>
      <c r="AHX22" s="90">
        <f t="shared" ca="1" si="919"/>
        <v>22.713183481146871</v>
      </c>
      <c r="AHY22" s="90">
        <f t="shared" ca="1" si="920"/>
        <v>159.96887477281518</v>
      </c>
      <c r="AHZ22" s="90">
        <f t="shared" ca="1" si="921"/>
        <v>322.47165107803443</v>
      </c>
      <c r="AIA22" s="90">
        <f t="shared" ca="1" si="922"/>
        <v>119.06078431340102</v>
      </c>
      <c r="AIB22" s="90">
        <f t="shared" ca="1" si="923"/>
        <v>78.768283381619526</v>
      </c>
      <c r="AIC22" s="90">
        <f t="shared" ca="1" si="924"/>
        <v>211.30308427358418</v>
      </c>
      <c r="AID22" s="90">
        <f t="shared" ca="1" si="925"/>
        <v>80.052495983682903</v>
      </c>
      <c r="AIE22" s="90">
        <f t="shared" ca="1" si="926"/>
        <v>322.24236627827031</v>
      </c>
      <c r="AIF22" s="90">
        <f t="shared" ca="1" si="927"/>
        <v>306.99309044502888</v>
      </c>
      <c r="AIG22" s="90">
        <f t="shared" ca="1" si="928"/>
        <v>149.98797623400324</v>
      </c>
      <c r="AIH22" s="90">
        <f t="shared" ca="1" si="929"/>
        <v>109.22140066685724</v>
      </c>
      <c r="AII22" s="90">
        <f t="shared" ca="1" si="930"/>
        <v>38.589062831128849</v>
      </c>
      <c r="AIJ22" s="90">
        <f t="shared" ca="1" si="931"/>
        <v>30.157356017471098</v>
      </c>
      <c r="AIK22" s="90">
        <f t="shared" ca="1" si="932"/>
        <v>14.762434741756739</v>
      </c>
      <c r="AIL22" s="90">
        <f t="shared" ca="1" si="933"/>
        <v>108.1267099747878</v>
      </c>
      <c r="AIM22" s="90">
        <f t="shared" ca="1" si="934"/>
        <v>212.40598544176083</v>
      </c>
      <c r="AIN22" s="90">
        <f t="shared" ca="1" si="935"/>
        <v>43.984023431139427</v>
      </c>
      <c r="AIO22" s="90">
        <f t="shared" ca="1" si="936"/>
        <v>20.24513344153921</v>
      </c>
      <c r="AIP22" s="90">
        <f t="shared" ca="1" si="937"/>
        <v>53.711732240615177</v>
      </c>
      <c r="AIQ22" s="90">
        <f t="shared" ca="1" si="938"/>
        <v>-4.2273743730354472</v>
      </c>
      <c r="AIR22" s="90">
        <f t="shared" ca="1" si="939"/>
        <v>106.91601591652444</v>
      </c>
      <c r="AIS22" s="90">
        <f t="shared" ca="1" si="940"/>
        <v>13.384789431566125</v>
      </c>
      <c r="AIT22" s="90">
        <f t="shared" ca="1" si="941"/>
        <v>161.20907440083366</v>
      </c>
      <c r="AIU22" s="90">
        <f t="shared" ca="1" si="942"/>
        <v>82.64552118197679</v>
      </c>
      <c r="AIV22" s="90">
        <f t="shared" ca="1" si="943"/>
        <v>128.52344697847954</v>
      </c>
      <c r="AIW22" s="90">
        <f t="shared" ca="1" si="944"/>
        <v>160.31249444611984</v>
      </c>
      <c r="AIX22" s="90">
        <f t="shared" ca="1" si="945"/>
        <v>61.647715048220022</v>
      </c>
      <c r="AIY22" s="90">
        <f t="shared" ca="1" si="946"/>
        <v>26.061305971814527</v>
      </c>
      <c r="AIZ22" s="90">
        <f t="shared" ca="1" si="947"/>
        <v>96.904026057297742</v>
      </c>
      <c r="AJA22" s="90">
        <f t="shared" ca="1" si="948"/>
        <v>280.8073965285825</v>
      </c>
      <c r="AJB22" s="90">
        <f t="shared" ca="1" si="949"/>
        <v>7.4822299768696299</v>
      </c>
      <c r="AJC22" s="90">
        <f t="shared" ca="1" si="950"/>
        <v>-2.9219312008079839</v>
      </c>
      <c r="AJD22" s="90">
        <f t="shared" ca="1" si="951"/>
        <v>33.246182318762578</v>
      </c>
      <c r="AJE22" s="90">
        <f t="shared" ca="1" si="952"/>
        <v>202.16093114009448</v>
      </c>
      <c r="AJF22" s="90">
        <f t="shared" ca="1" si="953"/>
        <v>70.18985189324367</v>
      </c>
      <c r="AJG22" s="90">
        <f t="shared" ca="1" si="954"/>
        <v>106.5707356019583</v>
      </c>
      <c r="AJH22" s="90">
        <f t="shared" ca="1" si="955"/>
        <v>21.266620559190354</v>
      </c>
      <c r="AJI22" s="90">
        <f t="shared" ca="1" si="956"/>
        <v>218.20414108322277</v>
      </c>
      <c r="AJJ22" s="90">
        <f t="shared" ca="1" si="957"/>
        <v>68.173781365760263</v>
      </c>
      <c r="AJK22" s="90">
        <f t="shared" ca="1" si="958"/>
        <v>109.49905111798913</v>
      </c>
      <c r="AJL22" s="90">
        <f t="shared" ca="1" si="959"/>
        <v>44.009620179736736</v>
      </c>
      <c r="AJM22" s="90">
        <f t="shared" ca="1" si="960"/>
        <v>146.63737579643811</v>
      </c>
      <c r="AJN22" s="90">
        <f t="shared" ca="1" si="961"/>
        <v>17.736881540588129</v>
      </c>
      <c r="AJO22" s="90">
        <f t="shared" ca="1" si="962"/>
        <v>12.55708918884112</v>
      </c>
      <c r="AJP22" s="90">
        <f t="shared" ca="1" si="963"/>
        <v>392.45330363168</v>
      </c>
      <c r="AJQ22" s="90">
        <f t="shared" ca="1" si="964"/>
        <v>98.625257954846901</v>
      </c>
      <c r="AJR22" s="90">
        <f t="shared" ca="1" si="965"/>
        <v>6.4606916361912781</v>
      </c>
      <c r="AJS22" s="90">
        <f t="shared" ca="1" si="966"/>
        <v>61.577989652258204</v>
      </c>
      <c r="AJT22" s="90">
        <f t="shared" ca="1" si="967"/>
        <v>75.577739981297796</v>
      </c>
      <c r="AJU22" s="90">
        <f t="shared" ca="1" si="968"/>
        <v>22.370169391820667</v>
      </c>
      <c r="AJV22" s="90">
        <f t="shared" ca="1" si="969"/>
        <v>186.65555530511895</v>
      </c>
      <c r="AJW22" s="90">
        <f t="shared" ca="1" si="970"/>
        <v>110.11079875793595</v>
      </c>
      <c r="AJX22" s="90">
        <f t="shared" ca="1" si="971"/>
        <v>51.72801545219005</v>
      </c>
      <c r="AJY22" s="90">
        <f t="shared" ca="1" si="972"/>
        <v>23.669536255194913</v>
      </c>
      <c r="AJZ22" s="90">
        <f t="shared" ca="1" si="973"/>
        <v>46.136858551312912</v>
      </c>
      <c r="AKA22" s="90">
        <f t="shared" ca="1" si="974"/>
        <v>40.108050692195519</v>
      </c>
      <c r="AKB22" s="90">
        <f t="shared" ca="1" si="975"/>
        <v>62.05890814391438</v>
      </c>
      <c r="AKC22" s="90">
        <f t="shared" ca="1" si="976"/>
        <v>25.076258598372963</v>
      </c>
      <c r="AKD22" s="90">
        <f t="shared" ca="1" si="977"/>
        <v>258.17224387121666</v>
      </c>
      <c r="AKE22" s="90">
        <f t="shared" ca="1" si="978"/>
        <v>41.207055930130409</v>
      </c>
      <c r="AKF22" s="90">
        <f t="shared" ca="1" si="979"/>
        <v>99.04988348135501</v>
      </c>
      <c r="AKG22" s="90">
        <f t="shared" ca="1" si="980"/>
        <v>42.261534661009172</v>
      </c>
      <c r="AKH22" s="90">
        <f t="shared" ca="1" si="981"/>
        <v>21.781719649188407</v>
      </c>
      <c r="AKI22" s="90">
        <f t="shared" ca="1" si="982"/>
        <v>341.92989021199429</v>
      </c>
      <c r="AKJ22" s="90">
        <f t="shared" ca="1" si="983"/>
        <v>28.200087049257018</v>
      </c>
      <c r="AKK22" s="90">
        <f t="shared" ca="1" si="984"/>
        <v>43.353842181653377</v>
      </c>
      <c r="AKL22" s="90">
        <f t="shared" ca="1" si="985"/>
        <v>48.332676525094328</v>
      </c>
      <c r="AKM22" s="90">
        <f t="shared" ca="1" si="986"/>
        <v>136.75056258004363</v>
      </c>
      <c r="AKN22" s="90">
        <f t="shared" ca="1" si="987"/>
        <v>47.914788907932319</v>
      </c>
      <c r="AKO22" s="90">
        <f t="shared" ca="1" si="988"/>
        <v>22.625268201057484</v>
      </c>
      <c r="AKP22" s="90">
        <f t="shared" ca="1" si="989"/>
        <v>109.86293084782309</v>
      </c>
      <c r="AKQ22" s="90">
        <f t="shared" ca="1" si="990"/>
        <v>52.276642744130974</v>
      </c>
      <c r="AKR22" s="90">
        <f t="shared" ca="1" si="991"/>
        <v>12.951205390877538</v>
      </c>
      <c r="AKS22" s="90">
        <f t="shared" ca="1" si="992"/>
        <v>117.81647630290463</v>
      </c>
      <c r="AKT22" s="90">
        <f t="shared" ca="1" si="993"/>
        <v>41.487064148245885</v>
      </c>
      <c r="AKU22" s="90">
        <f t="shared" ca="1" si="994"/>
        <v>26.392320837435634</v>
      </c>
      <c r="AKV22" s="90">
        <f t="shared" ca="1" si="995"/>
        <v>25.177758997531733</v>
      </c>
      <c r="AKW22" s="90">
        <f t="shared" ca="1" si="996"/>
        <v>82.643806155810097</v>
      </c>
      <c r="AKX22" s="90">
        <f t="shared" ca="1" si="997"/>
        <v>101.14101079444097</v>
      </c>
      <c r="AKY22" s="90">
        <f t="shared" ca="1" si="998"/>
        <v>60.734749605761216</v>
      </c>
      <c r="AKZ22" s="90">
        <f t="shared" ca="1" si="999"/>
        <v>329.34362949576922</v>
      </c>
      <c r="ALA22" s="90">
        <f t="shared" ca="1" si="1000"/>
        <v>167.79520856896599</v>
      </c>
      <c r="ALB22" s="90">
        <f t="shared" ca="1" si="1001"/>
        <v>180.60157441078348</v>
      </c>
      <c r="ALC22" s="90">
        <f t="shared" ca="1" si="1002"/>
        <v>153.96967053829556</v>
      </c>
      <c r="ALD22" s="90">
        <f t="shared" ca="1" si="1003"/>
        <v>332.08432678012696</v>
      </c>
      <c r="ALE22" s="90">
        <f t="shared" ca="1" si="1004"/>
        <v>-9.1898600312171652</v>
      </c>
      <c r="ALF22" s="90">
        <f t="shared" ca="1" si="1005"/>
        <v>225.02764593334996</v>
      </c>
      <c r="ALG22" s="90">
        <f t="shared" ca="1" si="1006"/>
        <v>79.445360044394747</v>
      </c>
      <c r="ALH22" s="90">
        <f t="shared" ca="1" si="1007"/>
        <v>6.8261668116611531</v>
      </c>
      <c r="ALI22" s="90">
        <f t="shared" ca="1" si="1008"/>
        <v>259.58162944807248</v>
      </c>
      <c r="ALJ22" s="90">
        <f t="shared" ca="1" si="1009"/>
        <v>161.80202133410191</v>
      </c>
      <c r="ALK22" s="90">
        <f t="shared" ca="1" si="1010"/>
        <v>-2.9736605110130663</v>
      </c>
      <c r="ALL22" s="90">
        <f t="shared" ca="1" si="1011"/>
        <v>89.758424765581452</v>
      </c>
      <c r="ALM22" s="90">
        <f t="shared" ca="1" si="1012"/>
        <v>26.153552864507315</v>
      </c>
      <c r="ALN22" s="90">
        <f t="shared" ca="1" si="1013"/>
        <v>125.82039089354456</v>
      </c>
      <c r="ALO22" s="90">
        <f t="shared" ca="1" si="1014"/>
        <v>38.478595979411757</v>
      </c>
      <c r="ALP22" s="90">
        <f t="shared" ca="1" si="1015"/>
        <v>199.02702675136848</v>
      </c>
      <c r="ALQ22" s="90">
        <f t="shared" ca="1" si="1016"/>
        <v>33.449201177542754</v>
      </c>
    </row>
    <row r="23" spans="3:1005" x14ac:dyDescent="0.35">
      <c r="C23" s="61">
        <f t="shared" ca="1" si="17"/>
        <v>7.9506186694151326E-2</v>
      </c>
      <c r="D23" s="90">
        <f t="shared" ca="1" si="0"/>
        <v>112.27482192855213</v>
      </c>
      <c r="E23">
        <v>6</v>
      </c>
      <c r="F23" s="90">
        <f t="shared" ca="1" si="1017"/>
        <v>6.7305357038697693</v>
      </c>
      <c r="G23" s="90">
        <f t="shared" ca="1" si="18"/>
        <v>63.531584590085842</v>
      </c>
      <c r="H23" s="90">
        <f t="shared" ca="1" si="19"/>
        <v>32.49715887828458</v>
      </c>
      <c r="I23" s="90">
        <f t="shared" ca="1" si="20"/>
        <v>200.9120777930255</v>
      </c>
      <c r="J23" s="90">
        <f t="shared" ca="1" si="21"/>
        <v>36.206363708483828</v>
      </c>
      <c r="K23" s="90">
        <f t="shared" ca="1" si="22"/>
        <v>173.11165885666728</v>
      </c>
      <c r="L23" s="90">
        <f t="shared" ca="1" si="23"/>
        <v>-12.851195771767026</v>
      </c>
      <c r="M23" s="90">
        <f t="shared" ca="1" si="24"/>
        <v>21.538477877849761</v>
      </c>
      <c r="N23" s="90">
        <f t="shared" ca="1" si="25"/>
        <v>47.538704483186926</v>
      </c>
      <c r="O23" s="90">
        <f t="shared" ca="1" si="26"/>
        <v>70.08111811694917</v>
      </c>
      <c r="P23" s="90">
        <f t="shared" ca="1" si="27"/>
        <v>19.121280449585957</v>
      </c>
      <c r="Q23" s="90">
        <f t="shared" ca="1" si="28"/>
        <v>54.116054612825607</v>
      </c>
      <c r="R23" s="90">
        <f t="shared" ca="1" si="29"/>
        <v>29.092917650800988</v>
      </c>
      <c r="S23" s="90">
        <f t="shared" ca="1" si="30"/>
        <v>361.09210040544809</v>
      </c>
      <c r="T23" s="90">
        <f t="shared" ca="1" si="31"/>
        <v>132.36506887667099</v>
      </c>
      <c r="U23" s="90">
        <f t="shared" ca="1" si="32"/>
        <v>104.29146571233767</v>
      </c>
      <c r="V23" s="90">
        <f t="shared" ca="1" si="33"/>
        <v>210.01337741922555</v>
      </c>
      <c r="W23" s="90">
        <f t="shared" ca="1" si="34"/>
        <v>212.91807995238514</v>
      </c>
      <c r="X23" s="90">
        <f t="shared" ca="1" si="35"/>
        <v>240.89725845385743</v>
      </c>
      <c r="Y23" s="90">
        <f t="shared" ca="1" si="36"/>
        <v>461.47953139625804</v>
      </c>
      <c r="Z23" s="90">
        <f t="shared" ca="1" si="37"/>
        <v>122.30231102187535</v>
      </c>
      <c r="AA23" s="90">
        <f t="shared" ca="1" si="38"/>
        <v>57.585927910160976</v>
      </c>
      <c r="AB23" s="90">
        <f t="shared" ca="1" si="39"/>
        <v>62.982621074627559</v>
      </c>
      <c r="AC23" s="90">
        <f t="shared" ca="1" si="40"/>
        <v>46.81555212671676</v>
      </c>
      <c r="AD23" s="90">
        <f t="shared" ca="1" si="41"/>
        <v>265.99949538351433</v>
      </c>
      <c r="AE23" s="90">
        <f t="shared" ca="1" si="42"/>
        <v>156.02018069700523</v>
      </c>
      <c r="AF23" s="90">
        <f t="shared" ca="1" si="43"/>
        <v>313.23886287053074</v>
      </c>
      <c r="AG23" s="90">
        <f t="shared" ca="1" si="44"/>
        <v>101.0903557752776</v>
      </c>
      <c r="AH23" s="90">
        <f t="shared" ca="1" si="45"/>
        <v>27.435233731185114</v>
      </c>
      <c r="AI23" s="90">
        <f t="shared" ca="1" si="46"/>
        <v>33.54736605632926</v>
      </c>
      <c r="AJ23" s="90">
        <f t="shared" ca="1" si="47"/>
        <v>131.9352519579686</v>
      </c>
      <c r="AK23" s="90">
        <f t="shared" ca="1" si="48"/>
        <v>-5.7779554259690897</v>
      </c>
      <c r="AL23" s="90">
        <f t="shared" ca="1" si="49"/>
        <v>118.8517627272895</v>
      </c>
      <c r="AM23" s="90">
        <f t="shared" ca="1" si="50"/>
        <v>-2.9112507254266009</v>
      </c>
      <c r="AN23" s="90">
        <f t="shared" ca="1" si="51"/>
        <v>48.088690458779261</v>
      </c>
      <c r="AO23" s="90">
        <f t="shared" ca="1" si="52"/>
        <v>151.95612438844887</v>
      </c>
      <c r="AP23" s="90">
        <f t="shared" ca="1" si="53"/>
        <v>143.92281315219947</v>
      </c>
      <c r="AQ23" s="90">
        <f t="shared" ca="1" si="54"/>
        <v>104.58274360698793</v>
      </c>
      <c r="AR23" s="90">
        <f t="shared" ca="1" si="55"/>
        <v>56.473598646621816</v>
      </c>
      <c r="AS23" s="90">
        <f t="shared" ca="1" si="56"/>
        <v>374.38924399114234</v>
      </c>
      <c r="AT23" s="90">
        <f t="shared" ca="1" si="57"/>
        <v>124.95654179633556</v>
      </c>
      <c r="AU23" s="90">
        <f t="shared" ca="1" si="58"/>
        <v>106.2825654834903</v>
      </c>
      <c r="AV23" s="90">
        <f t="shared" ca="1" si="59"/>
        <v>34.842350497956616</v>
      </c>
      <c r="AW23" s="90">
        <f t="shared" ca="1" si="60"/>
        <v>100.11980412109102</v>
      </c>
      <c r="AX23" s="90">
        <f t="shared" ca="1" si="61"/>
        <v>19.901568236035107</v>
      </c>
      <c r="AY23" s="90">
        <f t="shared" ca="1" si="62"/>
        <v>254.97941354043391</v>
      </c>
      <c r="AZ23" s="90">
        <f t="shared" ca="1" si="63"/>
        <v>71.726673821822232</v>
      </c>
      <c r="BA23" s="90">
        <f t="shared" ca="1" si="64"/>
        <v>50.131167442226896</v>
      </c>
      <c r="BB23" s="90">
        <f t="shared" ca="1" si="65"/>
        <v>19.561536963755561</v>
      </c>
      <c r="BC23" s="90">
        <f t="shared" ca="1" si="66"/>
        <v>155.12489777885204</v>
      </c>
      <c r="BD23" s="90">
        <f t="shared" ca="1" si="67"/>
        <v>170.09944205305581</v>
      </c>
      <c r="BE23" s="90">
        <f t="shared" ca="1" si="68"/>
        <v>5.6038892711278327</v>
      </c>
      <c r="BF23" s="90">
        <f t="shared" ca="1" si="69"/>
        <v>38.813162274670553</v>
      </c>
      <c r="BG23" s="90">
        <f t="shared" ca="1" si="70"/>
        <v>69.643246777748814</v>
      </c>
      <c r="BH23" s="90">
        <f t="shared" ca="1" si="71"/>
        <v>14.199238978375863</v>
      </c>
      <c r="BI23" s="90">
        <f t="shared" ca="1" si="72"/>
        <v>66.18019250232679</v>
      </c>
      <c r="BJ23" s="90">
        <f t="shared" ca="1" si="73"/>
        <v>46.633718446287745</v>
      </c>
      <c r="BK23" s="90">
        <f t="shared" ca="1" si="74"/>
        <v>2.2769061963504096</v>
      </c>
      <c r="BL23" s="90">
        <f t="shared" ca="1" si="75"/>
        <v>37.475254610069079</v>
      </c>
      <c r="BM23" s="90">
        <f t="shared" ca="1" si="76"/>
        <v>109.83404786934642</v>
      </c>
      <c r="BN23" s="90">
        <f t="shared" ca="1" si="77"/>
        <v>13.231871005601317</v>
      </c>
      <c r="BO23" s="90">
        <f t="shared" ca="1" si="78"/>
        <v>276.37582483438234</v>
      </c>
      <c r="BP23" s="90">
        <f t="shared" ca="1" si="79"/>
        <v>121.87142285932829</v>
      </c>
      <c r="BQ23" s="90">
        <f t="shared" ca="1" si="80"/>
        <v>124.17052314961929</v>
      </c>
      <c r="BR23" s="90">
        <f t="shared" ca="1" si="81"/>
        <v>225.14745293493633</v>
      </c>
      <c r="BS23" s="90">
        <f t="shared" ca="1" si="82"/>
        <v>64.860178211444989</v>
      </c>
      <c r="BT23" s="90">
        <f t="shared" ca="1" si="83"/>
        <v>86.669564274509526</v>
      </c>
      <c r="BU23" s="90">
        <f t="shared" ca="1" si="84"/>
        <v>27.802366265330061</v>
      </c>
      <c r="BV23" s="90">
        <f t="shared" ca="1" si="85"/>
        <v>11.334957397580652</v>
      </c>
      <c r="BW23" s="90">
        <f t="shared" ca="1" si="86"/>
        <v>150.66891857335207</v>
      </c>
      <c r="BX23" s="90">
        <f t="shared" ca="1" si="87"/>
        <v>8.6541617657765784</v>
      </c>
      <c r="BY23" s="90">
        <f t="shared" ca="1" si="88"/>
        <v>80.961991815343723</v>
      </c>
      <c r="BZ23" s="90">
        <f t="shared" ca="1" si="89"/>
        <v>137.83741716036923</v>
      </c>
      <c r="CA23" s="90">
        <f t="shared" ca="1" si="90"/>
        <v>11.768192919202773</v>
      </c>
      <c r="CB23" s="90">
        <f t="shared" ca="1" si="91"/>
        <v>79.952280977687622</v>
      </c>
      <c r="CC23" s="90">
        <f t="shared" ca="1" si="92"/>
        <v>66.241411265091628</v>
      </c>
      <c r="CD23" s="90">
        <f t="shared" ca="1" si="93"/>
        <v>140.70983953212323</v>
      </c>
      <c r="CE23" s="90">
        <f t="shared" ca="1" si="94"/>
        <v>1.2566794725798249</v>
      </c>
      <c r="CF23" s="90">
        <f t="shared" ca="1" si="95"/>
        <v>94.184925270785925</v>
      </c>
      <c r="CG23" s="90">
        <f t="shared" ca="1" si="96"/>
        <v>30.635020993673145</v>
      </c>
      <c r="CH23" s="90">
        <f t="shared" ca="1" si="97"/>
        <v>43.004593583437725</v>
      </c>
      <c r="CI23" s="90">
        <f t="shared" ca="1" si="98"/>
        <v>48.185702693397047</v>
      </c>
      <c r="CJ23" s="90">
        <f t="shared" ca="1" si="99"/>
        <v>136.70976201376334</v>
      </c>
      <c r="CK23" s="90">
        <f t="shared" ca="1" si="100"/>
        <v>98.300615963103908</v>
      </c>
      <c r="CL23" s="90">
        <f t="shared" ca="1" si="101"/>
        <v>96.503568674923216</v>
      </c>
      <c r="CM23" s="90">
        <f t="shared" ca="1" si="102"/>
        <v>41.681009482054428</v>
      </c>
      <c r="CN23" s="90">
        <f t="shared" ca="1" si="103"/>
        <v>132.52082670882672</v>
      </c>
      <c r="CO23" s="90">
        <f t="shared" ca="1" si="104"/>
        <v>90.205019980702602</v>
      </c>
      <c r="CP23" s="90">
        <f t="shared" ca="1" si="105"/>
        <v>183.71919434442401</v>
      </c>
      <c r="CQ23" s="90">
        <f t="shared" ca="1" si="106"/>
        <v>11.359719560154337</v>
      </c>
      <c r="CR23" s="90">
        <f t="shared" ca="1" si="107"/>
        <v>38.020285052776813</v>
      </c>
      <c r="CS23" s="90">
        <f t="shared" ca="1" si="108"/>
        <v>136.54111724519561</v>
      </c>
      <c r="CT23" s="90">
        <f t="shared" ca="1" si="109"/>
        <v>65.358835945285463</v>
      </c>
      <c r="CU23" s="90">
        <f t="shared" ca="1" si="110"/>
        <v>27.332248921028242</v>
      </c>
      <c r="CV23" s="90">
        <f t="shared" ca="1" si="111"/>
        <v>260.85018603316007</v>
      </c>
      <c r="CW23" s="90">
        <f t="shared" ca="1" si="112"/>
        <v>193.71275724804153</v>
      </c>
      <c r="CX23" s="90">
        <f t="shared" ca="1" si="113"/>
        <v>158.62151749487191</v>
      </c>
      <c r="CY23" s="90">
        <f t="shared" ca="1" si="114"/>
        <v>53.744919929336902</v>
      </c>
      <c r="CZ23" s="90">
        <f t="shared" ca="1" si="115"/>
        <v>162.39881672000416</v>
      </c>
      <c r="DA23" s="90">
        <f t="shared" ca="1" si="116"/>
        <v>35.753767284410984</v>
      </c>
      <c r="DB23" s="90">
        <f t="shared" ca="1" si="117"/>
        <v>295.60620446980607</v>
      </c>
      <c r="DC23" s="90">
        <f t="shared" ca="1" si="118"/>
        <v>14.256881927774078</v>
      </c>
      <c r="DD23" s="90">
        <f t="shared" ca="1" si="119"/>
        <v>222.97886716403082</v>
      </c>
      <c r="DE23" s="90">
        <f t="shared" ca="1" si="120"/>
        <v>69.163076928490895</v>
      </c>
      <c r="DF23" s="90">
        <f t="shared" ca="1" si="121"/>
        <v>29.506369725363665</v>
      </c>
      <c r="DG23" s="90">
        <f t="shared" ca="1" si="122"/>
        <v>41.558788037136409</v>
      </c>
      <c r="DH23" s="90">
        <f t="shared" ca="1" si="123"/>
        <v>213.73355313702373</v>
      </c>
      <c r="DI23" s="90">
        <f t="shared" ca="1" si="124"/>
        <v>98.525747012309381</v>
      </c>
      <c r="DJ23" s="90">
        <f t="shared" ca="1" si="125"/>
        <v>199.35293784527596</v>
      </c>
      <c r="DK23" s="90">
        <f t="shared" ca="1" si="126"/>
        <v>50.045188709321728</v>
      </c>
      <c r="DL23" s="90">
        <f t="shared" ca="1" si="127"/>
        <v>11.711966754222885</v>
      </c>
      <c r="DM23" s="90">
        <f t="shared" ca="1" si="128"/>
        <v>9.6356049179422403</v>
      </c>
      <c r="DN23" s="90">
        <f t="shared" ca="1" si="129"/>
        <v>19.474483479163723</v>
      </c>
      <c r="DO23" s="90">
        <f t="shared" ca="1" si="130"/>
        <v>517.83075956496293</v>
      </c>
      <c r="DP23" s="90">
        <f t="shared" ca="1" si="131"/>
        <v>24.788224689183309</v>
      </c>
      <c r="DQ23" s="90">
        <f t="shared" ca="1" si="132"/>
        <v>542.74740029816428</v>
      </c>
      <c r="DR23" s="90">
        <f t="shared" ca="1" si="133"/>
        <v>25.077593187888759</v>
      </c>
      <c r="DS23" s="90">
        <f t="shared" ca="1" si="134"/>
        <v>31.428227789238054</v>
      </c>
      <c r="DT23" s="90">
        <f t="shared" ca="1" si="135"/>
        <v>-2.0017325401589394</v>
      </c>
      <c r="DU23" s="90">
        <f t="shared" ca="1" si="136"/>
        <v>127.2372554862073</v>
      </c>
      <c r="DV23" s="90">
        <f t="shared" ca="1" si="137"/>
        <v>288.67809037486836</v>
      </c>
      <c r="DW23" s="90">
        <f t="shared" ca="1" si="138"/>
        <v>312.78835465459014</v>
      </c>
      <c r="DX23" s="90">
        <f t="shared" ca="1" si="139"/>
        <v>136.11796110203508</v>
      </c>
      <c r="DY23" s="90">
        <f t="shared" ca="1" si="140"/>
        <v>86.219527423839125</v>
      </c>
      <c r="DZ23" s="90">
        <f t="shared" ca="1" si="141"/>
        <v>412.51731384226929</v>
      </c>
      <c r="EA23" s="90">
        <f t="shared" ca="1" si="142"/>
        <v>53.518760104413175</v>
      </c>
      <c r="EB23" s="90">
        <f t="shared" ca="1" si="143"/>
        <v>182.95248802507706</v>
      </c>
      <c r="EC23" s="90">
        <f t="shared" ca="1" si="144"/>
        <v>143.91680514780765</v>
      </c>
      <c r="ED23" s="90">
        <f t="shared" ca="1" si="145"/>
        <v>16.262682784780441</v>
      </c>
      <c r="EE23" s="90">
        <f t="shared" ca="1" si="146"/>
        <v>-9.6289899647550872</v>
      </c>
      <c r="EF23" s="90">
        <f t="shared" ca="1" si="147"/>
        <v>260.34067372390757</v>
      </c>
      <c r="EG23" s="90">
        <f t="shared" ca="1" si="148"/>
        <v>30.33793270982278</v>
      </c>
      <c r="EH23" s="90">
        <f t="shared" ca="1" si="149"/>
        <v>42.155626936079585</v>
      </c>
      <c r="EI23" s="90">
        <f t="shared" ca="1" si="150"/>
        <v>161.60940830736965</v>
      </c>
      <c r="EJ23" s="90">
        <f t="shared" ca="1" si="151"/>
        <v>46.607396722291377</v>
      </c>
      <c r="EK23" s="90">
        <f t="shared" ca="1" si="152"/>
        <v>39.698373656282605</v>
      </c>
      <c r="EL23" s="90">
        <f t="shared" ca="1" si="153"/>
        <v>406.30344917726677</v>
      </c>
      <c r="EM23" s="90">
        <f t="shared" ca="1" si="154"/>
        <v>19.89595928354284</v>
      </c>
      <c r="EN23" s="90">
        <f t="shared" ca="1" si="155"/>
        <v>90.645112351803576</v>
      </c>
      <c r="EO23" s="90">
        <f t="shared" ca="1" si="156"/>
        <v>192.2311423521472</v>
      </c>
      <c r="EP23" s="90">
        <f t="shared" ca="1" si="157"/>
        <v>166.08903560363626</v>
      </c>
      <c r="EQ23" s="90">
        <f t="shared" ca="1" si="158"/>
        <v>131.97115108056769</v>
      </c>
      <c r="ER23" s="90">
        <f t="shared" ca="1" si="159"/>
        <v>57.001030751892017</v>
      </c>
      <c r="ES23" s="90">
        <f t="shared" ca="1" si="160"/>
        <v>117.56867123354401</v>
      </c>
      <c r="ET23" s="90">
        <f t="shared" ca="1" si="161"/>
        <v>34.435184191401348</v>
      </c>
      <c r="EU23" s="90">
        <f t="shared" ca="1" si="162"/>
        <v>37.990541310907105</v>
      </c>
      <c r="EV23" s="90">
        <f t="shared" ca="1" si="163"/>
        <v>215.22563478910308</v>
      </c>
      <c r="EW23" s="90">
        <f t="shared" ca="1" si="164"/>
        <v>103.20544975119505</v>
      </c>
      <c r="EX23" s="90">
        <f t="shared" ca="1" si="165"/>
        <v>25.517032220034785</v>
      </c>
      <c r="EY23" s="90">
        <f t="shared" ca="1" si="166"/>
        <v>261.33343099609766</v>
      </c>
      <c r="EZ23" s="90">
        <f t="shared" ca="1" si="167"/>
        <v>45.202962206927076</v>
      </c>
      <c r="FA23" s="90">
        <f t="shared" ca="1" si="168"/>
        <v>137.46442804277339</v>
      </c>
      <c r="FB23" s="90">
        <f t="shared" ca="1" si="169"/>
        <v>53.50707965793805</v>
      </c>
      <c r="FC23" s="90">
        <f t="shared" ca="1" si="170"/>
        <v>214.9097499750012</v>
      </c>
      <c r="FD23" s="90">
        <f t="shared" ca="1" si="171"/>
        <v>27.14005899189829</v>
      </c>
      <c r="FE23" s="90">
        <f t="shared" ca="1" si="172"/>
        <v>33.12663817264481</v>
      </c>
      <c r="FF23" s="90">
        <f t="shared" ca="1" si="173"/>
        <v>33.266667015857315</v>
      </c>
      <c r="FG23" s="90">
        <f t="shared" ca="1" si="174"/>
        <v>604.09919051050281</v>
      </c>
      <c r="FH23" s="90">
        <f t="shared" ca="1" si="175"/>
        <v>235.06511334758773</v>
      </c>
      <c r="FI23" s="90">
        <f t="shared" ca="1" si="176"/>
        <v>9.022216389832062</v>
      </c>
      <c r="FJ23" s="90">
        <f t="shared" ca="1" si="177"/>
        <v>102.16347021352817</v>
      </c>
      <c r="FK23" s="90">
        <f t="shared" ca="1" si="178"/>
        <v>51.978284771620544</v>
      </c>
      <c r="FL23" s="90">
        <f t="shared" ca="1" si="179"/>
        <v>269.82145348682099</v>
      </c>
      <c r="FM23" s="90">
        <f t="shared" ca="1" si="180"/>
        <v>57.860168988949965</v>
      </c>
      <c r="FN23" s="90">
        <f t="shared" ca="1" si="181"/>
        <v>84.319754475273569</v>
      </c>
      <c r="FO23" s="90">
        <f t="shared" ca="1" si="182"/>
        <v>718.90042362920531</v>
      </c>
      <c r="FP23" s="90">
        <f t="shared" ca="1" si="183"/>
        <v>25.993507832675419</v>
      </c>
      <c r="FQ23" s="90">
        <f t="shared" ca="1" si="184"/>
        <v>65.928798713802848</v>
      </c>
      <c r="FR23" s="90">
        <f t="shared" ca="1" si="185"/>
        <v>46.537002585581845</v>
      </c>
      <c r="FS23" s="90">
        <f t="shared" ca="1" si="186"/>
        <v>54.467252406107129</v>
      </c>
      <c r="FT23" s="90">
        <f t="shared" ca="1" si="187"/>
        <v>47.399561123827127</v>
      </c>
      <c r="FU23" s="90">
        <f t="shared" ca="1" si="188"/>
        <v>406.38489080580854</v>
      </c>
      <c r="FV23" s="90">
        <f t="shared" ca="1" si="189"/>
        <v>75.346655834270763</v>
      </c>
      <c r="FW23" s="90">
        <f t="shared" ca="1" si="190"/>
        <v>11.600428538970851</v>
      </c>
      <c r="FX23" s="90">
        <f t="shared" ca="1" si="191"/>
        <v>135.03213407745542</v>
      </c>
      <c r="FY23" s="90">
        <f t="shared" ca="1" si="192"/>
        <v>162.61121454791095</v>
      </c>
      <c r="FZ23" s="90">
        <f t="shared" ca="1" si="193"/>
        <v>37.18058835024501</v>
      </c>
      <c r="GA23" s="90">
        <f t="shared" ca="1" si="194"/>
        <v>3.6730294686754896</v>
      </c>
      <c r="GB23" s="90">
        <f t="shared" ca="1" si="195"/>
        <v>27.658334252193296</v>
      </c>
      <c r="GC23" s="90">
        <f t="shared" ca="1" si="196"/>
        <v>279.1320585718596</v>
      </c>
      <c r="GD23" s="90">
        <f t="shared" ca="1" si="197"/>
        <v>184.29403461997538</v>
      </c>
      <c r="GE23" s="90">
        <f t="shared" ca="1" si="198"/>
        <v>33.650022941046537</v>
      </c>
      <c r="GF23" s="90">
        <f t="shared" ca="1" si="199"/>
        <v>32.350905251394877</v>
      </c>
      <c r="GG23" s="90">
        <f t="shared" ca="1" si="200"/>
        <v>165.73385821080487</v>
      </c>
      <c r="GH23" s="90">
        <f t="shared" ca="1" si="201"/>
        <v>289.20469001946265</v>
      </c>
      <c r="GI23" s="90">
        <f t="shared" ca="1" si="202"/>
        <v>76.083387109573863</v>
      </c>
      <c r="GJ23" s="90">
        <f t="shared" ca="1" si="203"/>
        <v>17.632603338163463</v>
      </c>
      <c r="GK23" s="90">
        <f t="shared" ca="1" si="204"/>
        <v>316.15715663570194</v>
      </c>
      <c r="GL23" s="90">
        <f t="shared" ca="1" si="205"/>
        <v>165.26140021701889</v>
      </c>
      <c r="GM23" s="90">
        <f t="shared" ca="1" si="206"/>
        <v>6.8748242792698795</v>
      </c>
      <c r="GN23" s="90">
        <f t="shared" ca="1" si="207"/>
        <v>33.085392215332007</v>
      </c>
      <c r="GO23" s="90">
        <f t="shared" ca="1" si="208"/>
        <v>40.165644309820578</v>
      </c>
      <c r="GP23" s="90">
        <f t="shared" ca="1" si="209"/>
        <v>314.50789650746719</v>
      </c>
      <c r="GQ23" s="90">
        <f t="shared" ca="1" si="210"/>
        <v>11.263377842471419</v>
      </c>
      <c r="GR23" s="90">
        <f t="shared" ca="1" si="211"/>
        <v>335.57426826011891</v>
      </c>
      <c r="GS23" s="90">
        <f t="shared" ca="1" si="212"/>
        <v>55.858808135926949</v>
      </c>
      <c r="GT23" s="90">
        <f t="shared" ca="1" si="213"/>
        <v>13.643766108601124</v>
      </c>
      <c r="GU23" s="90">
        <f t="shared" ca="1" si="214"/>
        <v>219.47891324556696</v>
      </c>
      <c r="GV23" s="90">
        <f t="shared" ca="1" si="215"/>
        <v>197.91265857073381</v>
      </c>
      <c r="GW23" s="90">
        <f t="shared" ca="1" si="216"/>
        <v>129.06735833550024</v>
      </c>
      <c r="GX23" s="90">
        <f t="shared" ca="1" si="217"/>
        <v>547.32981032803218</v>
      </c>
      <c r="GY23" s="90">
        <f t="shared" ca="1" si="218"/>
        <v>157.42949593942797</v>
      </c>
      <c r="GZ23" s="90">
        <f t="shared" ca="1" si="219"/>
        <v>223.87129521862394</v>
      </c>
      <c r="HA23" s="90">
        <f t="shared" ca="1" si="220"/>
        <v>51.527434705306732</v>
      </c>
      <c r="HB23" s="90">
        <f t="shared" ca="1" si="221"/>
        <v>33.137975346473496</v>
      </c>
      <c r="HC23" s="90">
        <f t="shared" ca="1" si="222"/>
        <v>125.49453672677387</v>
      </c>
      <c r="HD23" s="90">
        <f t="shared" ca="1" si="223"/>
        <v>120.98124234354574</v>
      </c>
      <c r="HE23" s="90">
        <f t="shared" ca="1" si="224"/>
        <v>196.03691240731024</v>
      </c>
      <c r="HF23" s="90">
        <f t="shared" ca="1" si="225"/>
        <v>-0.84430284596582084</v>
      </c>
      <c r="HG23" s="90">
        <f t="shared" ca="1" si="226"/>
        <v>185.96060099153996</v>
      </c>
      <c r="HH23" s="90">
        <f t="shared" ca="1" si="227"/>
        <v>38.647380675916153</v>
      </c>
      <c r="HI23" s="90">
        <f t="shared" ca="1" si="228"/>
        <v>112.83312248656398</v>
      </c>
      <c r="HJ23" s="90">
        <f t="shared" ca="1" si="229"/>
        <v>107.3395259147553</v>
      </c>
      <c r="HK23" s="90">
        <f t="shared" ca="1" si="230"/>
        <v>115.3033553142626</v>
      </c>
      <c r="HL23" s="90">
        <f t="shared" ca="1" si="231"/>
        <v>62.931619996558112</v>
      </c>
      <c r="HM23" s="90">
        <f t="shared" ca="1" si="232"/>
        <v>29.350195925488009</v>
      </c>
      <c r="HN23" s="90">
        <f t="shared" ca="1" si="233"/>
        <v>81.289340223527418</v>
      </c>
      <c r="HO23" s="90">
        <f t="shared" ca="1" si="234"/>
        <v>205.62292177032043</v>
      </c>
      <c r="HP23" s="90">
        <f t="shared" ca="1" si="235"/>
        <v>202.91551443856915</v>
      </c>
      <c r="HQ23" s="90">
        <f t="shared" ca="1" si="236"/>
        <v>172.27431494234946</v>
      </c>
      <c r="HR23" s="90">
        <f t="shared" ca="1" si="237"/>
        <v>41.795431732035247</v>
      </c>
      <c r="HS23" s="90">
        <f t="shared" ca="1" si="238"/>
        <v>84.119299914855119</v>
      </c>
      <c r="HT23" s="90">
        <f t="shared" ca="1" si="239"/>
        <v>57.876674771135654</v>
      </c>
      <c r="HU23" s="90">
        <f t="shared" ca="1" si="240"/>
        <v>14.352136548431947</v>
      </c>
      <c r="HV23" s="90">
        <f t="shared" ca="1" si="241"/>
        <v>63.471442408248706</v>
      </c>
      <c r="HW23" s="90">
        <f t="shared" ca="1" si="242"/>
        <v>115.50769696535488</v>
      </c>
      <c r="HX23" s="90">
        <f t="shared" ca="1" si="243"/>
        <v>148.98124150455808</v>
      </c>
      <c r="HY23" s="90">
        <f t="shared" ca="1" si="244"/>
        <v>466.59872916995556</v>
      </c>
      <c r="HZ23" s="90">
        <f t="shared" ca="1" si="245"/>
        <v>121.8913993129452</v>
      </c>
      <c r="IA23" s="90">
        <f t="shared" ca="1" si="246"/>
        <v>97.410467293807827</v>
      </c>
      <c r="IB23" s="90">
        <f t="shared" ca="1" si="247"/>
        <v>87.367089845914151</v>
      </c>
      <c r="IC23" s="90">
        <f t="shared" ca="1" si="248"/>
        <v>32.145142615079308</v>
      </c>
      <c r="ID23" s="90">
        <f t="shared" ca="1" si="249"/>
        <v>41.458417252384571</v>
      </c>
      <c r="IE23" s="90">
        <f t="shared" ca="1" si="250"/>
        <v>23.341811255100819</v>
      </c>
      <c r="IF23" s="90">
        <f t="shared" ca="1" si="251"/>
        <v>3.3414993160090387</v>
      </c>
      <c r="IG23" s="90">
        <f t="shared" ca="1" si="252"/>
        <v>127.69419166221003</v>
      </c>
      <c r="IH23" s="90">
        <f t="shared" ca="1" si="253"/>
        <v>52.307706936442933</v>
      </c>
      <c r="II23" s="90">
        <f t="shared" ca="1" si="254"/>
        <v>14.142317499720786</v>
      </c>
      <c r="IJ23" s="90">
        <f t="shared" ca="1" si="255"/>
        <v>40.013842396594164</v>
      </c>
      <c r="IK23" s="90">
        <f t="shared" ca="1" si="256"/>
        <v>210.5271990807355</v>
      </c>
      <c r="IL23" s="90">
        <f t="shared" ca="1" si="257"/>
        <v>195.45642810133523</v>
      </c>
      <c r="IM23" s="90">
        <f t="shared" ca="1" si="258"/>
        <v>297.81390171459924</v>
      </c>
      <c r="IN23" s="90">
        <f t="shared" ca="1" si="259"/>
        <v>128.31070475363194</v>
      </c>
      <c r="IO23" s="90">
        <f t="shared" ca="1" si="260"/>
        <v>7.515600302921146</v>
      </c>
      <c r="IP23" s="90">
        <f t="shared" ca="1" si="261"/>
        <v>38.033987644023412</v>
      </c>
      <c r="IQ23" s="90">
        <f t="shared" ca="1" si="262"/>
        <v>144.8105685466476</v>
      </c>
      <c r="IR23" s="90">
        <f t="shared" ca="1" si="263"/>
        <v>239.93791649342788</v>
      </c>
      <c r="IS23" s="90">
        <f t="shared" ca="1" si="264"/>
        <v>104.05702610837359</v>
      </c>
      <c r="IT23" s="90">
        <f t="shared" ca="1" si="265"/>
        <v>15.891253418836254</v>
      </c>
      <c r="IU23" s="90">
        <f t="shared" ca="1" si="266"/>
        <v>642.66229157126224</v>
      </c>
      <c r="IV23" s="90">
        <f t="shared" ca="1" si="267"/>
        <v>30.43204660703438</v>
      </c>
      <c r="IW23" s="90">
        <f t="shared" ca="1" si="268"/>
        <v>33.307067686938332</v>
      </c>
      <c r="IX23" s="90">
        <f t="shared" ca="1" si="269"/>
        <v>182.0350151151772</v>
      </c>
      <c r="IY23" s="90">
        <f t="shared" ca="1" si="270"/>
        <v>108.5509996395582</v>
      </c>
      <c r="IZ23" s="90">
        <f t="shared" ca="1" si="271"/>
        <v>99.959936797214979</v>
      </c>
      <c r="JA23" s="90">
        <f t="shared" ca="1" si="272"/>
        <v>68.464570908420072</v>
      </c>
      <c r="JB23" s="90">
        <f t="shared" ca="1" si="273"/>
        <v>15.510855551004386</v>
      </c>
      <c r="JC23" s="90">
        <f t="shared" ca="1" si="274"/>
        <v>14.557368825326158</v>
      </c>
      <c r="JD23" s="90">
        <f t="shared" ca="1" si="275"/>
        <v>71.032984814489708</v>
      </c>
      <c r="JE23" s="90">
        <f t="shared" ca="1" si="276"/>
        <v>30.639077950712363</v>
      </c>
      <c r="JF23" s="90">
        <f t="shared" ca="1" si="277"/>
        <v>34.457154538665904</v>
      </c>
      <c r="JG23" s="90">
        <f t="shared" ca="1" si="278"/>
        <v>261.14634163632587</v>
      </c>
      <c r="JH23" s="90">
        <f t="shared" ca="1" si="279"/>
        <v>22.859323764849712</v>
      </c>
      <c r="JI23" s="90">
        <f t="shared" ca="1" si="280"/>
        <v>14.943919618743724</v>
      </c>
      <c r="JJ23" s="90">
        <f t="shared" ca="1" si="281"/>
        <v>29.215521086858985</v>
      </c>
      <c r="JK23" s="90">
        <f t="shared" ca="1" si="282"/>
        <v>312.54443507809879</v>
      </c>
      <c r="JL23" s="90">
        <f t="shared" ca="1" si="283"/>
        <v>128.76684734921776</v>
      </c>
      <c r="JM23" s="90">
        <f t="shared" ca="1" si="284"/>
        <v>159.6340427886586</v>
      </c>
      <c r="JN23" s="90">
        <f t="shared" ca="1" si="285"/>
        <v>144.72422927591438</v>
      </c>
      <c r="JO23" s="90">
        <f t="shared" ca="1" si="286"/>
        <v>35.133566090369051</v>
      </c>
      <c r="JP23" s="90">
        <f t="shared" ca="1" si="287"/>
        <v>33.741322015761881</v>
      </c>
      <c r="JQ23" s="90">
        <f t="shared" ca="1" si="288"/>
        <v>17.848231878028201</v>
      </c>
      <c r="JR23" s="90">
        <f t="shared" ca="1" si="289"/>
        <v>63.848348102082426</v>
      </c>
      <c r="JS23" s="90">
        <f t="shared" ca="1" si="290"/>
        <v>67.103021809151016</v>
      </c>
      <c r="JT23" s="90">
        <f t="shared" ca="1" si="291"/>
        <v>30.075869502372239</v>
      </c>
      <c r="JU23" s="90">
        <f t="shared" ca="1" si="292"/>
        <v>59.800288827716997</v>
      </c>
      <c r="JV23" s="90">
        <f t="shared" ca="1" si="293"/>
        <v>206.82200601724006</v>
      </c>
      <c r="JW23" s="90">
        <f t="shared" ca="1" si="294"/>
        <v>39.210817373563764</v>
      </c>
      <c r="JX23" s="90">
        <f t="shared" ca="1" si="295"/>
        <v>5.0350788954738018E-2</v>
      </c>
      <c r="JY23" s="90">
        <f t="shared" ca="1" si="296"/>
        <v>121.05244114565178</v>
      </c>
      <c r="JZ23" s="90">
        <f t="shared" ca="1" si="297"/>
        <v>34.768647728922211</v>
      </c>
      <c r="KA23" s="90">
        <f t="shared" ca="1" si="298"/>
        <v>12.151611185781618</v>
      </c>
      <c r="KB23" s="90">
        <f t="shared" ca="1" si="299"/>
        <v>83.445235922277718</v>
      </c>
      <c r="KC23" s="90">
        <f t="shared" ca="1" si="300"/>
        <v>13.657201114339324</v>
      </c>
      <c r="KD23" s="90">
        <f t="shared" ca="1" si="301"/>
        <v>8.0861496572376979</v>
      </c>
      <c r="KE23" s="90">
        <f t="shared" ca="1" si="302"/>
        <v>46.459813517303878</v>
      </c>
      <c r="KF23" s="90">
        <f t="shared" ca="1" si="303"/>
        <v>50.1074987986133</v>
      </c>
      <c r="KG23" s="90">
        <f t="shared" ca="1" si="304"/>
        <v>106.71323928275538</v>
      </c>
      <c r="KH23" s="90">
        <f t="shared" ca="1" si="305"/>
        <v>516.00211614188117</v>
      </c>
      <c r="KI23" s="90">
        <f t="shared" ca="1" si="306"/>
        <v>61.13473656620193</v>
      </c>
      <c r="KJ23" s="90">
        <f t="shared" ca="1" si="307"/>
        <v>239.05176516737922</v>
      </c>
      <c r="KK23" s="90">
        <f t="shared" ca="1" si="308"/>
        <v>28.761248028245166</v>
      </c>
      <c r="KL23" s="90">
        <f t="shared" ca="1" si="309"/>
        <v>9.4191990516130435</v>
      </c>
      <c r="KM23" s="90">
        <f t="shared" ca="1" si="310"/>
        <v>129.46424539878433</v>
      </c>
      <c r="KN23" s="90">
        <f t="shared" ca="1" si="311"/>
        <v>212.83678131420359</v>
      </c>
      <c r="KO23" s="90">
        <f t="shared" ca="1" si="312"/>
        <v>106.16991139809926</v>
      </c>
      <c r="KP23" s="90">
        <f t="shared" ca="1" si="313"/>
        <v>167.02168673050761</v>
      </c>
      <c r="KQ23" s="90">
        <f t="shared" ca="1" si="314"/>
        <v>62.446830129270154</v>
      </c>
      <c r="KR23" s="90">
        <f t="shared" ca="1" si="315"/>
        <v>91.850231064832826</v>
      </c>
      <c r="KS23" s="90">
        <f t="shared" ca="1" si="316"/>
        <v>53.749504276798007</v>
      </c>
      <c r="KT23" s="90">
        <f t="shared" ca="1" si="317"/>
        <v>95.074427884153977</v>
      </c>
      <c r="KU23" s="90">
        <f t="shared" ca="1" si="318"/>
        <v>27.910775139536156</v>
      </c>
      <c r="KV23" s="90">
        <f t="shared" ca="1" si="319"/>
        <v>90.251141470754177</v>
      </c>
      <c r="KW23" s="90">
        <f t="shared" ca="1" si="320"/>
        <v>70.277150012101828</v>
      </c>
      <c r="KX23" s="90">
        <f t="shared" ca="1" si="321"/>
        <v>87.305765528114378</v>
      </c>
      <c r="KY23" s="90">
        <f t="shared" ca="1" si="322"/>
        <v>146.7942523848341</v>
      </c>
      <c r="KZ23" s="90">
        <f t="shared" ca="1" si="323"/>
        <v>56.540929282699118</v>
      </c>
      <c r="LA23" s="90">
        <f t="shared" ca="1" si="324"/>
        <v>125.10984618282735</v>
      </c>
      <c r="LB23" s="90">
        <f t="shared" ca="1" si="325"/>
        <v>56.293688329070221</v>
      </c>
      <c r="LC23" s="90">
        <f t="shared" ca="1" si="326"/>
        <v>1020.7230420087537</v>
      </c>
      <c r="LD23" s="90">
        <f t="shared" ca="1" si="327"/>
        <v>112.2931449192852</v>
      </c>
      <c r="LE23" s="90">
        <f t="shared" ca="1" si="328"/>
        <v>121.85892845139348</v>
      </c>
      <c r="LF23" s="90">
        <f t="shared" ca="1" si="329"/>
        <v>2.6034528039363707</v>
      </c>
      <c r="LG23" s="90">
        <f t="shared" ca="1" si="330"/>
        <v>177.61009539291695</v>
      </c>
      <c r="LH23" s="90">
        <f t="shared" ca="1" si="331"/>
        <v>45.153064348174119</v>
      </c>
      <c r="LI23" s="90">
        <f t="shared" ca="1" si="332"/>
        <v>107.77992478669508</v>
      </c>
      <c r="LJ23" s="90">
        <f t="shared" ca="1" si="333"/>
        <v>45.536364132600831</v>
      </c>
      <c r="LK23" s="90">
        <f t="shared" ca="1" si="334"/>
        <v>13.520775805343741</v>
      </c>
      <c r="LL23" s="90">
        <f t="shared" ca="1" si="335"/>
        <v>98.815455566428966</v>
      </c>
      <c r="LM23" s="90">
        <f t="shared" ca="1" si="336"/>
        <v>96.861970187526524</v>
      </c>
      <c r="LN23" s="90">
        <f t="shared" ca="1" si="337"/>
        <v>2.8934580133468777</v>
      </c>
      <c r="LO23" s="90">
        <f t="shared" ca="1" si="338"/>
        <v>88.489561118830267</v>
      </c>
      <c r="LP23" s="90">
        <f t="shared" ca="1" si="339"/>
        <v>2.7667055990953955</v>
      </c>
      <c r="LQ23" s="90">
        <f t="shared" ca="1" si="340"/>
        <v>115.00162824731299</v>
      </c>
      <c r="LR23" s="90">
        <f t="shared" ca="1" si="341"/>
        <v>58.076844199076341</v>
      </c>
      <c r="LS23" s="90">
        <f t="shared" ca="1" si="342"/>
        <v>106.17030439174071</v>
      </c>
      <c r="LT23" s="90">
        <f t="shared" ca="1" si="343"/>
        <v>20.969854141183696</v>
      </c>
      <c r="LU23" s="90">
        <f t="shared" ca="1" si="344"/>
        <v>226.25241150536357</v>
      </c>
      <c r="LV23" s="90">
        <f t="shared" ca="1" si="345"/>
        <v>244.99561205344958</v>
      </c>
      <c r="LW23" s="90">
        <f t="shared" ca="1" si="346"/>
        <v>104.18859941612084</v>
      </c>
      <c r="LX23" s="90">
        <f t="shared" ca="1" si="347"/>
        <v>73.263547820042731</v>
      </c>
      <c r="LY23" s="90">
        <f t="shared" ca="1" si="348"/>
        <v>83.665761304194589</v>
      </c>
      <c r="LZ23" s="90">
        <f t="shared" ca="1" si="349"/>
        <v>126.53944768073606</v>
      </c>
      <c r="MA23" s="90">
        <f t="shared" ca="1" si="350"/>
        <v>75.53690246341354</v>
      </c>
      <c r="MB23" s="90">
        <f t="shared" ca="1" si="351"/>
        <v>31.710952051875935</v>
      </c>
      <c r="MC23" s="90">
        <f t="shared" ca="1" si="352"/>
        <v>42.82520232712141</v>
      </c>
      <c r="MD23" s="90">
        <f t="shared" ca="1" si="353"/>
        <v>349.08306525982209</v>
      </c>
      <c r="ME23" s="90">
        <f t="shared" ca="1" si="354"/>
        <v>33.98258149850119</v>
      </c>
      <c r="MF23" s="90">
        <f t="shared" ca="1" si="355"/>
        <v>284.08833426195588</v>
      </c>
      <c r="MG23" s="90">
        <f t="shared" ca="1" si="356"/>
        <v>86.086847835829246</v>
      </c>
      <c r="MH23" s="90">
        <f t="shared" ca="1" si="357"/>
        <v>94.049667395848317</v>
      </c>
      <c r="MI23" s="90">
        <f t="shared" ca="1" si="358"/>
        <v>41.249757723881295</v>
      </c>
      <c r="MJ23" s="90">
        <f t="shared" ca="1" si="359"/>
        <v>27.987307041554587</v>
      </c>
      <c r="MK23" s="90">
        <f t="shared" ca="1" si="360"/>
        <v>74.444374483313823</v>
      </c>
      <c r="ML23" s="90">
        <f t="shared" ca="1" si="361"/>
        <v>247.95834017592182</v>
      </c>
      <c r="MM23" s="90">
        <f t="shared" ca="1" si="362"/>
        <v>137.69868399506453</v>
      </c>
      <c r="MN23" s="90">
        <f t="shared" ca="1" si="363"/>
        <v>247.44375430053981</v>
      </c>
      <c r="MO23" s="90">
        <f t="shared" ca="1" si="364"/>
        <v>229.96923437241819</v>
      </c>
      <c r="MP23" s="90">
        <f t="shared" ca="1" si="365"/>
        <v>219.17363652717893</v>
      </c>
      <c r="MQ23" s="90">
        <f t="shared" ca="1" si="366"/>
        <v>66.18064443525617</v>
      </c>
      <c r="MR23" s="90">
        <f t="shared" ca="1" si="367"/>
        <v>67.996594522863376</v>
      </c>
      <c r="MS23" s="90">
        <f t="shared" ca="1" si="368"/>
        <v>82.77781039401826</v>
      </c>
      <c r="MT23" s="90">
        <f t="shared" ca="1" si="369"/>
        <v>35.224103397378549</v>
      </c>
      <c r="MU23" s="90">
        <f t="shared" ca="1" si="370"/>
        <v>40.517437408578431</v>
      </c>
      <c r="MV23" s="90">
        <f t="shared" ca="1" si="371"/>
        <v>205.49242669197506</v>
      </c>
      <c r="MW23" s="90">
        <f t="shared" ca="1" si="372"/>
        <v>52.932281792595184</v>
      </c>
      <c r="MX23" s="90">
        <f t="shared" ca="1" si="373"/>
        <v>102.18102747498004</v>
      </c>
      <c r="MY23" s="90">
        <f t="shared" ca="1" si="374"/>
        <v>104.75731198246062</v>
      </c>
      <c r="MZ23" s="90">
        <f t="shared" ca="1" si="375"/>
        <v>87.391001667959642</v>
      </c>
      <c r="NA23" s="90">
        <f t="shared" ca="1" si="376"/>
        <v>236.64161560991946</v>
      </c>
      <c r="NB23" s="90">
        <f t="shared" ca="1" si="377"/>
        <v>104.14225227882356</v>
      </c>
      <c r="NC23" s="90">
        <f t="shared" ca="1" si="378"/>
        <v>13.2367768376021</v>
      </c>
      <c r="ND23" s="90">
        <f t="shared" ca="1" si="379"/>
        <v>138.021284988963</v>
      </c>
      <c r="NE23" s="90">
        <f t="shared" ca="1" si="380"/>
        <v>156.85376926588083</v>
      </c>
      <c r="NF23" s="90">
        <f t="shared" ca="1" si="381"/>
        <v>19.720632393870037</v>
      </c>
      <c r="NG23" s="90">
        <f t="shared" ca="1" si="382"/>
        <v>65.394903993108883</v>
      </c>
      <c r="NH23" s="90">
        <f t="shared" ca="1" si="383"/>
        <v>84.793913253588556</v>
      </c>
      <c r="NI23" s="90">
        <f t="shared" ca="1" si="384"/>
        <v>132.8472979152472</v>
      </c>
      <c r="NJ23" s="90">
        <f t="shared" ca="1" si="385"/>
        <v>289.38748974001504</v>
      </c>
      <c r="NK23" s="90">
        <f t="shared" ca="1" si="386"/>
        <v>16.948192251583283</v>
      </c>
      <c r="NL23" s="90">
        <f t="shared" ca="1" si="387"/>
        <v>500.39987173094011</v>
      </c>
      <c r="NM23" s="90">
        <f t="shared" ca="1" si="388"/>
        <v>89.008880977255288</v>
      </c>
      <c r="NN23" s="90">
        <f t="shared" ca="1" si="389"/>
        <v>11.016520515138046</v>
      </c>
      <c r="NO23" s="90">
        <f t="shared" ca="1" si="390"/>
        <v>119.60373701481649</v>
      </c>
      <c r="NP23" s="90">
        <f t="shared" ca="1" si="391"/>
        <v>32.619372466967576</v>
      </c>
      <c r="NQ23" s="90">
        <f t="shared" ca="1" si="392"/>
        <v>19.747536036735937</v>
      </c>
      <c r="NR23" s="90">
        <f t="shared" ca="1" si="393"/>
        <v>161.7600756115726</v>
      </c>
      <c r="NS23" s="90">
        <f t="shared" ca="1" si="394"/>
        <v>-43.278359380734436</v>
      </c>
      <c r="NT23" s="90">
        <f t="shared" ca="1" si="395"/>
        <v>-1.8015220430006078</v>
      </c>
      <c r="NU23" s="90">
        <f t="shared" ca="1" si="396"/>
        <v>33.282799142998378</v>
      </c>
      <c r="NV23" s="90">
        <f t="shared" ca="1" si="397"/>
        <v>26.598249300135414</v>
      </c>
      <c r="NW23" s="90">
        <f t="shared" ca="1" si="398"/>
        <v>211.66186872013608</v>
      </c>
      <c r="NX23" s="90">
        <f t="shared" ca="1" si="399"/>
        <v>193.89434900285772</v>
      </c>
      <c r="NY23" s="90">
        <f t="shared" ca="1" si="400"/>
        <v>-8.7321333038793529</v>
      </c>
      <c r="NZ23" s="90">
        <f t="shared" ca="1" si="401"/>
        <v>257.79168010988781</v>
      </c>
      <c r="OA23" s="90">
        <f t="shared" ca="1" si="402"/>
        <v>167.27343862122027</v>
      </c>
      <c r="OB23" s="90">
        <f t="shared" ca="1" si="403"/>
        <v>54.320481146346381</v>
      </c>
      <c r="OC23" s="90">
        <f t="shared" ca="1" si="404"/>
        <v>419.63422850526382</v>
      </c>
      <c r="OD23" s="90">
        <f t="shared" ca="1" si="405"/>
        <v>61.583340569339661</v>
      </c>
      <c r="OE23" s="90">
        <f t="shared" ca="1" si="406"/>
        <v>40.193118522965193</v>
      </c>
      <c r="OF23" s="90">
        <f t="shared" ca="1" si="407"/>
        <v>11.575762221128208</v>
      </c>
      <c r="OG23" s="90">
        <f t="shared" ca="1" si="408"/>
        <v>21.927934199662509</v>
      </c>
      <c r="OH23" s="90">
        <f t="shared" ca="1" si="409"/>
        <v>91.322696601792543</v>
      </c>
      <c r="OI23" s="90">
        <f t="shared" ca="1" si="410"/>
        <v>16.403837128609908</v>
      </c>
      <c r="OJ23" s="90">
        <f t="shared" ca="1" si="411"/>
        <v>-2.2107807501852883</v>
      </c>
      <c r="OK23" s="90">
        <f t="shared" ca="1" si="412"/>
        <v>62.80452082353851</v>
      </c>
      <c r="OL23" s="90">
        <f t="shared" ca="1" si="413"/>
        <v>117.21611232196571</v>
      </c>
      <c r="OM23" s="90">
        <f t="shared" ca="1" si="414"/>
        <v>120.4129039273015</v>
      </c>
      <c r="ON23" s="90">
        <f t="shared" ca="1" si="415"/>
        <v>111.04151680576355</v>
      </c>
      <c r="OO23" s="90">
        <f t="shared" ca="1" si="416"/>
        <v>59.906375073488327</v>
      </c>
      <c r="OP23" s="90">
        <f t="shared" ca="1" si="417"/>
        <v>27.78455414631032</v>
      </c>
      <c r="OQ23" s="90">
        <f t="shared" ca="1" si="418"/>
        <v>131.53721452466425</v>
      </c>
      <c r="OR23" s="90">
        <f t="shared" ca="1" si="419"/>
        <v>92.520072768316879</v>
      </c>
      <c r="OS23" s="90">
        <f t="shared" ca="1" si="420"/>
        <v>141.77513479278662</v>
      </c>
      <c r="OT23" s="90">
        <f t="shared" ca="1" si="421"/>
        <v>62.374644930340118</v>
      </c>
      <c r="OU23" s="90">
        <f t="shared" ca="1" si="422"/>
        <v>158.83007549961511</v>
      </c>
      <c r="OV23" s="90">
        <f t="shared" ca="1" si="423"/>
        <v>197.98687115889601</v>
      </c>
      <c r="OW23" s="90">
        <f t="shared" ca="1" si="424"/>
        <v>48.212392376104034</v>
      </c>
      <c r="OX23" s="90">
        <f t="shared" ca="1" si="425"/>
        <v>21.844864058048294</v>
      </c>
      <c r="OY23" s="90">
        <f t="shared" ca="1" si="426"/>
        <v>49.85480570330175</v>
      </c>
      <c r="OZ23" s="90">
        <f t="shared" ca="1" si="427"/>
        <v>25.313967105441801</v>
      </c>
      <c r="PA23" s="90">
        <f t="shared" ca="1" si="428"/>
        <v>144.86072787092553</v>
      </c>
      <c r="PB23" s="90">
        <f t="shared" ca="1" si="429"/>
        <v>273.32526387957677</v>
      </c>
      <c r="PC23" s="90">
        <f t="shared" ca="1" si="430"/>
        <v>9.7892328148430732</v>
      </c>
      <c r="PD23" s="90">
        <f t="shared" ca="1" si="431"/>
        <v>53.93209664949034</v>
      </c>
      <c r="PE23" s="90">
        <f t="shared" ca="1" si="432"/>
        <v>65.413339972814796</v>
      </c>
      <c r="PF23" s="90">
        <f t="shared" ca="1" si="433"/>
        <v>19.94094605659636</v>
      </c>
      <c r="PG23" s="90">
        <f t="shared" ca="1" si="434"/>
        <v>26.046683960358262</v>
      </c>
      <c r="PH23" s="90">
        <f t="shared" ca="1" si="435"/>
        <v>142.00513270633036</v>
      </c>
      <c r="PI23" s="90">
        <f t="shared" ca="1" si="436"/>
        <v>9.7322511936408045</v>
      </c>
      <c r="PJ23" s="90">
        <f t="shared" ca="1" si="437"/>
        <v>431.72302081707056</v>
      </c>
      <c r="PK23" s="90">
        <f t="shared" ca="1" si="438"/>
        <v>62.953882535369218</v>
      </c>
      <c r="PL23" s="90">
        <f t="shared" ca="1" si="439"/>
        <v>105.22201448589294</v>
      </c>
      <c r="PM23" s="90">
        <f t="shared" ca="1" si="440"/>
        <v>248.52137096782616</v>
      </c>
      <c r="PN23" s="90">
        <f t="shared" ca="1" si="441"/>
        <v>24.295241535368856</v>
      </c>
      <c r="PO23" s="90">
        <f t="shared" ca="1" si="442"/>
        <v>170.02079660195741</v>
      </c>
      <c r="PP23" s="90">
        <f t="shared" ca="1" si="443"/>
        <v>40.212576032876939</v>
      </c>
      <c r="PQ23" s="90">
        <f t="shared" ca="1" si="444"/>
        <v>256.67627481411608</v>
      </c>
      <c r="PR23" s="90">
        <f t="shared" ca="1" si="445"/>
        <v>99.710089769445347</v>
      </c>
      <c r="PS23" s="90">
        <f t="shared" ca="1" si="446"/>
        <v>24.768913603300863</v>
      </c>
      <c r="PT23" s="90">
        <f t="shared" ca="1" si="447"/>
        <v>95.99337116108687</v>
      </c>
      <c r="PU23" s="90">
        <f t="shared" ca="1" si="448"/>
        <v>16.010771910441779</v>
      </c>
      <c r="PV23" s="90">
        <f t="shared" ca="1" si="449"/>
        <v>122.69833381454831</v>
      </c>
      <c r="PW23" s="90">
        <f t="shared" ca="1" si="450"/>
        <v>600.51401630004477</v>
      </c>
      <c r="PX23" s="90">
        <f t="shared" ca="1" si="451"/>
        <v>200.07384281440085</v>
      </c>
      <c r="PY23" s="90">
        <f t="shared" ca="1" si="452"/>
        <v>213.23786455761982</v>
      </c>
      <c r="PZ23" s="90">
        <f t="shared" ca="1" si="453"/>
        <v>60.047599769379929</v>
      </c>
      <c r="QA23" s="90">
        <f t="shared" ca="1" si="454"/>
        <v>127.19920699682474</v>
      </c>
      <c r="QB23" s="90">
        <f t="shared" ca="1" si="455"/>
        <v>107.94246026918427</v>
      </c>
      <c r="QC23" s="90">
        <f t="shared" ca="1" si="456"/>
        <v>19.948231077724941</v>
      </c>
      <c r="QD23" s="90">
        <f t="shared" ca="1" si="457"/>
        <v>64.682421486337091</v>
      </c>
      <c r="QE23" s="90">
        <f t="shared" ca="1" si="458"/>
        <v>30.225886107936628</v>
      </c>
      <c r="QF23" s="90">
        <f t="shared" ca="1" si="459"/>
        <v>80.675710969431051</v>
      </c>
      <c r="QG23" s="90">
        <f t="shared" ca="1" si="460"/>
        <v>80.010721568656578</v>
      </c>
      <c r="QH23" s="90">
        <f t="shared" ca="1" si="461"/>
        <v>74.796169165091342</v>
      </c>
      <c r="QI23" s="90">
        <f t="shared" ca="1" si="462"/>
        <v>165.63715241215607</v>
      </c>
      <c r="QJ23" s="90">
        <f t="shared" ca="1" si="463"/>
        <v>83.59540825287408</v>
      </c>
      <c r="QK23" s="90">
        <f t="shared" ca="1" si="464"/>
        <v>129.53931220373846</v>
      </c>
      <c r="QL23" s="90">
        <f t="shared" ca="1" si="465"/>
        <v>169.32042030576355</v>
      </c>
      <c r="QM23" s="90">
        <f t="shared" ca="1" si="466"/>
        <v>64.925176179482889</v>
      </c>
      <c r="QN23" s="90">
        <f t="shared" ca="1" si="467"/>
        <v>27.297389034113042</v>
      </c>
      <c r="QO23" s="90">
        <f t="shared" ca="1" si="468"/>
        <v>43.615570016297504</v>
      </c>
      <c r="QP23" s="90">
        <f t="shared" ca="1" si="469"/>
        <v>153.04017625961697</v>
      </c>
      <c r="QQ23" s="90">
        <f t="shared" ca="1" si="470"/>
        <v>235.98581671559086</v>
      </c>
      <c r="QR23" s="90">
        <f t="shared" ca="1" si="471"/>
        <v>369.3082354655167</v>
      </c>
      <c r="QS23" s="90">
        <f t="shared" ca="1" si="472"/>
        <v>205.84812468397044</v>
      </c>
      <c r="QT23" s="90">
        <f t="shared" ca="1" si="473"/>
        <v>214.04990221293843</v>
      </c>
      <c r="QU23" s="90">
        <f t="shared" ca="1" si="474"/>
        <v>268.85733309946721</v>
      </c>
      <c r="QV23" s="90">
        <f t="shared" ca="1" si="475"/>
        <v>128.63499795807888</v>
      </c>
      <c r="QW23" s="90">
        <f t="shared" ca="1" si="476"/>
        <v>-13.897189875145891</v>
      </c>
      <c r="QX23" s="90">
        <f t="shared" ca="1" si="477"/>
        <v>97.83200962953201</v>
      </c>
      <c r="QY23" s="90">
        <f t="shared" ca="1" si="478"/>
        <v>141.73203742755459</v>
      </c>
      <c r="QZ23" s="90">
        <f t="shared" ca="1" si="479"/>
        <v>86.95294656374945</v>
      </c>
      <c r="RA23" s="90">
        <f t="shared" ca="1" si="480"/>
        <v>529.14754773384152</v>
      </c>
      <c r="RB23" s="90">
        <f t="shared" ca="1" si="481"/>
        <v>71.316129590321381</v>
      </c>
      <c r="RC23" s="90">
        <f t="shared" ca="1" si="482"/>
        <v>9.1618363494424176E-2</v>
      </c>
      <c r="RD23" s="90">
        <f t="shared" ca="1" si="483"/>
        <v>-11.61845493717105</v>
      </c>
      <c r="RE23" s="90">
        <f t="shared" ca="1" si="484"/>
        <v>76.935813457919252</v>
      </c>
      <c r="RF23" s="90">
        <f t="shared" ca="1" si="485"/>
        <v>746.87613651727975</v>
      </c>
      <c r="RG23" s="90">
        <f t="shared" ca="1" si="486"/>
        <v>41.442245034469856</v>
      </c>
      <c r="RH23" s="90">
        <f t="shared" ca="1" si="487"/>
        <v>130.7276621775928</v>
      </c>
      <c r="RI23" s="90">
        <f t="shared" ca="1" si="488"/>
        <v>68.936875022314013</v>
      </c>
      <c r="RJ23" s="90">
        <f t="shared" ca="1" si="489"/>
        <v>102.87296414710549</v>
      </c>
      <c r="RK23" s="90">
        <f t="shared" ca="1" si="490"/>
        <v>11.020178028290788</v>
      </c>
      <c r="RL23" s="90">
        <f t="shared" ca="1" si="491"/>
        <v>5.4647320200299596</v>
      </c>
      <c r="RM23" s="90">
        <f t="shared" ca="1" si="492"/>
        <v>49.60971762035215</v>
      </c>
      <c r="RN23" s="90">
        <f t="shared" ca="1" si="493"/>
        <v>141.17355348627646</v>
      </c>
      <c r="RO23" s="90">
        <f t="shared" ca="1" si="494"/>
        <v>69.652744559965271</v>
      </c>
      <c r="RP23" s="90">
        <f t="shared" ca="1" si="495"/>
        <v>234.70192711850467</v>
      </c>
      <c r="RQ23" s="90">
        <f t="shared" ca="1" si="496"/>
        <v>209.56376363328749</v>
      </c>
      <c r="RR23" s="90">
        <f t="shared" ca="1" si="497"/>
        <v>23.260411095265646</v>
      </c>
      <c r="RS23" s="90">
        <f t="shared" ca="1" si="498"/>
        <v>44.083604317892842</v>
      </c>
      <c r="RT23" s="90">
        <f t="shared" ca="1" si="499"/>
        <v>45.300751159081763</v>
      </c>
      <c r="RU23" s="90">
        <f t="shared" ca="1" si="500"/>
        <v>90.254670148058821</v>
      </c>
      <c r="RV23" s="90">
        <f t="shared" ca="1" si="501"/>
        <v>87.656991667946698</v>
      </c>
      <c r="RW23" s="90">
        <f t="shared" ca="1" si="502"/>
        <v>87.928801347559613</v>
      </c>
      <c r="RX23" s="90">
        <f t="shared" ca="1" si="503"/>
        <v>34.008546215894043</v>
      </c>
      <c r="RY23" s="90">
        <f t="shared" ca="1" si="504"/>
        <v>50.954623895403088</v>
      </c>
      <c r="RZ23" s="90">
        <f t="shared" ca="1" si="505"/>
        <v>28.647135931491935</v>
      </c>
      <c r="SA23" s="90">
        <f t="shared" ca="1" si="506"/>
        <v>124.59696112614721</v>
      </c>
      <c r="SB23" s="90">
        <f t="shared" ca="1" si="507"/>
        <v>108.49725794783863</v>
      </c>
      <c r="SC23" s="90">
        <f t="shared" ca="1" si="508"/>
        <v>135.61786083803977</v>
      </c>
      <c r="SD23" s="90">
        <f t="shared" ca="1" si="509"/>
        <v>20.540769069280138</v>
      </c>
      <c r="SE23" s="90">
        <f t="shared" ca="1" si="510"/>
        <v>9.8769776902537618</v>
      </c>
      <c r="SF23" s="90">
        <f t="shared" ca="1" si="511"/>
        <v>91.193864082694404</v>
      </c>
      <c r="SG23" s="90">
        <f t="shared" ca="1" si="512"/>
        <v>522.36230664504933</v>
      </c>
      <c r="SH23" s="90">
        <f t="shared" ca="1" si="513"/>
        <v>201.16218336939298</v>
      </c>
      <c r="SI23" s="90">
        <f t="shared" ca="1" si="514"/>
        <v>36.922236284805429</v>
      </c>
      <c r="SJ23" s="90">
        <f t="shared" ca="1" si="515"/>
        <v>23.905104332300173</v>
      </c>
      <c r="SK23" s="90">
        <f t="shared" ca="1" si="516"/>
        <v>234.24343933602438</v>
      </c>
      <c r="SL23" s="90">
        <f t="shared" ca="1" si="517"/>
        <v>35.979793735638317</v>
      </c>
      <c r="SM23" s="90">
        <f t="shared" ca="1" si="518"/>
        <v>24.090527402395058</v>
      </c>
      <c r="SN23" s="90">
        <f t="shared" ca="1" si="519"/>
        <v>38.302167168218482</v>
      </c>
      <c r="SO23" s="90">
        <f t="shared" ca="1" si="520"/>
        <v>103.68742440150524</v>
      </c>
      <c r="SP23" s="90">
        <f t="shared" ca="1" si="521"/>
        <v>123.86662978859404</v>
      </c>
      <c r="SQ23" s="90">
        <f t="shared" ca="1" si="522"/>
        <v>130.67842135820558</v>
      </c>
      <c r="SR23" s="90">
        <f t="shared" ca="1" si="523"/>
        <v>31.993740227982304</v>
      </c>
      <c r="SS23" s="90">
        <f t="shared" ca="1" si="524"/>
        <v>20.584914133073081</v>
      </c>
      <c r="ST23" s="90">
        <f t="shared" ca="1" si="525"/>
        <v>82.492027811537852</v>
      </c>
      <c r="SU23" s="90">
        <f t="shared" ca="1" si="526"/>
        <v>303.52632224749289</v>
      </c>
      <c r="SV23" s="90">
        <f t="shared" ca="1" si="527"/>
        <v>60.467792112685906</v>
      </c>
      <c r="SW23" s="90">
        <f t="shared" ca="1" si="528"/>
        <v>344.83575661104601</v>
      </c>
      <c r="SX23" s="90">
        <f t="shared" ca="1" si="529"/>
        <v>11.674623244368856</v>
      </c>
      <c r="SY23" s="90">
        <f t="shared" ca="1" si="530"/>
        <v>107.07445433207543</v>
      </c>
      <c r="SZ23" s="90">
        <f t="shared" ca="1" si="531"/>
        <v>28.934683614305207</v>
      </c>
      <c r="TA23" s="90">
        <f t="shared" ca="1" si="532"/>
        <v>174.87331717310101</v>
      </c>
      <c r="TB23" s="90">
        <f t="shared" ca="1" si="533"/>
        <v>151.40255984943107</v>
      </c>
      <c r="TC23" s="90">
        <f t="shared" ca="1" si="534"/>
        <v>177.4945317416211</v>
      </c>
      <c r="TD23" s="90">
        <f t="shared" ca="1" si="535"/>
        <v>151.60990920835837</v>
      </c>
      <c r="TE23" s="90">
        <f t="shared" ca="1" si="536"/>
        <v>80.739241252387586</v>
      </c>
      <c r="TF23" s="90">
        <f t="shared" ca="1" si="537"/>
        <v>1.0361299601362646</v>
      </c>
      <c r="TG23" s="90">
        <f t="shared" ca="1" si="538"/>
        <v>57.285216802269026</v>
      </c>
      <c r="TH23" s="90">
        <f t="shared" ca="1" si="539"/>
        <v>12.132856179881097</v>
      </c>
      <c r="TI23" s="90">
        <f t="shared" ca="1" si="540"/>
        <v>92.818143723221226</v>
      </c>
      <c r="TJ23" s="90">
        <f t="shared" ca="1" si="541"/>
        <v>173.30839066681037</v>
      </c>
      <c r="TK23" s="90">
        <f t="shared" ca="1" si="542"/>
        <v>23.090287856925389</v>
      </c>
      <c r="TL23" s="90">
        <f t="shared" ca="1" si="543"/>
        <v>33.999261680278309</v>
      </c>
      <c r="TM23" s="90">
        <f t="shared" ca="1" si="544"/>
        <v>73.712548593076747</v>
      </c>
      <c r="TN23" s="90">
        <f t="shared" ca="1" si="545"/>
        <v>4.3559192126356114</v>
      </c>
      <c r="TO23" s="90">
        <f t="shared" ca="1" si="546"/>
        <v>36.179456361781448</v>
      </c>
      <c r="TP23" s="90">
        <f t="shared" ca="1" si="547"/>
        <v>41.691839401560387</v>
      </c>
      <c r="TQ23" s="90">
        <f t="shared" ca="1" si="548"/>
        <v>81.97603925408437</v>
      </c>
      <c r="TR23" s="90">
        <f t="shared" ca="1" si="549"/>
        <v>54.135774861817403</v>
      </c>
      <c r="TS23" s="90">
        <f t="shared" ca="1" si="550"/>
        <v>32.174250416604558</v>
      </c>
      <c r="TT23" s="90">
        <f t="shared" ca="1" si="551"/>
        <v>171.15632372170785</v>
      </c>
      <c r="TU23" s="90">
        <f t="shared" ca="1" si="552"/>
        <v>123.34323581409278</v>
      </c>
      <c r="TV23" s="90">
        <f t="shared" ca="1" si="553"/>
        <v>99.728112745342059</v>
      </c>
      <c r="TW23" s="90">
        <f t="shared" ca="1" si="554"/>
        <v>34.912303110667573</v>
      </c>
      <c r="TX23" s="90">
        <f t="shared" ca="1" si="555"/>
        <v>72.3672195052674</v>
      </c>
      <c r="TY23" s="90">
        <f t="shared" ca="1" si="556"/>
        <v>116.30569116133267</v>
      </c>
      <c r="TZ23" s="90">
        <f t="shared" ca="1" si="557"/>
        <v>-4.127356685890665</v>
      </c>
      <c r="UA23" s="90">
        <f t="shared" ca="1" si="558"/>
        <v>51.844436272359253</v>
      </c>
      <c r="UB23" s="90">
        <f t="shared" ca="1" si="559"/>
        <v>29.921549346989746</v>
      </c>
      <c r="UC23" s="90">
        <f t="shared" ca="1" si="560"/>
        <v>52.945033603902992</v>
      </c>
      <c r="UD23" s="90">
        <f t="shared" ca="1" si="561"/>
        <v>286.09300021054202</v>
      </c>
      <c r="UE23" s="90">
        <f t="shared" ca="1" si="562"/>
        <v>117.54581180628266</v>
      </c>
      <c r="UF23" s="90">
        <f t="shared" ca="1" si="563"/>
        <v>79.546632975474864</v>
      </c>
      <c r="UG23" s="90">
        <f t="shared" ca="1" si="564"/>
        <v>53.579465019239429</v>
      </c>
      <c r="UH23" s="90">
        <f t="shared" ca="1" si="565"/>
        <v>75.169261792331596</v>
      </c>
      <c r="UI23" s="90">
        <f t="shared" ca="1" si="566"/>
        <v>360.02889285596319</v>
      </c>
      <c r="UJ23" s="90">
        <f t="shared" ca="1" si="567"/>
        <v>96.72640839423299</v>
      </c>
      <c r="UK23" s="90">
        <f t="shared" ca="1" si="568"/>
        <v>6.2388408415460006</v>
      </c>
      <c r="UL23" s="90">
        <f t="shared" ca="1" si="569"/>
        <v>52.973583104932807</v>
      </c>
      <c r="UM23" s="90">
        <f t="shared" ca="1" si="570"/>
        <v>19.765780604251979</v>
      </c>
      <c r="UN23" s="90">
        <f t="shared" ca="1" si="571"/>
        <v>125.80227497972902</v>
      </c>
      <c r="UO23" s="90">
        <f t="shared" ca="1" si="572"/>
        <v>95.87448495118042</v>
      </c>
      <c r="UP23" s="90">
        <f t="shared" ca="1" si="573"/>
        <v>190.36889773171259</v>
      </c>
      <c r="UQ23" s="90">
        <f t="shared" ca="1" si="574"/>
        <v>201.73577791236607</v>
      </c>
      <c r="UR23" s="90">
        <f t="shared" ca="1" si="575"/>
        <v>125.98216109974942</v>
      </c>
      <c r="US23" s="90">
        <f t="shared" ca="1" si="576"/>
        <v>70.460719038074146</v>
      </c>
      <c r="UT23" s="90">
        <f t="shared" ca="1" si="577"/>
        <v>138.349330937194</v>
      </c>
      <c r="UU23" s="90">
        <f t="shared" ca="1" si="578"/>
        <v>1.5761203753859305</v>
      </c>
      <c r="UV23" s="90">
        <f t="shared" ca="1" si="579"/>
        <v>200.59154045832381</v>
      </c>
      <c r="UW23" s="90">
        <f t="shared" ca="1" si="580"/>
        <v>44.577035073009746</v>
      </c>
      <c r="UX23" s="90">
        <f t="shared" ca="1" si="581"/>
        <v>72.761603055618849</v>
      </c>
      <c r="UY23" s="90">
        <f t="shared" ca="1" si="582"/>
        <v>480.52330669161574</v>
      </c>
      <c r="UZ23" s="90">
        <f t="shared" ca="1" si="583"/>
        <v>294.41850759702834</v>
      </c>
      <c r="VA23" s="90">
        <f t="shared" ca="1" si="584"/>
        <v>146.92403528459866</v>
      </c>
      <c r="VB23" s="90">
        <f t="shared" ca="1" si="585"/>
        <v>83.058543291922319</v>
      </c>
      <c r="VC23" s="90">
        <f t="shared" ca="1" si="586"/>
        <v>543.5170500404929</v>
      </c>
      <c r="VD23" s="90">
        <f t="shared" ca="1" si="587"/>
        <v>7.1183956979277649</v>
      </c>
      <c r="VE23" s="90">
        <f t="shared" ca="1" si="588"/>
        <v>243.59743970906419</v>
      </c>
      <c r="VF23" s="90">
        <f t="shared" ca="1" si="589"/>
        <v>18.253296276151271</v>
      </c>
      <c r="VG23" s="90">
        <f t="shared" ca="1" si="590"/>
        <v>92.015119151266191</v>
      </c>
      <c r="VH23" s="90">
        <f t="shared" ca="1" si="591"/>
        <v>86.957123929373623</v>
      </c>
      <c r="VI23" s="90">
        <f t="shared" ca="1" si="592"/>
        <v>70.967240809460378</v>
      </c>
      <c r="VJ23" s="90">
        <f t="shared" ca="1" si="593"/>
        <v>19.546112609222732</v>
      </c>
      <c r="VK23" s="90">
        <f t="shared" ca="1" si="594"/>
        <v>21.472351376316666</v>
      </c>
      <c r="VL23" s="90">
        <f t="shared" ca="1" si="595"/>
        <v>41.640654010462185</v>
      </c>
      <c r="VM23" s="90">
        <f t="shared" ca="1" si="596"/>
        <v>188.52407616468767</v>
      </c>
      <c r="VN23" s="90">
        <f t="shared" ca="1" si="597"/>
        <v>268.36299489911949</v>
      </c>
      <c r="VO23" s="90">
        <f t="shared" ca="1" si="598"/>
        <v>24.112228078678431</v>
      </c>
      <c r="VP23" s="90">
        <f t="shared" ca="1" si="599"/>
        <v>2.9094084812442662</v>
      </c>
      <c r="VQ23" s="90">
        <f t="shared" ca="1" si="600"/>
        <v>64.830990647476298</v>
      </c>
      <c r="VR23" s="90">
        <f t="shared" ca="1" si="601"/>
        <v>22.656422019613945</v>
      </c>
      <c r="VS23" s="90">
        <f t="shared" ca="1" si="602"/>
        <v>13.673943986361465</v>
      </c>
      <c r="VT23" s="90">
        <f t="shared" ca="1" si="603"/>
        <v>75.39673937828654</v>
      </c>
      <c r="VU23" s="90">
        <f t="shared" ca="1" si="604"/>
        <v>-12.644398697013651</v>
      </c>
      <c r="VV23" s="90">
        <f t="shared" ca="1" si="605"/>
        <v>24.632719309413904</v>
      </c>
      <c r="VW23" s="90">
        <f t="shared" ca="1" si="606"/>
        <v>63.712083438885777</v>
      </c>
      <c r="VX23" s="90">
        <f t="shared" ca="1" si="607"/>
        <v>87.471467708219066</v>
      </c>
      <c r="VY23" s="90">
        <f t="shared" ca="1" si="608"/>
        <v>37.756286887478154</v>
      </c>
      <c r="VZ23" s="90">
        <f t="shared" ca="1" si="609"/>
        <v>78.77319109751754</v>
      </c>
      <c r="WA23" s="90">
        <f t="shared" ca="1" si="610"/>
        <v>111.03365734738276</v>
      </c>
      <c r="WB23" s="90">
        <f t="shared" ca="1" si="611"/>
        <v>437.28128508564151</v>
      </c>
      <c r="WC23" s="90">
        <f t="shared" ca="1" si="612"/>
        <v>452.51686860886491</v>
      </c>
      <c r="WD23" s="90">
        <f t="shared" ca="1" si="613"/>
        <v>111.24795314425789</v>
      </c>
      <c r="WE23" s="90">
        <f t="shared" ca="1" si="614"/>
        <v>106.56111391399921</v>
      </c>
      <c r="WF23" s="90">
        <f t="shared" ca="1" si="615"/>
        <v>6.6978518966629004</v>
      </c>
      <c r="WG23" s="90">
        <f t="shared" ca="1" si="616"/>
        <v>257.18735738617113</v>
      </c>
      <c r="WH23" s="90">
        <f t="shared" ca="1" si="617"/>
        <v>201.3620829266923</v>
      </c>
      <c r="WI23" s="90">
        <f t="shared" ca="1" si="618"/>
        <v>13.445332219911924</v>
      </c>
      <c r="WJ23" s="90">
        <f t="shared" ca="1" si="619"/>
        <v>108.78380835154988</v>
      </c>
      <c r="WK23" s="90">
        <f t="shared" ca="1" si="620"/>
        <v>82.397837178274258</v>
      </c>
      <c r="WL23" s="90">
        <f t="shared" ca="1" si="621"/>
        <v>63.167956612645725</v>
      </c>
      <c r="WM23" s="90">
        <f t="shared" ca="1" si="622"/>
        <v>18.547510833246456</v>
      </c>
      <c r="WN23" s="90">
        <f t="shared" ca="1" si="623"/>
        <v>36.681568529177021</v>
      </c>
      <c r="WO23" s="90">
        <f t="shared" ca="1" si="624"/>
        <v>85.889201440743534</v>
      </c>
      <c r="WP23" s="90">
        <f t="shared" ca="1" si="625"/>
        <v>68.392267379618403</v>
      </c>
      <c r="WQ23" s="90">
        <f t="shared" ca="1" si="626"/>
        <v>41.291514701550156</v>
      </c>
      <c r="WR23" s="90">
        <f t="shared" ca="1" si="627"/>
        <v>26.02789704059375</v>
      </c>
      <c r="WS23" s="90">
        <f t="shared" ca="1" si="628"/>
        <v>1.5159387332083587</v>
      </c>
      <c r="WT23" s="90">
        <f t="shared" ca="1" si="629"/>
        <v>54.691886117939468</v>
      </c>
      <c r="WU23" s="90">
        <f t="shared" ca="1" si="630"/>
        <v>6.103289816204045</v>
      </c>
      <c r="WV23" s="90">
        <f t="shared" ca="1" si="631"/>
        <v>463.54274243808106</v>
      </c>
      <c r="WW23" s="90">
        <f t="shared" ca="1" si="632"/>
        <v>142.55254876484472</v>
      </c>
      <c r="WX23" s="90">
        <f t="shared" ca="1" si="633"/>
        <v>325.40499080921029</v>
      </c>
      <c r="WY23" s="90">
        <f t="shared" ca="1" si="634"/>
        <v>470.16088332936022</v>
      </c>
      <c r="WZ23" s="90">
        <f t="shared" ca="1" si="635"/>
        <v>31.121218917406125</v>
      </c>
      <c r="XA23" s="90">
        <f t="shared" ca="1" si="636"/>
        <v>288.49721710295921</v>
      </c>
      <c r="XB23" s="90">
        <f t="shared" ca="1" si="637"/>
        <v>5.6300910184766249</v>
      </c>
      <c r="XC23" s="90">
        <f t="shared" ca="1" si="638"/>
        <v>81.990779835059016</v>
      </c>
      <c r="XD23" s="90">
        <f t="shared" ca="1" si="639"/>
        <v>132.85533805291996</v>
      </c>
      <c r="XE23" s="90">
        <f t="shared" ca="1" si="640"/>
        <v>56.874427351574624</v>
      </c>
      <c r="XF23" s="90">
        <f t="shared" ca="1" si="641"/>
        <v>12.177145426878537</v>
      </c>
      <c r="XG23" s="90">
        <f t="shared" ca="1" si="642"/>
        <v>281.34173280825649</v>
      </c>
      <c r="XH23" s="90">
        <f t="shared" ca="1" si="643"/>
        <v>42.034109802201399</v>
      </c>
      <c r="XI23" s="90">
        <f t="shared" ca="1" si="644"/>
        <v>42.435782279939176</v>
      </c>
      <c r="XJ23" s="90">
        <f t="shared" ca="1" si="645"/>
        <v>4.6856045817983505</v>
      </c>
      <c r="XK23" s="90">
        <f t="shared" ca="1" si="646"/>
        <v>220.15621071871882</v>
      </c>
      <c r="XL23" s="90">
        <f t="shared" ca="1" si="647"/>
        <v>225.87997817013959</v>
      </c>
      <c r="XM23" s="90">
        <f t="shared" ca="1" si="648"/>
        <v>21.212506425179178</v>
      </c>
      <c r="XN23" s="90">
        <f t="shared" ca="1" si="649"/>
        <v>104.64627262041701</v>
      </c>
      <c r="XO23" s="90">
        <f t="shared" ca="1" si="650"/>
        <v>157.07100256127595</v>
      </c>
      <c r="XP23" s="90">
        <f t="shared" ca="1" si="651"/>
        <v>8.1280056857841529</v>
      </c>
      <c r="XQ23" s="90">
        <f t="shared" ca="1" si="652"/>
        <v>53.664474233308958</v>
      </c>
      <c r="XR23" s="90">
        <f t="shared" ca="1" si="653"/>
        <v>10.542101107411517</v>
      </c>
      <c r="XS23" s="90">
        <f t="shared" ca="1" si="654"/>
        <v>57.956867903333851</v>
      </c>
      <c r="XT23" s="90">
        <f t="shared" ca="1" si="655"/>
        <v>120.5699389601136</v>
      </c>
      <c r="XU23" s="90">
        <f t="shared" ca="1" si="656"/>
        <v>97.360374316564119</v>
      </c>
      <c r="XV23" s="90">
        <f t="shared" ca="1" si="657"/>
        <v>15.174268194843844</v>
      </c>
      <c r="XW23" s="90">
        <f t="shared" ca="1" si="658"/>
        <v>117.58131875771996</v>
      </c>
      <c r="XX23" s="90">
        <f t="shared" ca="1" si="659"/>
        <v>17.784561747450912</v>
      </c>
      <c r="XY23" s="90">
        <f t="shared" ca="1" si="660"/>
        <v>62.741136266572262</v>
      </c>
      <c r="XZ23" s="90">
        <f t="shared" ca="1" si="661"/>
        <v>91.766042841840573</v>
      </c>
      <c r="YA23" s="90">
        <f t="shared" ca="1" si="662"/>
        <v>171.52523646210042</v>
      </c>
      <c r="YB23" s="90">
        <f t="shared" ca="1" si="663"/>
        <v>261.36686088697002</v>
      </c>
      <c r="YC23" s="90">
        <f t="shared" ca="1" si="664"/>
        <v>64.608416649585408</v>
      </c>
      <c r="YD23" s="90">
        <f t="shared" ca="1" si="665"/>
        <v>71.586701827046241</v>
      </c>
      <c r="YE23" s="90">
        <f t="shared" ca="1" si="666"/>
        <v>459.3372389099498</v>
      </c>
      <c r="YF23" s="90">
        <f t="shared" ca="1" si="667"/>
        <v>2.3222174776824023</v>
      </c>
      <c r="YG23" s="90">
        <f t="shared" ca="1" si="668"/>
        <v>35.606794706409744</v>
      </c>
      <c r="YH23" s="90">
        <f t="shared" ca="1" si="669"/>
        <v>309.52150946349553</v>
      </c>
      <c r="YI23" s="90">
        <f t="shared" ca="1" si="670"/>
        <v>56.295537636028712</v>
      </c>
      <c r="YJ23" s="90">
        <f t="shared" ca="1" si="671"/>
        <v>152.71961439845077</v>
      </c>
      <c r="YK23" s="90">
        <f t="shared" ca="1" si="672"/>
        <v>181.37628112630881</v>
      </c>
      <c r="YL23" s="90">
        <f t="shared" ca="1" si="673"/>
        <v>34.699567231280781</v>
      </c>
      <c r="YM23" s="90">
        <f t="shared" ca="1" si="674"/>
        <v>12.06466188190725</v>
      </c>
      <c r="YN23" s="90">
        <f t="shared" ca="1" si="675"/>
        <v>37.645825506916985</v>
      </c>
      <c r="YO23" s="90">
        <f t="shared" ca="1" si="676"/>
        <v>9.0479895257578331</v>
      </c>
      <c r="YP23" s="90">
        <f t="shared" ca="1" si="677"/>
        <v>448.77606674442558</v>
      </c>
      <c r="YQ23" s="90">
        <f t="shared" ca="1" si="678"/>
        <v>213.66323376245288</v>
      </c>
      <c r="YR23" s="90">
        <f t="shared" ca="1" si="679"/>
        <v>3.6872892674705136</v>
      </c>
      <c r="YS23" s="90">
        <f t="shared" ca="1" si="680"/>
        <v>190.49164682398816</v>
      </c>
      <c r="YT23" s="90">
        <f t="shared" ca="1" si="681"/>
        <v>67.44096712299735</v>
      </c>
      <c r="YU23" s="90">
        <f t="shared" ca="1" si="682"/>
        <v>345.72501431227965</v>
      </c>
      <c r="YV23" s="90">
        <f t="shared" ca="1" si="683"/>
        <v>48.439970146841993</v>
      </c>
      <c r="YW23" s="90">
        <f t="shared" ca="1" si="684"/>
        <v>67.29104648046291</v>
      </c>
      <c r="YX23" s="90">
        <f t="shared" ca="1" si="685"/>
        <v>82.222148445477728</v>
      </c>
      <c r="YY23" s="90">
        <f t="shared" ca="1" si="686"/>
        <v>84.978143817100204</v>
      </c>
      <c r="YZ23" s="90">
        <f t="shared" ca="1" si="687"/>
        <v>62.483857159821525</v>
      </c>
      <c r="ZA23" s="90">
        <f t="shared" ca="1" si="688"/>
        <v>62.321845599761026</v>
      </c>
      <c r="ZB23" s="90">
        <f t="shared" ca="1" si="689"/>
        <v>403.55153791935828</v>
      </c>
      <c r="ZC23" s="90">
        <f t="shared" ca="1" si="690"/>
        <v>234.4432600188544</v>
      </c>
      <c r="ZD23" s="90">
        <f t="shared" ca="1" si="691"/>
        <v>187.69818196098473</v>
      </c>
      <c r="ZE23" s="90">
        <f t="shared" ca="1" si="692"/>
        <v>74.766709088300345</v>
      </c>
      <c r="ZF23" s="90">
        <f t="shared" ca="1" si="693"/>
        <v>20.702936486676133</v>
      </c>
      <c r="ZG23" s="90">
        <f t="shared" ca="1" si="694"/>
        <v>112.40566427568001</v>
      </c>
      <c r="ZH23" s="90">
        <f t="shared" ca="1" si="695"/>
        <v>529.07877195910226</v>
      </c>
      <c r="ZI23" s="90">
        <f t="shared" ca="1" si="696"/>
        <v>134.47498692226856</v>
      </c>
      <c r="ZJ23" s="90">
        <f t="shared" ca="1" si="697"/>
        <v>100.73107236161007</v>
      </c>
      <c r="ZK23" s="90">
        <f t="shared" ca="1" si="698"/>
        <v>52.010491308413314</v>
      </c>
      <c r="ZL23" s="90">
        <f t="shared" ca="1" si="699"/>
        <v>6.727015185551279</v>
      </c>
      <c r="ZM23" s="90">
        <f t="shared" ca="1" si="700"/>
        <v>219.7735145652625</v>
      </c>
      <c r="ZN23" s="90">
        <f t="shared" ca="1" si="701"/>
        <v>72.289576451109639</v>
      </c>
      <c r="ZO23" s="90">
        <f t="shared" ca="1" si="702"/>
        <v>38.429351850008665</v>
      </c>
      <c r="ZP23" s="90">
        <f t="shared" ca="1" si="703"/>
        <v>69.519236865849734</v>
      </c>
      <c r="ZQ23" s="90">
        <f t="shared" ca="1" si="704"/>
        <v>182.03959283681752</v>
      </c>
      <c r="ZR23" s="90">
        <f t="shared" ca="1" si="705"/>
        <v>28.880865049548962</v>
      </c>
      <c r="ZS23" s="90">
        <f t="shared" ca="1" si="706"/>
        <v>99.459842541048104</v>
      </c>
      <c r="ZT23" s="90">
        <f t="shared" ca="1" si="707"/>
        <v>18.431629293036067</v>
      </c>
      <c r="ZU23" s="90">
        <f t="shared" ca="1" si="708"/>
        <v>2.1131460577094185</v>
      </c>
      <c r="ZV23" s="90">
        <f t="shared" ca="1" si="709"/>
        <v>573.66635117781789</v>
      </c>
      <c r="ZW23" s="90">
        <f t="shared" ca="1" si="710"/>
        <v>61.237252636733537</v>
      </c>
      <c r="ZX23" s="90">
        <f t="shared" ca="1" si="711"/>
        <v>152.11174228803415</v>
      </c>
      <c r="ZY23" s="90">
        <f t="shared" ca="1" si="712"/>
        <v>245.57382108605557</v>
      </c>
      <c r="ZZ23" s="90">
        <f t="shared" ca="1" si="713"/>
        <v>96.738553555322497</v>
      </c>
      <c r="AAA23" s="90">
        <f t="shared" ca="1" si="714"/>
        <v>131.0064749752062</v>
      </c>
      <c r="AAB23" s="90">
        <f t="shared" ca="1" si="715"/>
        <v>15.586172904923703</v>
      </c>
      <c r="AAC23" s="90">
        <f t="shared" ca="1" si="716"/>
        <v>77.074980612236942</v>
      </c>
      <c r="AAD23" s="90">
        <f t="shared" ca="1" si="717"/>
        <v>129.3444382692783</v>
      </c>
      <c r="AAE23" s="90">
        <f t="shared" ca="1" si="718"/>
        <v>86.758004187948927</v>
      </c>
      <c r="AAF23" s="90">
        <f t="shared" ca="1" si="719"/>
        <v>4.8619372253532864</v>
      </c>
      <c r="AAG23" s="90">
        <f t="shared" ca="1" si="720"/>
        <v>51.677851590508403</v>
      </c>
      <c r="AAH23" s="90">
        <f t="shared" ca="1" si="721"/>
        <v>230.03502442574478</v>
      </c>
      <c r="AAI23" s="90">
        <f t="shared" ca="1" si="722"/>
        <v>-3.207308676920944</v>
      </c>
      <c r="AAJ23" s="90">
        <f t="shared" ca="1" si="723"/>
        <v>101.25704580761995</v>
      </c>
      <c r="AAK23" s="90">
        <f t="shared" ca="1" si="724"/>
        <v>269.73606448780237</v>
      </c>
      <c r="AAL23" s="90">
        <f t="shared" ca="1" si="725"/>
        <v>163.11839760917778</v>
      </c>
      <c r="AAM23" s="90">
        <f t="shared" ca="1" si="726"/>
        <v>325.11345420651691</v>
      </c>
      <c r="AAN23" s="90">
        <f t="shared" ca="1" si="727"/>
        <v>148.80096889590882</v>
      </c>
      <c r="AAO23" s="90">
        <f t="shared" ca="1" si="728"/>
        <v>64.725721370282429</v>
      </c>
      <c r="AAP23" s="90">
        <f t="shared" ca="1" si="729"/>
        <v>219.12111131995988</v>
      </c>
      <c r="AAQ23" s="90">
        <f t="shared" ca="1" si="730"/>
        <v>59.665131548583567</v>
      </c>
      <c r="AAR23" s="90">
        <f t="shared" ca="1" si="731"/>
        <v>3.7430385887012965</v>
      </c>
      <c r="AAS23" s="90">
        <f t="shared" ca="1" si="732"/>
        <v>128.94184968939413</v>
      </c>
      <c r="AAT23" s="90">
        <f t="shared" ca="1" si="733"/>
        <v>217.98387745779306</v>
      </c>
      <c r="AAU23" s="90">
        <f t="shared" ca="1" si="734"/>
        <v>66.825559918979138</v>
      </c>
      <c r="AAV23" s="90">
        <f t="shared" ca="1" si="735"/>
        <v>67.380692032059798</v>
      </c>
      <c r="AAW23" s="90">
        <f t="shared" ca="1" si="736"/>
        <v>300.97009783339064</v>
      </c>
      <c r="AAX23" s="90">
        <f t="shared" ca="1" si="737"/>
        <v>134.13950546559286</v>
      </c>
      <c r="AAY23" s="90">
        <f t="shared" ca="1" si="738"/>
        <v>208.10682229612095</v>
      </c>
      <c r="AAZ23" s="90">
        <f t="shared" ca="1" si="739"/>
        <v>82.585558377172902</v>
      </c>
      <c r="ABA23" s="90">
        <f t="shared" ca="1" si="740"/>
        <v>147.43278188780269</v>
      </c>
      <c r="ABB23" s="90">
        <f t="shared" ca="1" si="741"/>
        <v>22.513313144266796</v>
      </c>
      <c r="ABC23" s="90">
        <f t="shared" ca="1" si="742"/>
        <v>171.45820918955332</v>
      </c>
      <c r="ABD23" s="90">
        <f t="shared" ca="1" si="743"/>
        <v>87.797360201667217</v>
      </c>
      <c r="ABE23" s="90">
        <f t="shared" ca="1" si="744"/>
        <v>246.70487260136233</v>
      </c>
      <c r="ABF23" s="90">
        <f t="shared" ca="1" si="745"/>
        <v>95.194045185767209</v>
      </c>
      <c r="ABG23" s="90">
        <f t="shared" ca="1" si="746"/>
        <v>33.62200130878503</v>
      </c>
      <c r="ABH23" s="90">
        <f t="shared" ca="1" si="747"/>
        <v>179.60316417780635</v>
      </c>
      <c r="ABI23" s="90">
        <f t="shared" ca="1" si="748"/>
        <v>11.595358481117572</v>
      </c>
      <c r="ABJ23" s="90">
        <f t="shared" ca="1" si="749"/>
        <v>63.808710393567715</v>
      </c>
      <c r="ABK23" s="90">
        <f t="shared" ca="1" si="750"/>
        <v>18.091741588002066</v>
      </c>
      <c r="ABL23" s="90">
        <f t="shared" ca="1" si="751"/>
        <v>105.98798670520854</v>
      </c>
      <c r="ABM23" s="90">
        <f t="shared" ca="1" si="752"/>
        <v>268.57486271094126</v>
      </c>
      <c r="ABN23" s="90">
        <f t="shared" ca="1" si="753"/>
        <v>22.402723084202311</v>
      </c>
      <c r="ABO23" s="90">
        <f t="shared" ca="1" si="754"/>
        <v>35.556471960827231</v>
      </c>
      <c r="ABP23" s="90">
        <f t="shared" ca="1" si="755"/>
        <v>65.981233086026634</v>
      </c>
      <c r="ABQ23" s="90">
        <f t="shared" ca="1" si="756"/>
        <v>37.981158149324571</v>
      </c>
      <c r="ABR23" s="90">
        <f t="shared" ca="1" si="757"/>
        <v>106.60262867176188</v>
      </c>
      <c r="ABS23" s="90">
        <f t="shared" ca="1" si="758"/>
        <v>103.44613191738357</v>
      </c>
      <c r="ABT23" s="90">
        <f t="shared" ca="1" si="759"/>
        <v>7.231966199784388</v>
      </c>
      <c r="ABU23" s="90">
        <f t="shared" ca="1" si="760"/>
        <v>37.473523678417514</v>
      </c>
      <c r="ABV23" s="90">
        <f t="shared" ca="1" si="761"/>
        <v>49.259445149961124</v>
      </c>
      <c r="ABW23" s="90">
        <f t="shared" ca="1" si="762"/>
        <v>13.528797647342383</v>
      </c>
      <c r="ABX23" s="90">
        <f t="shared" ca="1" si="763"/>
        <v>40.086141266879224</v>
      </c>
      <c r="ABY23" s="90">
        <f t="shared" ca="1" si="764"/>
        <v>49.100009272620724</v>
      </c>
      <c r="ABZ23" s="90">
        <f t="shared" ca="1" si="765"/>
        <v>143.21350057971267</v>
      </c>
      <c r="ACA23" s="90">
        <f t="shared" ca="1" si="766"/>
        <v>249.7080237849699</v>
      </c>
      <c r="ACB23" s="90">
        <f t="shared" ca="1" si="767"/>
        <v>49.76318768502739</v>
      </c>
      <c r="ACC23" s="90">
        <f t="shared" ca="1" si="768"/>
        <v>66.590986522609541</v>
      </c>
      <c r="ACD23" s="90">
        <f t="shared" ca="1" si="769"/>
        <v>198.51572923264129</v>
      </c>
      <c r="ACE23" s="90">
        <f t="shared" ca="1" si="770"/>
        <v>101.75986928147032</v>
      </c>
      <c r="ACF23" s="90">
        <f t="shared" ca="1" si="771"/>
        <v>25.818179306999223</v>
      </c>
      <c r="ACG23" s="90">
        <f t="shared" ca="1" si="772"/>
        <v>82.433997632017707</v>
      </c>
      <c r="ACH23" s="90">
        <f t="shared" ca="1" si="773"/>
        <v>172.4966818057749</v>
      </c>
      <c r="ACI23" s="90">
        <f t="shared" ca="1" si="774"/>
        <v>11.57553621013866</v>
      </c>
      <c r="ACJ23" s="90">
        <f t="shared" ca="1" si="775"/>
        <v>91.991937925481039</v>
      </c>
      <c r="ACK23" s="90">
        <f t="shared" ca="1" si="776"/>
        <v>115.13713497368947</v>
      </c>
      <c r="ACL23" s="90">
        <f t="shared" ca="1" si="777"/>
        <v>270.63561444731653</v>
      </c>
      <c r="ACM23" s="90">
        <f t="shared" ca="1" si="778"/>
        <v>144.15363486129459</v>
      </c>
      <c r="ACN23" s="90">
        <f t="shared" ca="1" si="779"/>
        <v>-3.1662738462446374</v>
      </c>
      <c r="ACO23" s="90">
        <f t="shared" ca="1" si="780"/>
        <v>70.806857801304304</v>
      </c>
      <c r="ACP23" s="90">
        <f t="shared" ca="1" si="781"/>
        <v>92.124293531187632</v>
      </c>
      <c r="ACQ23" s="90">
        <f t="shared" ca="1" si="782"/>
        <v>23.66490235234858</v>
      </c>
      <c r="ACR23" s="90">
        <f t="shared" ca="1" si="783"/>
        <v>64.650637942184844</v>
      </c>
      <c r="ACS23" s="90">
        <f t="shared" ca="1" si="784"/>
        <v>72.973046526563564</v>
      </c>
      <c r="ACT23" s="90">
        <f t="shared" ca="1" si="785"/>
        <v>68.142688114084535</v>
      </c>
      <c r="ACU23" s="90">
        <f t="shared" ca="1" si="786"/>
        <v>90.878653919279216</v>
      </c>
      <c r="ACV23" s="90">
        <f t="shared" ca="1" si="787"/>
        <v>182.59060698329409</v>
      </c>
      <c r="ACW23" s="90">
        <f t="shared" ca="1" si="788"/>
        <v>173.12932883154818</v>
      </c>
      <c r="ACX23" s="90">
        <f t="shared" ca="1" si="789"/>
        <v>11.131013883347551</v>
      </c>
      <c r="ACY23" s="90">
        <f t="shared" ca="1" si="790"/>
        <v>97.880950034614997</v>
      </c>
      <c r="ACZ23" s="90">
        <f t="shared" ca="1" si="791"/>
        <v>9.4766366037784433</v>
      </c>
      <c r="ADA23" s="90">
        <f t="shared" ca="1" si="792"/>
        <v>507.81377448210259</v>
      </c>
      <c r="ADB23" s="90">
        <f t="shared" ca="1" si="793"/>
        <v>113.96022513348285</v>
      </c>
      <c r="ADC23" s="90">
        <f t="shared" ca="1" si="794"/>
        <v>303.83033338559665</v>
      </c>
      <c r="ADD23" s="90">
        <f t="shared" ca="1" si="795"/>
        <v>155.65331507987278</v>
      </c>
      <c r="ADE23" s="90">
        <f t="shared" ca="1" si="796"/>
        <v>-2.7592388513500534</v>
      </c>
      <c r="ADF23" s="90">
        <f t="shared" ca="1" si="797"/>
        <v>103.1720609573587</v>
      </c>
      <c r="ADG23" s="90">
        <f t="shared" ca="1" si="798"/>
        <v>65.755120288513567</v>
      </c>
      <c r="ADH23" s="90">
        <f t="shared" ca="1" si="799"/>
        <v>92.245444456346931</v>
      </c>
      <c r="ADI23" s="90">
        <f t="shared" ca="1" si="800"/>
        <v>95.973346886896508</v>
      </c>
      <c r="ADJ23" s="90">
        <f t="shared" ca="1" si="801"/>
        <v>32.160462618558029</v>
      </c>
      <c r="ADK23" s="90">
        <f t="shared" ca="1" si="802"/>
        <v>210.58168216688165</v>
      </c>
      <c r="ADL23" s="90">
        <f t="shared" ca="1" si="803"/>
        <v>65.277040926897342</v>
      </c>
      <c r="ADM23" s="90">
        <f t="shared" ca="1" si="804"/>
        <v>35.48443089436735</v>
      </c>
      <c r="ADN23" s="90">
        <f t="shared" ca="1" si="805"/>
        <v>297.48832497127347</v>
      </c>
      <c r="ADO23" s="90">
        <f t="shared" ca="1" si="806"/>
        <v>63.795968705035527</v>
      </c>
      <c r="ADP23" s="90">
        <f t="shared" ca="1" si="807"/>
        <v>147.74231443048973</v>
      </c>
      <c r="ADQ23" s="90">
        <f t="shared" ca="1" si="808"/>
        <v>265.17647443290167</v>
      </c>
      <c r="ADR23" s="90">
        <f t="shared" ca="1" si="809"/>
        <v>475.19006341423363</v>
      </c>
      <c r="ADS23" s="90">
        <f t="shared" ca="1" si="810"/>
        <v>58.839306895598746</v>
      </c>
      <c r="ADT23" s="90">
        <f t="shared" ca="1" si="811"/>
        <v>124.33027461960334</v>
      </c>
      <c r="ADU23" s="90">
        <f t="shared" ca="1" si="812"/>
        <v>26.159374047517836</v>
      </c>
      <c r="ADV23" s="90">
        <f t="shared" ca="1" si="813"/>
        <v>61.736976266565208</v>
      </c>
      <c r="ADW23" s="90">
        <f t="shared" ca="1" si="814"/>
        <v>-5.3755470101103464</v>
      </c>
      <c r="ADX23" s="90">
        <f t="shared" ca="1" si="815"/>
        <v>81.352015053680333</v>
      </c>
      <c r="ADY23" s="90">
        <f t="shared" ca="1" si="816"/>
        <v>15.967492640950072</v>
      </c>
      <c r="ADZ23" s="90">
        <f t="shared" ca="1" si="817"/>
        <v>57.275324527230538</v>
      </c>
      <c r="AEA23" s="90">
        <f t="shared" ca="1" si="818"/>
        <v>28.152314343705449</v>
      </c>
      <c r="AEB23" s="90">
        <f t="shared" ca="1" si="819"/>
        <v>6.85871538755059</v>
      </c>
      <c r="AEC23" s="90">
        <f t="shared" ca="1" si="820"/>
        <v>252.10283066400075</v>
      </c>
      <c r="AED23" s="90">
        <f t="shared" ca="1" si="821"/>
        <v>42.900332501357546</v>
      </c>
      <c r="AEE23" s="90">
        <f t="shared" ca="1" si="822"/>
        <v>134.97100095183444</v>
      </c>
      <c r="AEF23" s="90">
        <f t="shared" ca="1" si="823"/>
        <v>13.99378916332215</v>
      </c>
      <c r="AEG23" s="90">
        <f t="shared" ca="1" si="824"/>
        <v>96.717418764382671</v>
      </c>
      <c r="AEH23" s="90">
        <f t="shared" ca="1" si="825"/>
        <v>190.90245428007933</v>
      </c>
      <c r="AEI23" s="90">
        <f t="shared" ca="1" si="826"/>
        <v>17.731598070629914</v>
      </c>
      <c r="AEJ23" s="90">
        <f t="shared" ca="1" si="827"/>
        <v>43.702976568297473</v>
      </c>
      <c r="AEK23" s="90">
        <f t="shared" ca="1" si="828"/>
        <v>63.802810423275048</v>
      </c>
      <c r="AEL23" s="90">
        <f t="shared" ca="1" si="829"/>
        <v>12.898723531841993</v>
      </c>
      <c r="AEM23" s="90">
        <f t="shared" ca="1" si="830"/>
        <v>51.520922248726784</v>
      </c>
      <c r="AEN23" s="90">
        <f t="shared" ca="1" si="831"/>
        <v>45.226582536921534</v>
      </c>
      <c r="AEO23" s="90">
        <f t="shared" ca="1" si="832"/>
        <v>40.961508174705322</v>
      </c>
      <c r="AEP23" s="90">
        <f t="shared" ca="1" si="833"/>
        <v>34.18042875813623</v>
      </c>
      <c r="AEQ23" s="90">
        <f t="shared" ca="1" si="834"/>
        <v>-0.7537349208449009</v>
      </c>
      <c r="AER23" s="90">
        <f t="shared" ca="1" si="835"/>
        <v>226.00376328177302</v>
      </c>
      <c r="AES23" s="90">
        <f t="shared" ca="1" si="836"/>
        <v>304.98573647843796</v>
      </c>
      <c r="AET23" s="90">
        <f t="shared" ca="1" si="837"/>
        <v>133.81759011448347</v>
      </c>
      <c r="AEU23" s="90">
        <f t="shared" ca="1" si="838"/>
        <v>211.50958033483883</v>
      </c>
      <c r="AEV23" s="90">
        <f t="shared" ca="1" si="839"/>
        <v>40.695881299768686</v>
      </c>
      <c r="AEW23" s="90">
        <f t="shared" ca="1" si="840"/>
        <v>82.090699090993311</v>
      </c>
      <c r="AEX23" s="90">
        <f t="shared" ca="1" si="841"/>
        <v>102.91771524584567</v>
      </c>
      <c r="AEY23" s="90">
        <f t="shared" ca="1" si="842"/>
        <v>131.64033581755777</v>
      </c>
      <c r="AEZ23" s="90">
        <f t="shared" ca="1" si="843"/>
        <v>58.114922911773384</v>
      </c>
      <c r="AFA23" s="90">
        <f t="shared" ca="1" si="844"/>
        <v>95.267498085687279</v>
      </c>
      <c r="AFB23" s="90">
        <f t="shared" ca="1" si="845"/>
        <v>53.516690686571749</v>
      </c>
      <c r="AFC23" s="90">
        <f t="shared" ca="1" si="846"/>
        <v>41.715990171451871</v>
      </c>
      <c r="AFD23" s="90">
        <f t="shared" ca="1" si="847"/>
        <v>79.265069145294646</v>
      </c>
      <c r="AFE23" s="90">
        <f t="shared" ca="1" si="848"/>
        <v>163.14311378175302</v>
      </c>
      <c r="AFF23" s="90">
        <f t="shared" ca="1" si="849"/>
        <v>55.888456118631566</v>
      </c>
      <c r="AFG23" s="90">
        <f t="shared" ca="1" si="850"/>
        <v>14.179187475863737</v>
      </c>
      <c r="AFH23" s="90">
        <f t="shared" ca="1" si="851"/>
        <v>128.35146436357883</v>
      </c>
      <c r="AFI23" s="90">
        <f t="shared" ca="1" si="852"/>
        <v>130.65853764970768</v>
      </c>
      <c r="AFJ23" s="90">
        <f t="shared" ca="1" si="853"/>
        <v>268.04578242637547</v>
      </c>
      <c r="AFK23" s="90">
        <f t="shared" ca="1" si="854"/>
        <v>7.5410181771288682</v>
      </c>
      <c r="AFL23" s="90">
        <f t="shared" ca="1" si="855"/>
        <v>53.429462522218394</v>
      </c>
      <c r="AFM23" s="90">
        <f t="shared" ca="1" si="856"/>
        <v>96.480202999882025</v>
      </c>
      <c r="AFN23" s="90">
        <f t="shared" ca="1" si="857"/>
        <v>14.130720613932411</v>
      </c>
      <c r="AFO23" s="90">
        <f t="shared" ca="1" si="858"/>
        <v>203.84371193712755</v>
      </c>
      <c r="AFP23" s="90">
        <f t="shared" ca="1" si="859"/>
        <v>41.025658596113843</v>
      </c>
      <c r="AFQ23" s="90">
        <f t="shared" ca="1" si="860"/>
        <v>306.77375122637488</v>
      </c>
      <c r="AFR23" s="90">
        <f t="shared" ca="1" si="861"/>
        <v>34.124705982503748</v>
      </c>
      <c r="AFS23" s="90">
        <f t="shared" ca="1" si="862"/>
        <v>241.44473530151598</v>
      </c>
      <c r="AFT23" s="90">
        <f t="shared" ca="1" si="863"/>
        <v>27.524532850614168</v>
      </c>
      <c r="AFU23" s="90">
        <f t="shared" ca="1" si="864"/>
        <v>-22.64227681259149</v>
      </c>
      <c r="AFV23" s="90">
        <f t="shared" ca="1" si="865"/>
        <v>46.035626967989778</v>
      </c>
      <c r="AFW23" s="90">
        <f t="shared" ca="1" si="866"/>
        <v>305.38985593657196</v>
      </c>
      <c r="AFX23" s="90">
        <f t="shared" ca="1" si="867"/>
        <v>153.12270455970855</v>
      </c>
      <c r="AFY23" s="90">
        <f t="shared" ca="1" si="868"/>
        <v>19.230047702843372</v>
      </c>
      <c r="AFZ23" s="90">
        <f t="shared" ca="1" si="869"/>
        <v>44.288494880949671</v>
      </c>
      <c r="AGA23" s="90">
        <f t="shared" ca="1" si="870"/>
        <v>237.98371751454212</v>
      </c>
      <c r="AGB23" s="90">
        <f t="shared" ca="1" si="871"/>
        <v>70.964625367623526</v>
      </c>
      <c r="AGC23" s="90">
        <f t="shared" ca="1" si="872"/>
        <v>-10.60705073000921</v>
      </c>
      <c r="AGD23" s="90">
        <f t="shared" ca="1" si="873"/>
        <v>70.889768489705205</v>
      </c>
      <c r="AGE23" s="90">
        <f t="shared" ca="1" si="874"/>
        <v>19.244560779844065</v>
      </c>
      <c r="AGF23" s="90">
        <f t="shared" ca="1" si="875"/>
        <v>71.588351458224452</v>
      </c>
      <c r="AGG23" s="90">
        <f t="shared" ca="1" si="876"/>
        <v>28.490679455253357</v>
      </c>
      <c r="AGH23" s="90">
        <f t="shared" ca="1" si="877"/>
        <v>70.544263485202322</v>
      </c>
      <c r="AGI23" s="90">
        <f t="shared" ca="1" si="878"/>
        <v>31.930583163014031</v>
      </c>
      <c r="AGJ23" s="90">
        <f t="shared" ca="1" si="879"/>
        <v>280.43867831694763</v>
      </c>
      <c r="AGK23" s="90">
        <f t="shared" ca="1" si="880"/>
        <v>14.991915213384429</v>
      </c>
      <c r="AGL23" s="90">
        <f t="shared" ca="1" si="881"/>
        <v>192.57931155992259</v>
      </c>
      <c r="AGM23" s="90">
        <f t="shared" ca="1" si="882"/>
        <v>119.60087631990689</v>
      </c>
      <c r="AGN23" s="90">
        <f t="shared" ca="1" si="883"/>
        <v>37.79070348404678</v>
      </c>
      <c r="AGO23" s="90">
        <f t="shared" ca="1" si="884"/>
        <v>81.176775681984495</v>
      </c>
      <c r="AGP23" s="90">
        <f t="shared" ca="1" si="885"/>
        <v>32.003750579279945</v>
      </c>
      <c r="AGQ23" s="90">
        <f t="shared" ca="1" si="886"/>
        <v>72.899381144665441</v>
      </c>
      <c r="AGR23" s="90">
        <f t="shared" ca="1" si="887"/>
        <v>45.914897321799664</v>
      </c>
      <c r="AGS23" s="90">
        <f t="shared" ca="1" si="888"/>
        <v>131.25838149896657</v>
      </c>
      <c r="AGT23" s="90">
        <f t="shared" ca="1" si="889"/>
        <v>33.811971223516899</v>
      </c>
      <c r="AGU23" s="90">
        <f t="shared" ca="1" si="890"/>
        <v>143.90913364251219</v>
      </c>
      <c r="AGV23" s="90">
        <f t="shared" ca="1" si="891"/>
        <v>17.784933353851184</v>
      </c>
      <c r="AGW23" s="90">
        <f t="shared" ca="1" si="892"/>
        <v>568.15393735336113</v>
      </c>
      <c r="AGX23" s="90">
        <f t="shared" ca="1" si="893"/>
        <v>118.49420278055393</v>
      </c>
      <c r="AGY23" s="90">
        <f t="shared" ca="1" si="894"/>
        <v>33.255412378100708</v>
      </c>
      <c r="AGZ23" s="90">
        <f t="shared" ca="1" si="895"/>
        <v>69.071309941904019</v>
      </c>
      <c r="AHA23" s="90">
        <f t="shared" ca="1" si="896"/>
        <v>-31.252622677458156</v>
      </c>
      <c r="AHB23" s="90">
        <f t="shared" ca="1" si="897"/>
        <v>19.532675548873616</v>
      </c>
      <c r="AHC23" s="90">
        <f t="shared" ca="1" si="898"/>
        <v>240.5186465832856</v>
      </c>
      <c r="AHD23" s="90">
        <f t="shared" ca="1" si="899"/>
        <v>148.59663922614035</v>
      </c>
      <c r="AHE23" s="90">
        <f t="shared" ca="1" si="900"/>
        <v>212.9964999833152</v>
      </c>
      <c r="AHF23" s="90">
        <f t="shared" ca="1" si="901"/>
        <v>89.922684216044146</v>
      </c>
      <c r="AHG23" s="90">
        <f t="shared" ca="1" si="902"/>
        <v>67.502404318039183</v>
      </c>
      <c r="AHH23" s="90">
        <f t="shared" ca="1" si="903"/>
        <v>82.593438982761882</v>
      </c>
      <c r="AHI23" s="90">
        <f t="shared" ca="1" si="904"/>
        <v>4.9230187379603487</v>
      </c>
      <c r="AHJ23" s="90">
        <f t="shared" ca="1" si="905"/>
        <v>182.58820943088438</v>
      </c>
      <c r="AHK23" s="90">
        <f t="shared" ca="1" si="906"/>
        <v>115.62275912183387</v>
      </c>
      <c r="AHL23" s="90">
        <f t="shared" ca="1" si="907"/>
        <v>17.395543528706373</v>
      </c>
      <c r="AHM23" s="90">
        <f t="shared" ca="1" si="908"/>
        <v>213.84495526162888</v>
      </c>
      <c r="AHN23" s="90">
        <f t="shared" ca="1" si="909"/>
        <v>240.29911593755452</v>
      </c>
      <c r="AHO23" s="90">
        <f t="shared" ca="1" si="910"/>
        <v>58.039995462862194</v>
      </c>
      <c r="AHP23" s="90">
        <f t="shared" ca="1" si="911"/>
        <v>55.019469781812106</v>
      </c>
      <c r="AHQ23" s="90">
        <f t="shared" ca="1" si="912"/>
        <v>113.08456381477015</v>
      </c>
      <c r="AHR23" s="90">
        <f t="shared" ca="1" si="913"/>
        <v>-5.7429207313725774</v>
      </c>
      <c r="AHS23" s="90">
        <f t="shared" ca="1" si="914"/>
        <v>8.2216917815677064</v>
      </c>
      <c r="AHT23" s="90">
        <f t="shared" ca="1" si="915"/>
        <v>276.60531266849284</v>
      </c>
      <c r="AHU23" s="90">
        <f t="shared" ca="1" si="916"/>
        <v>78.305796682162097</v>
      </c>
      <c r="AHV23" s="90">
        <f t="shared" ca="1" si="917"/>
        <v>35.977542718232222</v>
      </c>
      <c r="AHW23" s="90">
        <f t="shared" ca="1" si="918"/>
        <v>156.89602650269813</v>
      </c>
      <c r="AHX23" s="90">
        <f t="shared" ca="1" si="919"/>
        <v>24.719701043035435</v>
      </c>
      <c r="AHY23" s="90">
        <f t="shared" ca="1" si="920"/>
        <v>105.57522350908567</v>
      </c>
      <c r="AHZ23" s="90">
        <f t="shared" ca="1" si="921"/>
        <v>503.55315753482239</v>
      </c>
      <c r="AIA23" s="90">
        <f t="shared" ca="1" si="922"/>
        <v>155.00024546799571</v>
      </c>
      <c r="AIB23" s="90">
        <f t="shared" ca="1" si="923"/>
        <v>87.518731051555591</v>
      </c>
      <c r="AIC23" s="90">
        <f t="shared" ca="1" si="924"/>
        <v>196.7024841282294</v>
      </c>
      <c r="AID23" s="90">
        <f t="shared" ca="1" si="925"/>
        <v>86.840853531217959</v>
      </c>
      <c r="AIE23" s="90">
        <f t="shared" ca="1" si="926"/>
        <v>196.34598656291104</v>
      </c>
      <c r="AIF23" s="90">
        <f t="shared" ca="1" si="927"/>
        <v>264.68274981885844</v>
      </c>
      <c r="AIG23" s="90">
        <f t="shared" ca="1" si="928"/>
        <v>151.53086215491828</v>
      </c>
      <c r="AIH23" s="90">
        <f t="shared" ca="1" si="929"/>
        <v>120.61284997138276</v>
      </c>
      <c r="AII23" s="90">
        <f t="shared" ca="1" si="930"/>
        <v>32.116463737014271</v>
      </c>
      <c r="AIJ23" s="90">
        <f t="shared" ca="1" si="931"/>
        <v>15.818493818284827</v>
      </c>
      <c r="AIK23" s="90">
        <f t="shared" ca="1" si="932"/>
        <v>11.795058584481115</v>
      </c>
      <c r="AIL23" s="90">
        <f t="shared" ca="1" si="933"/>
        <v>85.173659478424455</v>
      </c>
      <c r="AIM23" s="90">
        <f t="shared" ca="1" si="934"/>
        <v>328.42745774600479</v>
      </c>
      <c r="AIN23" s="90">
        <f t="shared" ca="1" si="935"/>
        <v>83.331002683919863</v>
      </c>
      <c r="AIO23" s="90">
        <f t="shared" ca="1" si="936"/>
        <v>20.493090863534434</v>
      </c>
      <c r="AIP23" s="90">
        <f t="shared" ca="1" si="937"/>
        <v>75.925735651876124</v>
      </c>
      <c r="AIQ23" s="90">
        <f t="shared" ca="1" si="938"/>
        <v>-1.8131137486120803</v>
      </c>
      <c r="AIR23" s="90">
        <f t="shared" ca="1" si="939"/>
        <v>81.285030163451495</v>
      </c>
      <c r="AIS23" s="90">
        <f t="shared" ca="1" si="940"/>
        <v>24.733876127156094</v>
      </c>
      <c r="AIT23" s="90">
        <f t="shared" ca="1" si="941"/>
        <v>169.74854578634529</v>
      </c>
      <c r="AIU23" s="90">
        <f t="shared" ca="1" si="942"/>
        <v>53.976350231590288</v>
      </c>
      <c r="AIV23" s="90">
        <f t="shared" ca="1" si="943"/>
        <v>171.65170931905052</v>
      </c>
      <c r="AIW23" s="90">
        <f t="shared" ca="1" si="944"/>
        <v>179.35952652343477</v>
      </c>
      <c r="AIX23" s="90">
        <f t="shared" ca="1" si="945"/>
        <v>83.852543940469431</v>
      </c>
      <c r="AIY23" s="90">
        <f t="shared" ca="1" si="946"/>
        <v>37.545728583932828</v>
      </c>
      <c r="AIZ23" s="90">
        <f t="shared" ca="1" si="947"/>
        <v>61.050125943567032</v>
      </c>
      <c r="AJA23" s="90">
        <f t="shared" ca="1" si="948"/>
        <v>443.79012135843135</v>
      </c>
      <c r="AJB23" s="90">
        <f t="shared" ca="1" si="949"/>
        <v>8.8568752831991517</v>
      </c>
      <c r="AJC23" s="90">
        <f t="shared" ca="1" si="950"/>
        <v>-2.4282507503419986</v>
      </c>
      <c r="AJD23" s="90">
        <f t="shared" ca="1" si="951"/>
        <v>46.183512938026318</v>
      </c>
      <c r="AJE23" s="90">
        <f t="shared" ca="1" si="952"/>
        <v>142.09102527687784</v>
      </c>
      <c r="AJF23" s="90">
        <f t="shared" ca="1" si="953"/>
        <v>51.551843708702975</v>
      </c>
      <c r="AJG23" s="90">
        <f t="shared" ca="1" si="954"/>
        <v>55.110923575716242</v>
      </c>
      <c r="AJH23" s="90">
        <f t="shared" ca="1" si="955"/>
        <v>19.726712733597193</v>
      </c>
      <c r="AJI23" s="90">
        <f t="shared" ca="1" si="956"/>
        <v>440.99974237283612</v>
      </c>
      <c r="AJJ23" s="90">
        <f t="shared" ca="1" si="957"/>
        <v>24.998280009137844</v>
      </c>
      <c r="AJK23" s="90">
        <f t="shared" ca="1" si="958"/>
        <v>62.472863153572668</v>
      </c>
      <c r="AJL23" s="90">
        <f t="shared" ca="1" si="959"/>
        <v>72.393882304009935</v>
      </c>
      <c r="AJM23" s="90">
        <f t="shared" ca="1" si="960"/>
        <v>270.99718667478294</v>
      </c>
      <c r="AJN23" s="90">
        <f t="shared" ca="1" si="961"/>
        <v>27.093771142273081</v>
      </c>
      <c r="AJO23" s="90">
        <f t="shared" ca="1" si="962"/>
        <v>19.665657773531304</v>
      </c>
      <c r="AJP23" s="90">
        <f t="shared" ca="1" si="963"/>
        <v>545.17450633707472</v>
      </c>
      <c r="AJQ23" s="90">
        <f t="shared" ca="1" si="964"/>
        <v>71.482418695472177</v>
      </c>
      <c r="AJR23" s="90">
        <f t="shared" ca="1" si="965"/>
        <v>12.507299853879916</v>
      </c>
      <c r="AJS23" s="90">
        <f t="shared" ca="1" si="966"/>
        <v>107.89761014839107</v>
      </c>
      <c r="AJT23" s="90">
        <f t="shared" ca="1" si="967"/>
        <v>59.125085596471521</v>
      </c>
      <c r="AJU23" s="90">
        <f t="shared" ca="1" si="968"/>
        <v>18.455523535754587</v>
      </c>
      <c r="AJV23" s="90">
        <f t="shared" ca="1" si="969"/>
        <v>165.42130448308538</v>
      </c>
      <c r="AJW23" s="90">
        <f t="shared" ca="1" si="970"/>
        <v>136.08228693197063</v>
      </c>
      <c r="AJX23" s="90">
        <f t="shared" ca="1" si="971"/>
        <v>57.910257345911113</v>
      </c>
      <c r="AJY23" s="90">
        <f t="shared" ca="1" si="972"/>
        <v>28.078012867352225</v>
      </c>
      <c r="AJZ23" s="90">
        <f t="shared" ca="1" si="973"/>
        <v>60.739474754983398</v>
      </c>
      <c r="AKA23" s="90">
        <f t="shared" ca="1" si="974"/>
        <v>27.066034656885986</v>
      </c>
      <c r="AKB23" s="90">
        <f t="shared" ca="1" si="975"/>
        <v>74.316164637001677</v>
      </c>
      <c r="AKC23" s="90">
        <f t="shared" ca="1" si="976"/>
        <v>49.438198225964221</v>
      </c>
      <c r="AKD23" s="90">
        <f t="shared" ca="1" si="977"/>
        <v>244.70727944926131</v>
      </c>
      <c r="AKE23" s="90">
        <f t="shared" ca="1" si="978"/>
        <v>16.43267105597921</v>
      </c>
      <c r="AKF23" s="90">
        <f t="shared" ca="1" si="979"/>
        <v>125.34129190893641</v>
      </c>
      <c r="AKG23" s="90">
        <f t="shared" ca="1" si="980"/>
        <v>23.077706560621785</v>
      </c>
      <c r="AKH23" s="90">
        <f t="shared" ca="1" si="981"/>
        <v>30.853869200618078</v>
      </c>
      <c r="AKI23" s="90">
        <f t="shared" ca="1" si="982"/>
        <v>431.81206342628252</v>
      </c>
      <c r="AKJ23" s="90">
        <f t="shared" ca="1" si="983"/>
        <v>32.986870496633735</v>
      </c>
      <c r="AKK23" s="90">
        <f t="shared" ca="1" si="984"/>
        <v>26.24741010208329</v>
      </c>
      <c r="AKL23" s="90">
        <f t="shared" ca="1" si="985"/>
        <v>70.429369353623002</v>
      </c>
      <c r="AKM23" s="90">
        <f t="shared" ca="1" si="986"/>
        <v>118.60108235473253</v>
      </c>
      <c r="AKN23" s="90">
        <f t="shared" ca="1" si="987"/>
        <v>59.047899914763349</v>
      </c>
      <c r="AKO23" s="90">
        <f t="shared" ca="1" si="988"/>
        <v>24.389885542841597</v>
      </c>
      <c r="AKP23" s="90">
        <f t="shared" ca="1" si="989"/>
        <v>75.096897668749179</v>
      </c>
      <c r="AKQ23" s="90">
        <f t="shared" ca="1" si="990"/>
        <v>51.662006684674473</v>
      </c>
      <c r="AKR23" s="90">
        <f t="shared" ca="1" si="991"/>
        <v>14.962319614369793</v>
      </c>
      <c r="AKS23" s="90">
        <f t="shared" ca="1" si="992"/>
        <v>121.68423935001236</v>
      </c>
      <c r="AKT23" s="90">
        <f t="shared" ca="1" si="993"/>
        <v>54.058852497314618</v>
      </c>
      <c r="AKU23" s="90">
        <f t="shared" ca="1" si="994"/>
        <v>33.442294242966696</v>
      </c>
      <c r="AKV23" s="90">
        <f t="shared" ca="1" si="995"/>
        <v>22.795802985877351</v>
      </c>
      <c r="AKW23" s="90">
        <f t="shared" ca="1" si="996"/>
        <v>96.328086914026457</v>
      </c>
      <c r="AKX23" s="90">
        <f t="shared" ca="1" si="997"/>
        <v>71.44250677901401</v>
      </c>
      <c r="AKY23" s="90">
        <f t="shared" ca="1" si="998"/>
        <v>17.851569313876777</v>
      </c>
      <c r="AKZ23" s="90">
        <f t="shared" ca="1" si="999"/>
        <v>447.87621669575992</v>
      </c>
      <c r="ALA23" s="90">
        <f t="shared" ca="1" si="1000"/>
        <v>193.08227980340035</v>
      </c>
      <c r="ALB23" s="90">
        <f t="shared" ca="1" si="1001"/>
        <v>324.68686831656902</v>
      </c>
      <c r="ALC23" s="90">
        <f t="shared" ca="1" si="1002"/>
        <v>250.34192309447266</v>
      </c>
      <c r="ALD23" s="90">
        <f t="shared" ca="1" si="1003"/>
        <v>480.87273302999716</v>
      </c>
      <c r="ALE23" s="90">
        <f t="shared" ca="1" si="1004"/>
        <v>-7.4218447808824326</v>
      </c>
      <c r="ALF23" s="90">
        <f t="shared" ca="1" si="1005"/>
        <v>145.71101044071784</v>
      </c>
      <c r="ALG23" s="90">
        <f t="shared" ca="1" si="1006"/>
        <v>90.210132806206019</v>
      </c>
      <c r="ALH23" s="90">
        <f t="shared" ca="1" si="1007"/>
        <v>7.2251086542422973</v>
      </c>
      <c r="ALI23" s="90">
        <f t="shared" ca="1" si="1008"/>
        <v>81.51259458648704</v>
      </c>
      <c r="ALJ23" s="90">
        <f t="shared" ca="1" si="1009"/>
        <v>190.25575725301852</v>
      </c>
      <c r="ALK23" s="90">
        <f t="shared" ca="1" si="1010"/>
        <v>-0.61941511254500048</v>
      </c>
      <c r="ALL23" s="90">
        <f t="shared" ca="1" si="1011"/>
        <v>74.919656819983601</v>
      </c>
      <c r="ALM23" s="90">
        <f t="shared" ca="1" si="1012"/>
        <v>24.789719153969543</v>
      </c>
      <c r="ALN23" s="90">
        <f t="shared" ca="1" si="1013"/>
        <v>159.60440217656853</v>
      </c>
      <c r="ALO23" s="90">
        <f t="shared" ca="1" si="1014"/>
        <v>17.797188562147294</v>
      </c>
      <c r="ALP23" s="90">
        <f t="shared" ca="1" si="1015"/>
        <v>159.21930771496017</v>
      </c>
      <c r="ALQ23" s="90">
        <f t="shared" ca="1" si="1016"/>
        <v>45.408788268759082</v>
      </c>
    </row>
    <row r="24" spans="3:1005" x14ac:dyDescent="0.35">
      <c r="C24" s="61">
        <f t="shared" ca="1" si="17"/>
        <v>9.5624697539594461E-2</v>
      </c>
      <c r="D24" s="90">
        <f t="shared" ca="1" si="0"/>
        <v>123.01106781678175</v>
      </c>
      <c r="E24">
        <v>7</v>
      </c>
      <c r="F24" s="90">
        <f t="shared" ca="1" si="1017"/>
        <v>7.6079761217148194</v>
      </c>
      <c r="G24" s="90">
        <f t="shared" ca="1" si="18"/>
        <v>90.645744507156223</v>
      </c>
      <c r="H24" s="90">
        <f t="shared" ca="1" si="19"/>
        <v>71.125097237896242</v>
      </c>
      <c r="I24" s="90">
        <f t="shared" ca="1" si="20"/>
        <v>174.10996949257634</v>
      </c>
      <c r="J24" s="90">
        <f t="shared" ca="1" si="21"/>
        <v>20.168309993820333</v>
      </c>
      <c r="K24" s="90">
        <f t="shared" ca="1" si="22"/>
        <v>263.98985525656161</v>
      </c>
      <c r="L24" s="90">
        <f t="shared" ca="1" si="23"/>
        <v>-15.862009851908352</v>
      </c>
      <c r="M24" s="90">
        <f t="shared" ca="1" si="24"/>
        <v>33.063006363161968</v>
      </c>
      <c r="N24" s="90">
        <f t="shared" ca="1" si="25"/>
        <v>33.629361196257463</v>
      </c>
      <c r="O24" s="90">
        <f t="shared" ca="1" si="26"/>
        <v>76.484964017001161</v>
      </c>
      <c r="P24" s="90">
        <f t="shared" ca="1" si="27"/>
        <v>15.51465390878775</v>
      </c>
      <c r="Q24" s="90">
        <f t="shared" ca="1" si="28"/>
        <v>58.707110445074917</v>
      </c>
      <c r="R24" s="90">
        <f t="shared" ca="1" si="29"/>
        <v>13.242176221132359</v>
      </c>
      <c r="S24" s="90">
        <f t="shared" ca="1" si="30"/>
        <v>342.29588920472594</v>
      </c>
      <c r="T24" s="90">
        <f t="shared" ca="1" si="31"/>
        <v>32.359391911711143</v>
      </c>
      <c r="U24" s="90">
        <f t="shared" ca="1" si="32"/>
        <v>127.25724957057173</v>
      </c>
      <c r="V24" s="90">
        <f t="shared" ca="1" si="33"/>
        <v>144.44962217974765</v>
      </c>
      <c r="W24" s="90">
        <f t="shared" ca="1" si="34"/>
        <v>199.49508430095517</v>
      </c>
      <c r="X24" s="90">
        <f t="shared" ca="1" si="35"/>
        <v>260.46971786711089</v>
      </c>
      <c r="Y24" s="90">
        <f t="shared" ca="1" si="36"/>
        <v>667.36811504792536</v>
      </c>
      <c r="Z24" s="90">
        <f t="shared" ca="1" si="37"/>
        <v>153.32901595204433</v>
      </c>
      <c r="AA24" s="90">
        <f t="shared" ca="1" si="38"/>
        <v>81.648317441038316</v>
      </c>
      <c r="AB24" s="90">
        <f t="shared" ca="1" si="39"/>
        <v>98.419016820606501</v>
      </c>
      <c r="AC24" s="90">
        <f t="shared" ca="1" si="40"/>
        <v>35.733049612973801</v>
      </c>
      <c r="AD24" s="90">
        <f t="shared" ca="1" si="41"/>
        <v>311.54618498619914</v>
      </c>
      <c r="AE24" s="90">
        <f t="shared" ca="1" si="42"/>
        <v>247.7815677704024</v>
      </c>
      <c r="AF24" s="90">
        <f t="shared" ca="1" si="43"/>
        <v>538.19329814684102</v>
      </c>
      <c r="AG24" s="90">
        <f t="shared" ca="1" si="44"/>
        <v>121.44587986554086</v>
      </c>
      <c r="AH24" s="90">
        <f t="shared" ca="1" si="45"/>
        <v>33.548355836812725</v>
      </c>
      <c r="AI24" s="90">
        <f t="shared" ca="1" si="46"/>
        <v>34.507267658788052</v>
      </c>
      <c r="AJ24" s="90">
        <f t="shared" ca="1" si="47"/>
        <v>241.5028911051312</v>
      </c>
      <c r="AK24" s="90">
        <f t="shared" ca="1" si="48"/>
        <v>-11.123972027521685</v>
      </c>
      <c r="AL24" s="90">
        <f t="shared" ca="1" si="49"/>
        <v>163.05737655834696</v>
      </c>
      <c r="AM24" s="90">
        <f t="shared" ca="1" si="50"/>
        <v>-1.6599270533082189</v>
      </c>
      <c r="AN24" s="90">
        <f t="shared" ca="1" si="51"/>
        <v>47.913617403884906</v>
      </c>
      <c r="AO24" s="90">
        <f t="shared" ca="1" si="52"/>
        <v>269.06515801704654</v>
      </c>
      <c r="AP24" s="90">
        <f t="shared" ca="1" si="53"/>
        <v>158.27076883140916</v>
      </c>
      <c r="AQ24" s="90">
        <f t="shared" ca="1" si="54"/>
        <v>167.46040003462667</v>
      </c>
      <c r="AR24" s="90">
        <f t="shared" ca="1" si="55"/>
        <v>39.647577707794291</v>
      </c>
      <c r="AS24" s="90">
        <f t="shared" ca="1" si="56"/>
        <v>437.8577854532632</v>
      </c>
      <c r="AT24" s="90">
        <f t="shared" ca="1" si="57"/>
        <v>215.33141592068142</v>
      </c>
      <c r="AU24" s="90">
        <f t="shared" ca="1" si="58"/>
        <v>94.433451069792397</v>
      </c>
      <c r="AV24" s="90">
        <f t="shared" ca="1" si="59"/>
        <v>40.725759244877786</v>
      </c>
      <c r="AW24" s="90">
        <f t="shared" ca="1" si="60"/>
        <v>108.09615626939461</v>
      </c>
      <c r="AX24" s="90">
        <f t="shared" ca="1" si="61"/>
        <v>15.185155761841122</v>
      </c>
      <c r="AY24" s="90">
        <f t="shared" ca="1" si="62"/>
        <v>377.28268080594137</v>
      </c>
      <c r="AZ24" s="90">
        <f t="shared" ca="1" si="63"/>
        <v>89.911932614390011</v>
      </c>
      <c r="BA24" s="90">
        <f t="shared" ca="1" si="64"/>
        <v>88.355990647140288</v>
      </c>
      <c r="BB24" s="90">
        <f t="shared" ca="1" si="65"/>
        <v>24.019181518787207</v>
      </c>
      <c r="BC24" s="90">
        <f t="shared" ca="1" si="66"/>
        <v>173.20344116560753</v>
      </c>
      <c r="BD24" s="90">
        <f t="shared" ca="1" si="67"/>
        <v>185.35527378916683</v>
      </c>
      <c r="BE24" s="90">
        <f t="shared" ca="1" si="68"/>
        <v>5.8597583672986877</v>
      </c>
      <c r="BF24" s="90">
        <f t="shared" ca="1" si="69"/>
        <v>20.489036318242974</v>
      </c>
      <c r="BG24" s="90">
        <f t="shared" ca="1" si="70"/>
        <v>56.569801490411159</v>
      </c>
      <c r="BH24" s="90">
        <f t="shared" ca="1" si="71"/>
        <v>15.954470695185135</v>
      </c>
      <c r="BI24" s="90">
        <f t="shared" ca="1" si="72"/>
        <v>47.863398538807502</v>
      </c>
      <c r="BJ24" s="90">
        <f t="shared" ca="1" si="73"/>
        <v>78.311999626704619</v>
      </c>
      <c r="BK24" s="90">
        <f t="shared" ca="1" si="74"/>
        <v>2.6428801583867383</v>
      </c>
      <c r="BL24" s="90">
        <f t="shared" ca="1" si="75"/>
        <v>43.672435446422149</v>
      </c>
      <c r="BM24" s="90">
        <f t="shared" ca="1" si="76"/>
        <v>216.74571435877854</v>
      </c>
      <c r="BN24" s="90">
        <f t="shared" ca="1" si="77"/>
        <v>6.3302377833456402</v>
      </c>
      <c r="BO24" s="90">
        <f t="shared" ca="1" si="78"/>
        <v>245.45752455592998</v>
      </c>
      <c r="BP24" s="90">
        <f t="shared" ca="1" si="79"/>
        <v>171.16923213877641</v>
      </c>
      <c r="BQ24" s="90">
        <f t="shared" ca="1" si="80"/>
        <v>169.01651237254515</v>
      </c>
      <c r="BR24" s="90">
        <f t="shared" ca="1" si="81"/>
        <v>226.84810113894434</v>
      </c>
      <c r="BS24" s="90">
        <f t="shared" ca="1" si="82"/>
        <v>99.280054064520158</v>
      </c>
      <c r="BT24" s="90">
        <f t="shared" ca="1" si="83"/>
        <v>89.931173685995759</v>
      </c>
      <c r="BU24" s="90">
        <f t="shared" ca="1" si="84"/>
        <v>28.078318303101021</v>
      </c>
      <c r="BV24" s="90">
        <f t="shared" ca="1" si="85"/>
        <v>15.491630872683887</v>
      </c>
      <c r="BW24" s="90">
        <f t="shared" ca="1" si="86"/>
        <v>241.56897166130329</v>
      </c>
      <c r="BX24" s="90">
        <f t="shared" ca="1" si="87"/>
        <v>9.469312248302705</v>
      </c>
      <c r="BY24" s="90">
        <f t="shared" ca="1" si="88"/>
        <v>107.79228219130114</v>
      </c>
      <c r="BZ24" s="90">
        <f t="shared" ca="1" si="89"/>
        <v>160.40705198369372</v>
      </c>
      <c r="CA24" s="90">
        <f t="shared" ca="1" si="90"/>
        <v>15.301019757957967</v>
      </c>
      <c r="CB24" s="90">
        <f t="shared" ca="1" si="91"/>
        <v>95.010253794580436</v>
      </c>
      <c r="CC24" s="90">
        <f t="shared" ca="1" si="92"/>
        <v>83.644966429310585</v>
      </c>
      <c r="CD24" s="90">
        <f t="shared" ca="1" si="93"/>
        <v>90.302881647929595</v>
      </c>
      <c r="CE24" s="90">
        <f t="shared" ca="1" si="94"/>
        <v>0.96503532363602951</v>
      </c>
      <c r="CF24" s="90">
        <f t="shared" ca="1" si="95"/>
        <v>86.786469040545896</v>
      </c>
      <c r="CG24" s="90">
        <f t="shared" ca="1" si="96"/>
        <v>3.5289446223692287</v>
      </c>
      <c r="CH24" s="90">
        <f t="shared" ca="1" si="97"/>
        <v>30.435722366762988</v>
      </c>
      <c r="CI24" s="90">
        <f t="shared" ca="1" si="98"/>
        <v>68.67134356099595</v>
      </c>
      <c r="CJ24" s="90">
        <f t="shared" ca="1" si="99"/>
        <v>97.244601604679559</v>
      </c>
      <c r="CK24" s="90">
        <f t="shared" ca="1" si="100"/>
        <v>173.00793616466336</v>
      </c>
      <c r="CL24" s="90">
        <f t="shared" ca="1" si="101"/>
        <v>112.08222688783468</v>
      </c>
      <c r="CM24" s="90">
        <f t="shared" ca="1" si="102"/>
        <v>50.879987956528744</v>
      </c>
      <c r="CN24" s="90">
        <f t="shared" ca="1" si="103"/>
        <v>112.64637344288688</v>
      </c>
      <c r="CO24" s="90">
        <f t="shared" ca="1" si="104"/>
        <v>130.88709011398285</v>
      </c>
      <c r="CP24" s="90">
        <f t="shared" ca="1" si="105"/>
        <v>341.34954085782442</v>
      </c>
      <c r="CQ24" s="90">
        <f t="shared" ca="1" si="106"/>
        <v>21.149267152560515</v>
      </c>
      <c r="CR24" s="90">
        <f t="shared" ca="1" si="107"/>
        <v>43.089521231279406</v>
      </c>
      <c r="CS24" s="90">
        <f t="shared" ca="1" si="108"/>
        <v>199.09493737890821</v>
      </c>
      <c r="CT24" s="90">
        <f t="shared" ca="1" si="109"/>
        <v>76.901935300245341</v>
      </c>
      <c r="CU24" s="90">
        <f t="shared" ca="1" si="110"/>
        <v>24.904224005931219</v>
      </c>
      <c r="CV24" s="90">
        <f t="shared" ca="1" si="111"/>
        <v>506.29663460606935</v>
      </c>
      <c r="CW24" s="90">
        <f t="shared" ca="1" si="112"/>
        <v>186.32496886333081</v>
      </c>
      <c r="CX24" s="90">
        <f t="shared" ca="1" si="113"/>
        <v>113.98763656558305</v>
      </c>
      <c r="CY24" s="90">
        <f t="shared" ca="1" si="114"/>
        <v>49.506235447408187</v>
      </c>
      <c r="CZ24" s="90">
        <f t="shared" ca="1" si="115"/>
        <v>318.92833875179815</v>
      </c>
      <c r="DA24" s="90">
        <f t="shared" ca="1" si="116"/>
        <v>16.177658046700898</v>
      </c>
      <c r="DB24" s="90">
        <f t="shared" ca="1" si="117"/>
        <v>279.28111241509583</v>
      </c>
      <c r="DC24" s="90">
        <f t="shared" ca="1" si="118"/>
        <v>13.702770023596548</v>
      </c>
      <c r="DD24" s="90">
        <f t="shared" ca="1" si="119"/>
        <v>281.49208911434664</v>
      </c>
      <c r="DE24" s="90">
        <f t="shared" ca="1" si="120"/>
        <v>87.68834137450375</v>
      </c>
      <c r="DF24" s="90">
        <f t="shared" ca="1" si="121"/>
        <v>30.185601541162313</v>
      </c>
      <c r="DG24" s="90">
        <f t="shared" ca="1" si="122"/>
        <v>39.524693831559063</v>
      </c>
      <c r="DH24" s="90">
        <f t="shared" ca="1" si="123"/>
        <v>177.87194564702372</v>
      </c>
      <c r="DI24" s="90">
        <f t="shared" ca="1" si="124"/>
        <v>8.5848506735450307</v>
      </c>
      <c r="DJ24" s="90">
        <f t="shared" ca="1" si="125"/>
        <v>242.7721342113922</v>
      </c>
      <c r="DK24" s="90">
        <f t="shared" ca="1" si="126"/>
        <v>49.654925759853725</v>
      </c>
      <c r="DL24" s="90">
        <f t="shared" ca="1" si="127"/>
        <v>10.379716963850548</v>
      </c>
      <c r="DM24" s="90">
        <f t="shared" ca="1" si="128"/>
        <v>4.9432211287712606</v>
      </c>
      <c r="DN24" s="90">
        <f t="shared" ca="1" si="129"/>
        <v>17.206069781299576</v>
      </c>
      <c r="DO24" s="90">
        <f t="shared" ca="1" si="130"/>
        <v>601.6068797358854</v>
      </c>
      <c r="DP24" s="90">
        <f t="shared" ca="1" si="131"/>
        <v>59.65171941645864</v>
      </c>
      <c r="DQ24" s="90">
        <f t="shared" ca="1" si="132"/>
        <v>523.28898995618749</v>
      </c>
      <c r="DR24" s="90">
        <f t="shared" ca="1" si="133"/>
        <v>27.125621523101486</v>
      </c>
      <c r="DS24" s="90">
        <f t="shared" ca="1" si="134"/>
        <v>23.961872587675295</v>
      </c>
      <c r="DT24" s="90">
        <f t="shared" ca="1" si="135"/>
        <v>-0.37637882328469252</v>
      </c>
      <c r="DU24" s="90">
        <f t="shared" ca="1" si="136"/>
        <v>89.274433644807459</v>
      </c>
      <c r="DV24" s="90">
        <f t="shared" ca="1" si="137"/>
        <v>324.27129325087031</v>
      </c>
      <c r="DW24" s="90">
        <f t="shared" ca="1" si="138"/>
        <v>451.23420930801984</v>
      </c>
      <c r="DX24" s="90">
        <f t="shared" ca="1" si="139"/>
        <v>145.87264717263</v>
      </c>
      <c r="DY24" s="90">
        <f t="shared" ca="1" si="140"/>
        <v>77.758578900613713</v>
      </c>
      <c r="DZ24" s="90">
        <f t="shared" ca="1" si="141"/>
        <v>186.07894103918829</v>
      </c>
      <c r="EA24" s="90">
        <f t="shared" ca="1" si="142"/>
        <v>58.783797990975017</v>
      </c>
      <c r="EB24" s="90">
        <f t="shared" ca="1" si="143"/>
        <v>234.7663729549887</v>
      </c>
      <c r="EC24" s="90">
        <f t="shared" ca="1" si="144"/>
        <v>209.86712958435402</v>
      </c>
      <c r="ED24" s="90">
        <f t="shared" ca="1" si="145"/>
        <v>28.167138323328242</v>
      </c>
      <c r="EE24" s="90">
        <f t="shared" ca="1" si="146"/>
        <v>-8.9245046081260107</v>
      </c>
      <c r="EF24" s="90">
        <f t="shared" ca="1" si="147"/>
        <v>151.59222236239461</v>
      </c>
      <c r="EG24" s="90">
        <f t="shared" ca="1" si="148"/>
        <v>37.703177712266701</v>
      </c>
      <c r="EH24" s="90">
        <f t="shared" ca="1" si="149"/>
        <v>35.251478763536397</v>
      </c>
      <c r="EI24" s="90">
        <f t="shared" ca="1" si="150"/>
        <v>102.9313866141199</v>
      </c>
      <c r="EJ24" s="90">
        <f t="shared" ca="1" si="151"/>
        <v>73.99514706903372</v>
      </c>
      <c r="EK24" s="90">
        <f t="shared" ca="1" si="152"/>
        <v>42.742202264434987</v>
      </c>
      <c r="EL24" s="90">
        <f t="shared" ca="1" si="153"/>
        <v>215.40292824671309</v>
      </c>
      <c r="EM24" s="90">
        <f t="shared" ca="1" si="154"/>
        <v>29.662252632266242</v>
      </c>
      <c r="EN24" s="90">
        <f t="shared" ca="1" si="155"/>
        <v>119.41005953146831</v>
      </c>
      <c r="EO24" s="90">
        <f t="shared" ca="1" si="156"/>
        <v>362.26765438345706</v>
      </c>
      <c r="EP24" s="90">
        <f t="shared" ca="1" si="157"/>
        <v>178.31726959825073</v>
      </c>
      <c r="EQ24" s="90">
        <f t="shared" ca="1" si="158"/>
        <v>127.60904789815721</v>
      </c>
      <c r="ER24" s="90">
        <f t="shared" ca="1" si="159"/>
        <v>46.243810513526533</v>
      </c>
      <c r="ES24" s="90">
        <f t="shared" ca="1" si="160"/>
        <v>125.66401998123976</v>
      </c>
      <c r="ET24" s="90">
        <f t="shared" ca="1" si="161"/>
        <v>22.564798777711015</v>
      </c>
      <c r="EU24" s="90">
        <f t="shared" ca="1" si="162"/>
        <v>11.633971653247379</v>
      </c>
      <c r="EV24" s="90">
        <f t="shared" ca="1" si="163"/>
        <v>214.37481523477234</v>
      </c>
      <c r="EW24" s="90">
        <f t="shared" ca="1" si="164"/>
        <v>83.518859000953213</v>
      </c>
      <c r="EX24" s="90">
        <f t="shared" ca="1" si="165"/>
        <v>21.741493322183217</v>
      </c>
      <c r="EY24" s="90">
        <f t="shared" ca="1" si="166"/>
        <v>201.2477402848244</v>
      </c>
      <c r="EZ24" s="90">
        <f t="shared" ca="1" si="167"/>
        <v>66.909623068655208</v>
      </c>
      <c r="FA24" s="90">
        <f t="shared" ca="1" si="168"/>
        <v>225.11426578735481</v>
      </c>
      <c r="FB24" s="90">
        <f t="shared" ca="1" si="169"/>
        <v>62.509376123057557</v>
      </c>
      <c r="FC24" s="90">
        <f t="shared" ca="1" si="170"/>
        <v>288.57494744161568</v>
      </c>
      <c r="FD24" s="90">
        <f t="shared" ca="1" si="171"/>
        <v>5.7685860411394865</v>
      </c>
      <c r="FE24" s="90">
        <f t="shared" ca="1" si="172"/>
        <v>38.5591887353972</v>
      </c>
      <c r="FF24" s="90">
        <f t="shared" ca="1" si="173"/>
        <v>45.886980237417625</v>
      </c>
      <c r="FG24" s="90">
        <f t="shared" ca="1" si="174"/>
        <v>681.23162046754169</v>
      </c>
      <c r="FH24" s="90">
        <f t="shared" ca="1" si="175"/>
        <v>339.14256871436396</v>
      </c>
      <c r="FI24" s="90">
        <f t="shared" ca="1" si="176"/>
        <v>6.8367003579921892</v>
      </c>
      <c r="FJ24" s="90">
        <f t="shared" ca="1" si="177"/>
        <v>182.24156373888292</v>
      </c>
      <c r="FK24" s="90">
        <f t="shared" ca="1" si="178"/>
        <v>49.164834386981916</v>
      </c>
      <c r="FL24" s="90">
        <f t="shared" ca="1" si="179"/>
        <v>459.00372014910926</v>
      </c>
      <c r="FM24" s="90">
        <f t="shared" ca="1" si="180"/>
        <v>94.875036642441444</v>
      </c>
      <c r="FN24" s="90">
        <f t="shared" ca="1" si="181"/>
        <v>81.879949797884294</v>
      </c>
      <c r="FO24" s="90">
        <f t="shared" ca="1" si="182"/>
        <v>1054.0090584084958</v>
      </c>
      <c r="FP24" s="90">
        <f t="shared" ca="1" si="183"/>
        <v>26.880577264739802</v>
      </c>
      <c r="FQ24" s="90">
        <f t="shared" ca="1" si="184"/>
        <v>68.996909144567951</v>
      </c>
      <c r="FR24" s="90">
        <f t="shared" ca="1" si="185"/>
        <v>57.200634175229467</v>
      </c>
      <c r="FS24" s="90">
        <f t="shared" ca="1" si="186"/>
        <v>77.80864019696989</v>
      </c>
      <c r="FT24" s="90">
        <f t="shared" ca="1" si="187"/>
        <v>49.30729263292929</v>
      </c>
      <c r="FU24" s="90">
        <f t="shared" ca="1" si="188"/>
        <v>160.85261025188365</v>
      </c>
      <c r="FV24" s="90">
        <f t="shared" ca="1" si="189"/>
        <v>93.251711489341517</v>
      </c>
      <c r="FW24" s="90">
        <f t="shared" ca="1" si="190"/>
        <v>10.687408570550671</v>
      </c>
      <c r="FX24" s="90">
        <f t="shared" ca="1" si="191"/>
        <v>232.88298541354348</v>
      </c>
      <c r="FY24" s="90">
        <f t="shared" ca="1" si="192"/>
        <v>190.37593225378458</v>
      </c>
      <c r="FZ24" s="90">
        <f t="shared" ca="1" si="193"/>
        <v>39.330708903612333</v>
      </c>
      <c r="GA24" s="90">
        <f t="shared" ca="1" si="194"/>
        <v>6.0841316938075396</v>
      </c>
      <c r="GB24" s="90">
        <f t="shared" ca="1" si="195"/>
        <v>32.139618305488327</v>
      </c>
      <c r="GC24" s="90">
        <f t="shared" ca="1" si="196"/>
        <v>250.4402824865432</v>
      </c>
      <c r="GD24" s="90">
        <f t="shared" ca="1" si="197"/>
        <v>212.61108738105108</v>
      </c>
      <c r="GE24" s="90">
        <f t="shared" ca="1" si="198"/>
        <v>45.431006953817629</v>
      </c>
      <c r="GF24" s="90">
        <f t="shared" ca="1" si="199"/>
        <v>34.459304996180173</v>
      </c>
      <c r="GG24" s="90">
        <f t="shared" ca="1" si="200"/>
        <v>130.80676652837593</v>
      </c>
      <c r="GH24" s="90">
        <f t="shared" ca="1" si="201"/>
        <v>320.14844343413733</v>
      </c>
      <c r="GI24" s="90">
        <f t="shared" ca="1" si="202"/>
        <v>32.227674036888601</v>
      </c>
      <c r="GJ24" s="90">
        <f t="shared" ca="1" si="203"/>
        <v>19.648283668248368</v>
      </c>
      <c r="GK24" s="90">
        <f t="shared" ca="1" si="204"/>
        <v>391.07242493121493</v>
      </c>
      <c r="GL24" s="90">
        <f t="shared" ca="1" si="205"/>
        <v>114.88859019004533</v>
      </c>
      <c r="GM24" s="90">
        <f t="shared" ca="1" si="206"/>
        <v>7.4166562172644888</v>
      </c>
      <c r="GN24" s="90">
        <f t="shared" ca="1" si="207"/>
        <v>-1.7390377292224579</v>
      </c>
      <c r="GO24" s="90">
        <f t="shared" ca="1" si="208"/>
        <v>43.320682149956696</v>
      </c>
      <c r="GP24" s="90">
        <f t="shared" ca="1" si="209"/>
        <v>374.07717916674443</v>
      </c>
      <c r="GQ24" s="90">
        <f t="shared" ca="1" si="210"/>
        <v>26.018301345330705</v>
      </c>
      <c r="GR24" s="90">
        <f t="shared" ca="1" si="211"/>
        <v>550.31499542248457</v>
      </c>
      <c r="GS24" s="90">
        <f t="shared" ca="1" si="212"/>
        <v>45.498821452846897</v>
      </c>
      <c r="GT24" s="90">
        <f t="shared" ca="1" si="213"/>
        <v>18.938734535007431</v>
      </c>
      <c r="GU24" s="90">
        <f t="shared" ca="1" si="214"/>
        <v>257.46264395698518</v>
      </c>
      <c r="GV24" s="90">
        <f t="shared" ca="1" si="215"/>
        <v>216.71907452012113</v>
      </c>
      <c r="GW24" s="90">
        <f t="shared" ca="1" si="216"/>
        <v>168.68810089711326</v>
      </c>
      <c r="GX24" s="90">
        <f t="shared" ca="1" si="217"/>
        <v>497.75569960031197</v>
      </c>
      <c r="GY24" s="90">
        <f t="shared" ca="1" si="218"/>
        <v>263.80873914534453</v>
      </c>
      <c r="GZ24" s="90">
        <f t="shared" ca="1" si="219"/>
        <v>116.27050318354964</v>
      </c>
      <c r="HA24" s="90">
        <f t="shared" ca="1" si="220"/>
        <v>85.265241821820112</v>
      </c>
      <c r="HB24" s="90">
        <f t="shared" ca="1" si="221"/>
        <v>30.082321333498609</v>
      </c>
      <c r="HC24" s="90">
        <f t="shared" ca="1" si="222"/>
        <v>54.704984748322872</v>
      </c>
      <c r="HD24" s="90">
        <f t="shared" ca="1" si="223"/>
        <v>142.62095757486105</v>
      </c>
      <c r="HE24" s="90">
        <f t="shared" ca="1" si="224"/>
        <v>250.88729648431263</v>
      </c>
      <c r="HF24" s="90">
        <f t="shared" ca="1" si="225"/>
        <v>-1.0539244301425224</v>
      </c>
      <c r="HG24" s="90">
        <f t="shared" ca="1" si="226"/>
        <v>272.71113496494826</v>
      </c>
      <c r="HH24" s="90">
        <f t="shared" ca="1" si="227"/>
        <v>41.488053219686378</v>
      </c>
      <c r="HI24" s="90">
        <f t="shared" ca="1" si="228"/>
        <v>235.68052622574581</v>
      </c>
      <c r="HJ24" s="90">
        <f t="shared" ca="1" si="229"/>
        <v>110.07884288983247</v>
      </c>
      <c r="HK24" s="90">
        <f t="shared" ca="1" si="230"/>
        <v>35.123883863911409</v>
      </c>
      <c r="HL24" s="90">
        <f t="shared" ca="1" si="231"/>
        <v>103.5276501440878</v>
      </c>
      <c r="HM24" s="90">
        <f t="shared" ca="1" si="232"/>
        <v>40.377070356824539</v>
      </c>
      <c r="HN24" s="90">
        <f t="shared" ca="1" si="233"/>
        <v>98.003245515003599</v>
      </c>
      <c r="HO24" s="90">
        <f t="shared" ca="1" si="234"/>
        <v>204.49895726781978</v>
      </c>
      <c r="HP24" s="90">
        <f t="shared" ca="1" si="235"/>
        <v>210.57230570150384</v>
      </c>
      <c r="HQ24" s="90">
        <f t="shared" ca="1" si="236"/>
        <v>85.856452512090115</v>
      </c>
      <c r="HR24" s="90">
        <f t="shared" ca="1" si="237"/>
        <v>76.545660279961751</v>
      </c>
      <c r="HS24" s="90">
        <f t="shared" ca="1" si="238"/>
        <v>56.488971840665087</v>
      </c>
      <c r="HT24" s="90">
        <f t="shared" ca="1" si="239"/>
        <v>38.044589078869173</v>
      </c>
      <c r="HU24" s="90">
        <f t="shared" ca="1" si="240"/>
        <v>17.257163417215899</v>
      </c>
      <c r="HV24" s="90">
        <f t="shared" ca="1" si="241"/>
        <v>58.738458557773306</v>
      </c>
      <c r="HW24" s="90">
        <f t="shared" ca="1" si="242"/>
        <v>98.160286758250876</v>
      </c>
      <c r="HX24" s="90">
        <f t="shared" ca="1" si="243"/>
        <v>120.97412097940524</v>
      </c>
      <c r="HY24" s="90">
        <f t="shared" ca="1" si="244"/>
        <v>633.5584111440055</v>
      </c>
      <c r="HZ24" s="90">
        <f t="shared" ca="1" si="245"/>
        <v>52.399826924640195</v>
      </c>
      <c r="IA24" s="90">
        <f t="shared" ca="1" si="246"/>
        <v>64.972497261108558</v>
      </c>
      <c r="IB24" s="90">
        <f t="shared" ca="1" si="247"/>
        <v>103.21555805933899</v>
      </c>
      <c r="IC24" s="90">
        <f t="shared" ca="1" si="248"/>
        <v>40.632770088118832</v>
      </c>
      <c r="ID24" s="90">
        <f t="shared" ca="1" si="249"/>
        <v>13.782380940642888</v>
      </c>
      <c r="IE24" s="90">
        <f t="shared" ca="1" si="250"/>
        <v>14.928184339021685</v>
      </c>
      <c r="IF24" s="90">
        <f t="shared" ca="1" si="251"/>
        <v>3.2506692215463442</v>
      </c>
      <c r="IG24" s="90">
        <f t="shared" ca="1" si="252"/>
        <v>197.46716382330686</v>
      </c>
      <c r="IH24" s="90">
        <f t="shared" ca="1" si="253"/>
        <v>61.669572599152822</v>
      </c>
      <c r="II24" s="90">
        <f t="shared" ca="1" si="254"/>
        <v>15.202895891049277</v>
      </c>
      <c r="IJ24" s="90">
        <f t="shared" ca="1" si="255"/>
        <v>49.766653600542675</v>
      </c>
      <c r="IK24" s="90">
        <f t="shared" ca="1" si="256"/>
        <v>214.36349234216121</v>
      </c>
      <c r="IL24" s="90">
        <f t="shared" ca="1" si="257"/>
        <v>224.84184656089701</v>
      </c>
      <c r="IM24" s="90">
        <f t="shared" ca="1" si="258"/>
        <v>340.76795741436592</v>
      </c>
      <c r="IN24" s="90">
        <f t="shared" ca="1" si="259"/>
        <v>196.60273895735767</v>
      </c>
      <c r="IO24" s="90">
        <f t="shared" ca="1" si="260"/>
        <v>9.3166707844779406</v>
      </c>
      <c r="IP24" s="90">
        <f t="shared" ca="1" si="261"/>
        <v>42.935283674367881</v>
      </c>
      <c r="IQ24" s="90">
        <f t="shared" ca="1" si="262"/>
        <v>162.77906356862226</v>
      </c>
      <c r="IR24" s="90">
        <f t="shared" ca="1" si="263"/>
        <v>261.65774256426198</v>
      </c>
      <c r="IS24" s="90">
        <f t="shared" ca="1" si="264"/>
        <v>117.61522817802388</v>
      </c>
      <c r="IT24" s="90">
        <f t="shared" ca="1" si="265"/>
        <v>15.960015581723836</v>
      </c>
      <c r="IU24" s="90">
        <f t="shared" ca="1" si="266"/>
        <v>603.00429804485782</v>
      </c>
      <c r="IV24" s="90">
        <f t="shared" ca="1" si="267"/>
        <v>46.330693477481802</v>
      </c>
      <c r="IW24" s="90">
        <f t="shared" ca="1" si="268"/>
        <v>14.54444352661438</v>
      </c>
      <c r="IX24" s="90">
        <f t="shared" ca="1" si="269"/>
        <v>152.40078093898765</v>
      </c>
      <c r="IY24" s="90">
        <f t="shared" ca="1" si="270"/>
        <v>144.84558166209635</v>
      </c>
      <c r="IZ24" s="90">
        <f t="shared" ca="1" si="271"/>
        <v>211.97428496378024</v>
      </c>
      <c r="JA24" s="90">
        <f t="shared" ca="1" si="272"/>
        <v>39.898745543753797</v>
      </c>
      <c r="JB24" s="90">
        <f t="shared" ca="1" si="273"/>
        <v>3.0122897076493089</v>
      </c>
      <c r="JC24" s="90">
        <f t="shared" ca="1" si="274"/>
        <v>21.572721046943528</v>
      </c>
      <c r="JD24" s="90">
        <f t="shared" ca="1" si="275"/>
        <v>86.473432095715324</v>
      </c>
      <c r="JE24" s="90">
        <f t="shared" ca="1" si="276"/>
        <v>38.108937471051419</v>
      </c>
      <c r="JF24" s="90">
        <f t="shared" ca="1" si="277"/>
        <v>34.843869314528206</v>
      </c>
      <c r="JG24" s="90">
        <f t="shared" ca="1" si="278"/>
        <v>216.60308692263587</v>
      </c>
      <c r="JH24" s="90">
        <f t="shared" ca="1" si="279"/>
        <v>21.289402975470715</v>
      </c>
      <c r="JI24" s="90">
        <f t="shared" ca="1" si="280"/>
        <v>26.462393287698063</v>
      </c>
      <c r="JJ24" s="90">
        <f t="shared" ca="1" si="281"/>
        <v>18.116485488397881</v>
      </c>
      <c r="JK24" s="90">
        <f t="shared" ca="1" si="282"/>
        <v>417.74646747903762</v>
      </c>
      <c r="JL24" s="90">
        <f t="shared" ca="1" si="283"/>
        <v>86.679120333586013</v>
      </c>
      <c r="JM24" s="90">
        <f t="shared" ca="1" si="284"/>
        <v>210.1929747076878</v>
      </c>
      <c r="JN24" s="90">
        <f t="shared" ca="1" si="285"/>
        <v>102.44865472998934</v>
      </c>
      <c r="JO24" s="90">
        <f t="shared" ca="1" si="286"/>
        <v>32.061494302174864</v>
      </c>
      <c r="JP24" s="90">
        <f t="shared" ca="1" si="287"/>
        <v>37.339384439108969</v>
      </c>
      <c r="JQ24" s="90">
        <f t="shared" ca="1" si="288"/>
        <v>21.967513350265826</v>
      </c>
      <c r="JR24" s="90">
        <f t="shared" ca="1" si="289"/>
        <v>117.73099743300098</v>
      </c>
      <c r="JS24" s="90">
        <f t="shared" ca="1" si="290"/>
        <v>91.842982479929347</v>
      </c>
      <c r="JT24" s="90">
        <f t="shared" ca="1" si="291"/>
        <v>44.299078283555161</v>
      </c>
      <c r="JU24" s="90">
        <f t="shared" ca="1" si="292"/>
        <v>111.91954418636348</v>
      </c>
      <c r="JV24" s="90">
        <f t="shared" ca="1" si="293"/>
        <v>266.81389105803493</v>
      </c>
      <c r="JW24" s="90">
        <f t="shared" ca="1" si="294"/>
        <v>30.986568548552395</v>
      </c>
      <c r="JX24" s="90">
        <f t="shared" ca="1" si="295"/>
        <v>2.1371644518279224E-2</v>
      </c>
      <c r="JY24" s="90">
        <f t="shared" ca="1" si="296"/>
        <v>76.962394280360598</v>
      </c>
      <c r="JZ24" s="90">
        <f t="shared" ca="1" si="297"/>
        <v>40.510985288248186</v>
      </c>
      <c r="KA24" s="90">
        <f t="shared" ca="1" si="298"/>
        <v>8.9869813201804014</v>
      </c>
      <c r="KB24" s="90">
        <f t="shared" ca="1" si="299"/>
        <v>74.312317977402415</v>
      </c>
      <c r="KC24" s="90">
        <f t="shared" ca="1" si="300"/>
        <v>16.937822370088213</v>
      </c>
      <c r="KD24" s="90">
        <f t="shared" ca="1" si="301"/>
        <v>6.2840767911889479</v>
      </c>
      <c r="KE24" s="90">
        <f t="shared" ca="1" si="302"/>
        <v>30.910295039325479</v>
      </c>
      <c r="KF24" s="90">
        <f t="shared" ca="1" si="303"/>
        <v>47.328396146289435</v>
      </c>
      <c r="KG24" s="90">
        <f t="shared" ca="1" si="304"/>
        <v>120.75621017970246</v>
      </c>
      <c r="KH24" s="90">
        <f t="shared" ca="1" si="305"/>
        <v>559.03985814893019</v>
      </c>
      <c r="KI24" s="90">
        <f t="shared" ca="1" si="306"/>
        <v>18.106037648180909</v>
      </c>
      <c r="KJ24" s="90">
        <f t="shared" ca="1" si="307"/>
        <v>267.04159933587601</v>
      </c>
      <c r="KK24" s="90">
        <f t="shared" ca="1" si="308"/>
        <v>42.310500460299409</v>
      </c>
      <c r="KL24" s="90">
        <f t="shared" ca="1" si="309"/>
        <v>6.4660049078963535</v>
      </c>
      <c r="KM24" s="90">
        <f t="shared" ca="1" si="310"/>
        <v>93.814601622772543</v>
      </c>
      <c r="KN24" s="90">
        <f t="shared" ca="1" si="311"/>
        <v>165.39033501824611</v>
      </c>
      <c r="KO24" s="90">
        <f t="shared" ca="1" si="312"/>
        <v>145.45794682938885</v>
      </c>
      <c r="KP24" s="90">
        <f t="shared" ca="1" si="313"/>
        <v>189.58511086357032</v>
      </c>
      <c r="KQ24" s="90">
        <f t="shared" ca="1" si="314"/>
        <v>82.931992493579969</v>
      </c>
      <c r="KR24" s="90">
        <f t="shared" ca="1" si="315"/>
        <v>70.609070842438967</v>
      </c>
      <c r="KS24" s="90">
        <f t="shared" ca="1" si="316"/>
        <v>82.851614104099554</v>
      </c>
      <c r="KT24" s="90">
        <f t="shared" ca="1" si="317"/>
        <v>71.528915037696493</v>
      </c>
      <c r="KU24" s="90">
        <f t="shared" ca="1" si="318"/>
        <v>25.060912059996692</v>
      </c>
      <c r="KV24" s="90">
        <f t="shared" ca="1" si="319"/>
        <v>51.716914343496192</v>
      </c>
      <c r="KW24" s="90">
        <f t="shared" ca="1" si="320"/>
        <v>97.115447133163812</v>
      </c>
      <c r="KX24" s="90">
        <f t="shared" ca="1" si="321"/>
        <v>41.956209520737232</v>
      </c>
      <c r="KY24" s="90">
        <f t="shared" ca="1" si="322"/>
        <v>73.83725131518375</v>
      </c>
      <c r="KZ24" s="90">
        <f t="shared" ca="1" si="323"/>
        <v>32.47145697487386</v>
      </c>
      <c r="LA24" s="90">
        <f t="shared" ca="1" si="324"/>
        <v>148.67339767296636</v>
      </c>
      <c r="LB24" s="90">
        <f t="shared" ca="1" si="325"/>
        <v>58.438676903402964</v>
      </c>
      <c r="LC24" s="90">
        <f t="shared" ca="1" si="326"/>
        <v>-65.694341398528621</v>
      </c>
      <c r="LD24" s="90">
        <f t="shared" ca="1" si="327"/>
        <v>151.20696464043431</v>
      </c>
      <c r="LE24" s="90">
        <f t="shared" ca="1" si="328"/>
        <v>159.612953282348</v>
      </c>
      <c r="LF24" s="90">
        <f t="shared" ca="1" si="329"/>
        <v>2.9534149854897334</v>
      </c>
      <c r="LG24" s="90">
        <f t="shared" ca="1" si="330"/>
        <v>158.29142485253684</v>
      </c>
      <c r="LH24" s="90">
        <f t="shared" ca="1" si="331"/>
        <v>59.719557801520381</v>
      </c>
      <c r="LI24" s="90">
        <f t="shared" ca="1" si="332"/>
        <v>105.73567631118789</v>
      </c>
      <c r="LJ24" s="90">
        <f t="shared" ca="1" si="333"/>
        <v>47.78891736465588</v>
      </c>
      <c r="LK24" s="90">
        <f t="shared" ca="1" si="334"/>
        <v>17.381429264920229</v>
      </c>
      <c r="LL24" s="90">
        <f t="shared" ca="1" si="335"/>
        <v>124.6344053907453</v>
      </c>
      <c r="LM24" s="90">
        <f t="shared" ca="1" si="336"/>
        <v>128.00356534117751</v>
      </c>
      <c r="LN24" s="90">
        <f t="shared" ca="1" si="337"/>
        <v>3.3292586860350895</v>
      </c>
      <c r="LO24" s="90">
        <f t="shared" ca="1" si="338"/>
        <v>147.49858140520536</v>
      </c>
      <c r="LP24" s="90">
        <f t="shared" ca="1" si="339"/>
        <v>4.1701895604044026</v>
      </c>
      <c r="LQ24" s="90">
        <f t="shared" ca="1" si="340"/>
        <v>65.30835723410604</v>
      </c>
      <c r="LR24" s="90">
        <f t="shared" ca="1" si="341"/>
        <v>65.257180233291436</v>
      </c>
      <c r="LS24" s="90">
        <f t="shared" ca="1" si="342"/>
        <v>149.33420977889199</v>
      </c>
      <c r="LT24" s="90">
        <f t="shared" ca="1" si="343"/>
        <v>26.558061468428665</v>
      </c>
      <c r="LU24" s="90">
        <f t="shared" ca="1" si="344"/>
        <v>366.57254946603729</v>
      </c>
      <c r="LV24" s="90">
        <f t="shared" ca="1" si="345"/>
        <v>217.19674817211981</v>
      </c>
      <c r="LW24" s="90">
        <f t="shared" ca="1" si="346"/>
        <v>130.06510086956862</v>
      </c>
      <c r="LX24" s="90">
        <f t="shared" ca="1" si="347"/>
        <v>77.645297334409094</v>
      </c>
      <c r="LY24" s="90">
        <f t="shared" ca="1" si="348"/>
        <v>49.139763482016363</v>
      </c>
      <c r="LZ24" s="90">
        <f t="shared" ca="1" si="349"/>
        <v>154.44577106169118</v>
      </c>
      <c r="MA24" s="90">
        <f t="shared" ca="1" si="350"/>
        <v>68.069317076580504</v>
      </c>
      <c r="MB24" s="90">
        <f t="shared" ca="1" si="351"/>
        <v>1.1569437301331145</v>
      </c>
      <c r="MC24" s="90">
        <f t="shared" ca="1" si="352"/>
        <v>51.297129371082519</v>
      </c>
      <c r="MD24" s="90">
        <f t="shared" ca="1" si="353"/>
        <v>625.67883551108639</v>
      </c>
      <c r="ME24" s="90">
        <f t="shared" ca="1" si="354"/>
        <v>54.009778164690893</v>
      </c>
      <c r="MF24" s="90">
        <f t="shared" ca="1" si="355"/>
        <v>167.05273695949754</v>
      </c>
      <c r="MG24" s="90">
        <f t="shared" ca="1" si="356"/>
        <v>77.421820482881245</v>
      </c>
      <c r="MH24" s="90">
        <f t="shared" ca="1" si="357"/>
        <v>40.35921233630522</v>
      </c>
      <c r="MI24" s="90">
        <f t="shared" ca="1" si="358"/>
        <v>22.386248238610957</v>
      </c>
      <c r="MJ24" s="90">
        <f t="shared" ca="1" si="359"/>
        <v>33.905023443098699</v>
      </c>
      <c r="MK24" s="90">
        <f t="shared" ca="1" si="360"/>
        <v>82.873766090917741</v>
      </c>
      <c r="ML24" s="90">
        <f t="shared" ca="1" si="361"/>
        <v>242.821891870391</v>
      </c>
      <c r="MM24" s="90">
        <f t="shared" ca="1" si="362"/>
        <v>187.02807517066356</v>
      </c>
      <c r="MN24" s="90">
        <f t="shared" ca="1" si="363"/>
        <v>200.83286352571642</v>
      </c>
      <c r="MO24" s="90">
        <f t="shared" ca="1" si="364"/>
        <v>307.4088282447529</v>
      </c>
      <c r="MP24" s="90">
        <f t="shared" ca="1" si="365"/>
        <v>117.17649864802502</v>
      </c>
      <c r="MQ24" s="90">
        <f t="shared" ca="1" si="366"/>
        <v>64.942842419487562</v>
      </c>
      <c r="MR24" s="90">
        <f t="shared" ca="1" si="367"/>
        <v>68.974587150334543</v>
      </c>
      <c r="MS24" s="90">
        <f t="shared" ca="1" si="368"/>
        <v>81.1808097744279</v>
      </c>
      <c r="MT24" s="90">
        <f t="shared" ca="1" si="369"/>
        <v>29.142866893031467</v>
      </c>
      <c r="MU24" s="90">
        <f t="shared" ca="1" si="370"/>
        <v>64.151895239135513</v>
      </c>
      <c r="MV24" s="90">
        <f t="shared" ca="1" si="371"/>
        <v>292.63719034411281</v>
      </c>
      <c r="MW24" s="90">
        <f t="shared" ca="1" si="372"/>
        <v>50.667857425549734</v>
      </c>
      <c r="MX24" s="90">
        <f t="shared" ca="1" si="373"/>
        <v>159.40166679616354</v>
      </c>
      <c r="MY24" s="90">
        <f t="shared" ca="1" si="374"/>
        <v>114.43861165876237</v>
      </c>
      <c r="MZ24" s="90">
        <f t="shared" ca="1" si="375"/>
        <v>90.426997965163935</v>
      </c>
      <c r="NA24" s="90">
        <f t="shared" ca="1" si="376"/>
        <v>370.01931232894424</v>
      </c>
      <c r="NB24" s="90">
        <f t="shared" ca="1" si="377"/>
        <v>32.726074954915674</v>
      </c>
      <c r="NC24" s="90">
        <f t="shared" ca="1" si="378"/>
        <v>11.500147549090331</v>
      </c>
      <c r="ND24" s="90">
        <f t="shared" ca="1" si="379"/>
        <v>142.37826675032932</v>
      </c>
      <c r="NE24" s="90">
        <f t="shared" ca="1" si="380"/>
        <v>315.65154335261502</v>
      </c>
      <c r="NF24" s="90">
        <f t="shared" ca="1" si="381"/>
        <v>28.860849132120748</v>
      </c>
      <c r="NG24" s="90">
        <f t="shared" ca="1" si="382"/>
        <v>15.275600607791427</v>
      </c>
      <c r="NH24" s="90">
        <f t="shared" ca="1" si="383"/>
        <v>25.863563003203691</v>
      </c>
      <c r="NI24" s="90">
        <f t="shared" ca="1" si="384"/>
        <v>201.29087298116053</v>
      </c>
      <c r="NJ24" s="90">
        <f t="shared" ca="1" si="385"/>
        <v>339.50716964301387</v>
      </c>
      <c r="NK24" s="90">
        <f t="shared" ca="1" si="386"/>
        <v>30.390781446467507</v>
      </c>
      <c r="NL24" s="90">
        <f t="shared" ca="1" si="387"/>
        <v>512.29228265734025</v>
      </c>
      <c r="NM24" s="90">
        <f t="shared" ca="1" si="388"/>
        <v>57.950222029980658</v>
      </c>
      <c r="NN24" s="90">
        <f t="shared" ca="1" si="389"/>
        <v>15.155554855191179</v>
      </c>
      <c r="NO24" s="90">
        <f t="shared" ca="1" si="390"/>
        <v>126.35897999969296</v>
      </c>
      <c r="NP24" s="90">
        <f t="shared" ca="1" si="391"/>
        <v>34.912895370887888</v>
      </c>
      <c r="NQ24" s="90">
        <f t="shared" ca="1" si="392"/>
        <v>22.841500422681026</v>
      </c>
      <c r="NR24" s="90">
        <f t="shared" ca="1" si="393"/>
        <v>187.99378503096003</v>
      </c>
      <c r="NS24" s="90">
        <f t="shared" ca="1" si="394"/>
        <v>-53.861234825299604</v>
      </c>
      <c r="NT24" s="90">
        <f t="shared" ca="1" si="395"/>
        <v>-2.1665340846024019</v>
      </c>
      <c r="NU24" s="90">
        <f t="shared" ca="1" si="396"/>
        <v>56.094299271558313</v>
      </c>
      <c r="NV24" s="90">
        <f t="shared" ca="1" si="397"/>
        <v>38.455679670536632</v>
      </c>
      <c r="NW24" s="90">
        <f t="shared" ca="1" si="398"/>
        <v>314.98514238351368</v>
      </c>
      <c r="NX24" s="90">
        <f t="shared" ca="1" si="399"/>
        <v>114.8288240046047</v>
      </c>
      <c r="NY24" s="90">
        <f t="shared" ca="1" si="400"/>
        <v>-10.89380587114672</v>
      </c>
      <c r="NZ24" s="90">
        <f t="shared" ca="1" si="401"/>
        <v>187.04424693963605</v>
      </c>
      <c r="OA24" s="90">
        <f t="shared" ca="1" si="402"/>
        <v>163.0159488810215</v>
      </c>
      <c r="OB24" s="90">
        <f t="shared" ca="1" si="403"/>
        <v>57.257939980241801</v>
      </c>
      <c r="OC24" s="90">
        <f t="shared" ca="1" si="404"/>
        <v>394.21480751657612</v>
      </c>
      <c r="OD24" s="90">
        <f t="shared" ca="1" si="405"/>
        <v>112.34509855062819</v>
      </c>
      <c r="OE24" s="90">
        <f t="shared" ca="1" si="406"/>
        <v>37.527095718252546</v>
      </c>
      <c r="OF24" s="90">
        <f t="shared" ca="1" si="407"/>
        <v>15.450050273337732</v>
      </c>
      <c r="OG24" s="90">
        <f t="shared" ca="1" si="408"/>
        <v>8.21909572796174</v>
      </c>
      <c r="OH24" s="90">
        <f t="shared" ca="1" si="409"/>
        <v>61.077245436936643</v>
      </c>
      <c r="OI24" s="90">
        <f t="shared" ca="1" si="410"/>
        <v>16.611690312494268</v>
      </c>
      <c r="OJ24" s="90">
        <f t="shared" ca="1" si="411"/>
        <v>-2.7500797751487194</v>
      </c>
      <c r="OK24" s="90">
        <f t="shared" ca="1" si="412"/>
        <v>40.518767002234327</v>
      </c>
      <c r="OL24" s="90">
        <f t="shared" ca="1" si="413"/>
        <v>114.46017210374835</v>
      </c>
      <c r="OM24" s="90">
        <f t="shared" ca="1" si="414"/>
        <v>96.266711759937479</v>
      </c>
      <c r="ON24" s="90">
        <f t="shared" ca="1" si="415"/>
        <v>146.01972774574671</v>
      </c>
      <c r="OO24" s="90">
        <f t="shared" ca="1" si="416"/>
        <v>43.164229999678454</v>
      </c>
      <c r="OP24" s="90">
        <f t="shared" ca="1" si="417"/>
        <v>31.484594264414895</v>
      </c>
      <c r="OQ24" s="90">
        <f t="shared" ca="1" si="418"/>
        <v>117.59321579550016</v>
      </c>
      <c r="OR24" s="90">
        <f t="shared" ca="1" si="419"/>
        <v>109.77348800358392</v>
      </c>
      <c r="OS24" s="90">
        <f t="shared" ca="1" si="420"/>
        <v>211.61761220227999</v>
      </c>
      <c r="OT24" s="90">
        <f t="shared" ca="1" si="421"/>
        <v>49.070332255192739</v>
      </c>
      <c r="OU24" s="90">
        <f t="shared" ca="1" si="422"/>
        <v>207.63577304671742</v>
      </c>
      <c r="OV24" s="90">
        <f t="shared" ca="1" si="423"/>
        <v>231.06332603666189</v>
      </c>
      <c r="OW24" s="90">
        <f t="shared" ca="1" si="424"/>
        <v>38.562605288603841</v>
      </c>
      <c r="OX24" s="90">
        <f t="shared" ca="1" si="425"/>
        <v>16.049780981472757</v>
      </c>
      <c r="OY24" s="90">
        <f t="shared" ca="1" si="426"/>
        <v>67.617414198587284</v>
      </c>
      <c r="OZ24" s="90">
        <f t="shared" ca="1" si="427"/>
        <v>6.5046090775974079</v>
      </c>
      <c r="PA24" s="90">
        <f t="shared" ca="1" si="428"/>
        <v>229.04436851965585</v>
      </c>
      <c r="PB24" s="90">
        <f t="shared" ca="1" si="429"/>
        <v>198.14206395732552</v>
      </c>
      <c r="PC24" s="90">
        <f t="shared" ca="1" si="430"/>
        <v>12.66293907948271</v>
      </c>
      <c r="PD24" s="90">
        <f t="shared" ca="1" si="431"/>
        <v>40.120554722687324</v>
      </c>
      <c r="PE24" s="90">
        <f t="shared" ca="1" si="432"/>
        <v>48.594022737824993</v>
      </c>
      <c r="PF24" s="90">
        <f t="shared" ca="1" si="433"/>
        <v>24.712084195778413</v>
      </c>
      <c r="PG24" s="90">
        <f t="shared" ca="1" si="434"/>
        <v>15.796123377392151</v>
      </c>
      <c r="PH24" s="90">
        <f t="shared" ca="1" si="435"/>
        <v>122.67959809518769</v>
      </c>
      <c r="PI24" s="90">
        <f t="shared" ca="1" si="436"/>
        <v>12.751771227157899</v>
      </c>
      <c r="PJ24" s="90">
        <f t="shared" ca="1" si="437"/>
        <v>557.68239827113564</v>
      </c>
      <c r="PK24" s="90">
        <f t="shared" ca="1" si="438"/>
        <v>82.882181464865511</v>
      </c>
      <c r="PL24" s="90">
        <f t="shared" ca="1" si="439"/>
        <v>140.32740600366603</v>
      </c>
      <c r="PM24" s="90">
        <f t="shared" ca="1" si="440"/>
        <v>250.41684317759174</v>
      </c>
      <c r="PN24" s="90">
        <f t="shared" ca="1" si="441"/>
        <v>20.873902899472753</v>
      </c>
      <c r="PO24" s="90">
        <f t="shared" ca="1" si="442"/>
        <v>89.370877359791606</v>
      </c>
      <c r="PP24" s="90">
        <f t="shared" ca="1" si="443"/>
        <v>35.945635410864817</v>
      </c>
      <c r="PQ24" s="90">
        <f t="shared" ca="1" si="444"/>
        <v>290.70069292735553</v>
      </c>
      <c r="PR24" s="90">
        <f t="shared" ca="1" si="445"/>
        <v>102.1811346981853</v>
      </c>
      <c r="PS24" s="90">
        <f t="shared" ca="1" si="446"/>
        <v>16.138994936151331</v>
      </c>
      <c r="PT24" s="90">
        <f t="shared" ca="1" si="447"/>
        <v>85.815670142558517</v>
      </c>
      <c r="PU24" s="90">
        <f t="shared" ca="1" si="448"/>
        <v>22.912815642914858</v>
      </c>
      <c r="PV24" s="90">
        <f t="shared" ca="1" si="449"/>
        <v>73.615860888799517</v>
      </c>
      <c r="PW24" s="90">
        <f t="shared" ca="1" si="450"/>
        <v>414.19536541800647</v>
      </c>
      <c r="PX24" s="90">
        <f t="shared" ca="1" si="451"/>
        <v>102.01678604658321</v>
      </c>
      <c r="PY24" s="90">
        <f t="shared" ca="1" si="452"/>
        <v>152.08224839137986</v>
      </c>
      <c r="PZ24" s="90">
        <f t="shared" ca="1" si="453"/>
        <v>63.05289640005617</v>
      </c>
      <c r="QA24" s="90">
        <f t="shared" ca="1" si="454"/>
        <v>165.87234433224839</v>
      </c>
      <c r="QB24" s="90">
        <f t="shared" ca="1" si="455"/>
        <v>75.860749310969425</v>
      </c>
      <c r="QC24" s="90">
        <f t="shared" ca="1" si="456"/>
        <v>33.903860694284312</v>
      </c>
      <c r="QD24" s="90">
        <f t="shared" ca="1" si="457"/>
        <v>88.270647249133262</v>
      </c>
      <c r="QE24" s="90">
        <f t="shared" ca="1" si="458"/>
        <v>46.583511187376779</v>
      </c>
      <c r="QF24" s="90">
        <f t="shared" ca="1" si="459"/>
        <v>51.816541920899908</v>
      </c>
      <c r="QG24" s="90">
        <f t="shared" ca="1" si="460"/>
        <v>118.34667831767518</v>
      </c>
      <c r="QH24" s="90">
        <f t="shared" ca="1" si="461"/>
        <v>103.35849541982256</v>
      </c>
      <c r="QI24" s="90">
        <f t="shared" ca="1" si="462"/>
        <v>139.3560954976243</v>
      </c>
      <c r="QJ24" s="90">
        <f t="shared" ca="1" si="463"/>
        <v>108.82073731642269</v>
      </c>
      <c r="QK24" s="90">
        <f t="shared" ca="1" si="464"/>
        <v>238.48372646277531</v>
      </c>
      <c r="QL24" s="90">
        <f t="shared" ca="1" si="465"/>
        <v>259.52833883928088</v>
      </c>
      <c r="QM24" s="90">
        <f t="shared" ca="1" si="466"/>
        <v>79.737772162693389</v>
      </c>
      <c r="QN24" s="90">
        <f t="shared" ca="1" si="467"/>
        <v>34.200354301116946</v>
      </c>
      <c r="QO24" s="90">
        <f t="shared" ca="1" si="468"/>
        <v>48.465723339109495</v>
      </c>
      <c r="QP24" s="90">
        <f t="shared" ca="1" si="469"/>
        <v>200.86759845201442</v>
      </c>
      <c r="QQ24" s="90">
        <f t="shared" ca="1" si="470"/>
        <v>275.32823111455514</v>
      </c>
      <c r="QR24" s="90">
        <f t="shared" ca="1" si="471"/>
        <v>601.27134289708249</v>
      </c>
      <c r="QS24" s="90">
        <f t="shared" ca="1" si="472"/>
        <v>301.53428538081744</v>
      </c>
      <c r="QT24" s="90">
        <f t="shared" ca="1" si="473"/>
        <v>216.2074725234302</v>
      </c>
      <c r="QU24" s="90">
        <f t="shared" ca="1" si="474"/>
        <v>342.97806612964092</v>
      </c>
      <c r="QV24" s="90">
        <f t="shared" ca="1" si="475"/>
        <v>174.85013619932693</v>
      </c>
      <c r="QW24" s="90">
        <f t="shared" ca="1" si="476"/>
        <v>-13.693577596929472</v>
      </c>
      <c r="QX24" s="90">
        <f t="shared" ca="1" si="477"/>
        <v>128.39158131105259</v>
      </c>
      <c r="QY24" s="90">
        <f t="shared" ca="1" si="478"/>
        <v>193.27917832978781</v>
      </c>
      <c r="QZ24" s="90">
        <f t="shared" ca="1" si="479"/>
        <v>80.423954402688764</v>
      </c>
      <c r="RA24" s="90">
        <f t="shared" ca="1" si="480"/>
        <v>548.40462134571987</v>
      </c>
      <c r="RB24" s="90">
        <f t="shared" ca="1" si="481"/>
        <v>85.201350563354396</v>
      </c>
      <c r="RC24" s="90">
        <f t="shared" ca="1" si="482"/>
        <v>4.9061715101545451E-2</v>
      </c>
      <c r="RD24" s="90">
        <f t="shared" ca="1" si="483"/>
        <v>-16.865041016867739</v>
      </c>
      <c r="RE24" s="90">
        <f t="shared" ca="1" si="484"/>
        <v>77.42631820601602</v>
      </c>
      <c r="RF24" s="90">
        <f t="shared" ca="1" si="485"/>
        <v>761.0074744714758</v>
      </c>
      <c r="RG24" s="90">
        <f t="shared" ca="1" si="486"/>
        <v>68.82498189315956</v>
      </c>
      <c r="RH24" s="90">
        <f t="shared" ca="1" si="487"/>
        <v>114.82675753133012</v>
      </c>
      <c r="RI24" s="90">
        <f t="shared" ca="1" si="488"/>
        <v>72.909565297223921</v>
      </c>
      <c r="RJ24" s="90">
        <f t="shared" ca="1" si="489"/>
        <v>96.070284003242762</v>
      </c>
      <c r="RK24" s="90">
        <f t="shared" ca="1" si="490"/>
        <v>5.848790797544468</v>
      </c>
      <c r="RL24" s="90">
        <f t="shared" ca="1" si="491"/>
        <v>3.8895750112100718</v>
      </c>
      <c r="RM24" s="90">
        <f t="shared" ca="1" si="492"/>
        <v>27.191898357401811</v>
      </c>
      <c r="RN24" s="90">
        <f t="shared" ca="1" si="493"/>
        <v>61.906154492205943</v>
      </c>
      <c r="RO24" s="90">
        <f t="shared" ca="1" si="494"/>
        <v>91.104549068463129</v>
      </c>
      <c r="RP24" s="90">
        <f t="shared" ca="1" si="495"/>
        <v>349.33966809097319</v>
      </c>
      <c r="RQ24" s="90">
        <f t="shared" ca="1" si="496"/>
        <v>220.51763274443655</v>
      </c>
      <c r="RR24" s="90">
        <f t="shared" ca="1" si="497"/>
        <v>27.410832724443956</v>
      </c>
      <c r="RS24" s="90">
        <f t="shared" ca="1" si="498"/>
        <v>46.150786927375037</v>
      </c>
      <c r="RT24" s="90">
        <f t="shared" ca="1" si="499"/>
        <v>53.745376784682364</v>
      </c>
      <c r="RU24" s="90">
        <f t="shared" ca="1" si="500"/>
        <v>119.39544614347341</v>
      </c>
      <c r="RV24" s="90">
        <f t="shared" ca="1" si="501"/>
        <v>105.58728934296072</v>
      </c>
      <c r="RW24" s="90">
        <f t="shared" ca="1" si="502"/>
        <v>67.171830323188914</v>
      </c>
      <c r="RX24" s="90">
        <f t="shared" ca="1" si="503"/>
        <v>27.172634592770528</v>
      </c>
      <c r="RY24" s="90">
        <f t="shared" ca="1" si="504"/>
        <v>77.690397033331124</v>
      </c>
      <c r="RZ24" s="90">
        <f t="shared" ca="1" si="505"/>
        <v>40.287706053038107</v>
      </c>
      <c r="SA24" s="90">
        <f t="shared" ca="1" si="506"/>
        <v>123.94877227998791</v>
      </c>
      <c r="SB24" s="90">
        <f t="shared" ca="1" si="507"/>
        <v>31.037220749430386</v>
      </c>
      <c r="SC24" s="90">
        <f t="shared" ca="1" si="508"/>
        <v>54.025723462438634</v>
      </c>
      <c r="SD24" s="90">
        <f t="shared" ca="1" si="509"/>
        <v>22.989446222577705</v>
      </c>
      <c r="SE24" s="90">
        <f t="shared" ca="1" si="510"/>
        <v>11.566891822486692</v>
      </c>
      <c r="SF24" s="90">
        <f t="shared" ca="1" si="511"/>
        <v>99.672771037625139</v>
      </c>
      <c r="SG24" s="90">
        <f t="shared" ca="1" si="512"/>
        <v>493.13577634688698</v>
      </c>
      <c r="SH24" s="90">
        <f t="shared" ca="1" si="513"/>
        <v>223.4214750803028</v>
      </c>
      <c r="SI24" s="90">
        <f t="shared" ca="1" si="514"/>
        <v>16.528415530105772</v>
      </c>
      <c r="SJ24" s="90">
        <f t="shared" ca="1" si="515"/>
        <v>32.376627200720186</v>
      </c>
      <c r="SK24" s="90">
        <f t="shared" ca="1" si="516"/>
        <v>241.66986014064685</v>
      </c>
      <c r="SL24" s="90">
        <f t="shared" ca="1" si="517"/>
        <v>46.308081510277042</v>
      </c>
      <c r="SM24" s="90">
        <f t="shared" ca="1" si="518"/>
        <v>8.7515220034991046</v>
      </c>
      <c r="SN24" s="90">
        <f t="shared" ca="1" si="519"/>
        <v>31.199085820643827</v>
      </c>
      <c r="SO24" s="90">
        <f t="shared" ca="1" si="520"/>
        <v>141.40057566857516</v>
      </c>
      <c r="SP24" s="90">
        <f t="shared" ca="1" si="521"/>
        <v>181.63503565940684</v>
      </c>
      <c r="SQ24" s="90">
        <f t="shared" ca="1" si="522"/>
        <v>151.1257509916359</v>
      </c>
      <c r="SR24" s="90">
        <f t="shared" ca="1" si="523"/>
        <v>34.663509160360832</v>
      </c>
      <c r="SS24" s="90">
        <f t="shared" ca="1" si="524"/>
        <v>19.820868894555542</v>
      </c>
      <c r="ST24" s="90">
        <f t="shared" ca="1" si="525"/>
        <v>116.18221877710718</v>
      </c>
      <c r="SU24" s="90">
        <f t="shared" ca="1" si="526"/>
        <v>557.06712669640433</v>
      </c>
      <c r="SV24" s="90">
        <f t="shared" ca="1" si="527"/>
        <v>23.210095635583091</v>
      </c>
      <c r="SW24" s="90">
        <f t="shared" ca="1" si="528"/>
        <v>477.56510956123765</v>
      </c>
      <c r="SX24" s="90">
        <f t="shared" ca="1" si="529"/>
        <v>12.546156551692251</v>
      </c>
      <c r="SY24" s="90">
        <f t="shared" ca="1" si="530"/>
        <v>124.25021118873912</v>
      </c>
      <c r="SZ24" s="90">
        <f t="shared" ca="1" si="531"/>
        <v>27.662582287734434</v>
      </c>
      <c r="TA24" s="90">
        <f t="shared" ca="1" si="532"/>
        <v>193.25724997672509</v>
      </c>
      <c r="TB24" s="90">
        <f t="shared" ca="1" si="533"/>
        <v>182.49262650211136</v>
      </c>
      <c r="TC24" s="90">
        <f t="shared" ca="1" si="534"/>
        <v>162.71948722670146</v>
      </c>
      <c r="TD24" s="90">
        <f t="shared" ca="1" si="535"/>
        <v>328.17566609649595</v>
      </c>
      <c r="TE24" s="90">
        <f t="shared" ca="1" si="536"/>
        <v>60.944660627336596</v>
      </c>
      <c r="TF24" s="90">
        <f t="shared" ca="1" si="537"/>
        <v>1.5263365807377101</v>
      </c>
      <c r="TG24" s="90">
        <f t="shared" ca="1" si="538"/>
        <v>23.454310175064595</v>
      </c>
      <c r="TH24" s="90">
        <f t="shared" ca="1" si="539"/>
        <v>10.508822911927966</v>
      </c>
      <c r="TI24" s="90">
        <f t="shared" ca="1" si="540"/>
        <v>122.03555432201611</v>
      </c>
      <c r="TJ24" s="90">
        <f t="shared" ca="1" si="541"/>
        <v>184.70835810101892</v>
      </c>
      <c r="TK24" s="90">
        <f t="shared" ca="1" si="542"/>
        <v>16.620800550464882</v>
      </c>
      <c r="TL24" s="90">
        <f t="shared" ca="1" si="543"/>
        <v>16.202916482198169</v>
      </c>
      <c r="TM24" s="90">
        <f t="shared" ca="1" si="544"/>
        <v>-10.686670917755285</v>
      </c>
      <c r="TN24" s="90">
        <f t="shared" ca="1" si="545"/>
        <v>5.5338008124790603</v>
      </c>
      <c r="TO24" s="90">
        <f t="shared" ca="1" si="546"/>
        <v>28.696498349010202</v>
      </c>
      <c r="TP24" s="90">
        <f t="shared" ca="1" si="547"/>
        <v>56.069220434762386</v>
      </c>
      <c r="TQ24" s="90">
        <f t="shared" ca="1" si="548"/>
        <v>66.484948855174864</v>
      </c>
      <c r="TR24" s="90">
        <f t="shared" ca="1" si="549"/>
        <v>74.894929685305897</v>
      </c>
      <c r="TS24" s="90">
        <f t="shared" ca="1" si="550"/>
        <v>46.264750943962149</v>
      </c>
      <c r="TT24" s="90">
        <f t="shared" ca="1" si="551"/>
        <v>135.21905218221454</v>
      </c>
      <c r="TU24" s="90">
        <f t="shared" ca="1" si="552"/>
        <v>228.81852205091602</v>
      </c>
      <c r="TV24" s="90">
        <f t="shared" ca="1" si="553"/>
        <v>114.82368778104166</v>
      </c>
      <c r="TW24" s="90">
        <f t="shared" ca="1" si="554"/>
        <v>44.893616533801556</v>
      </c>
      <c r="TX24" s="90">
        <f t="shared" ca="1" si="555"/>
        <v>20.266642700767711</v>
      </c>
      <c r="TY24" s="90">
        <f t="shared" ca="1" si="556"/>
        <v>147.62779181969992</v>
      </c>
      <c r="TZ24" s="90">
        <f t="shared" ca="1" si="557"/>
        <v>-5.4579466137581685</v>
      </c>
      <c r="UA24" s="90">
        <f t="shared" ca="1" si="558"/>
        <v>59.845223401592357</v>
      </c>
      <c r="UB24" s="90">
        <f t="shared" ca="1" si="559"/>
        <v>16.008659543970616</v>
      </c>
      <c r="UC24" s="90">
        <f t="shared" ca="1" si="560"/>
        <v>75.184817301561097</v>
      </c>
      <c r="UD24" s="90">
        <f t="shared" ca="1" si="561"/>
        <v>324.05106952746519</v>
      </c>
      <c r="UE24" s="90">
        <f t="shared" ca="1" si="562"/>
        <v>126.07952733637019</v>
      </c>
      <c r="UF24" s="90">
        <f t="shared" ca="1" si="563"/>
        <v>91.382954350487452</v>
      </c>
      <c r="UG24" s="90">
        <f t="shared" ca="1" si="564"/>
        <v>105.25886222669817</v>
      </c>
      <c r="UH24" s="90">
        <f t="shared" ca="1" si="565"/>
        <v>59.898740939152574</v>
      </c>
      <c r="UI24" s="90">
        <f t="shared" ca="1" si="566"/>
        <v>408.79238854535924</v>
      </c>
      <c r="UJ24" s="90">
        <f t="shared" ca="1" si="567"/>
        <v>31.474515970875149</v>
      </c>
      <c r="UK24" s="90">
        <f t="shared" ca="1" si="568"/>
        <v>9.8733426595841962</v>
      </c>
      <c r="UL24" s="90">
        <f t="shared" ca="1" si="569"/>
        <v>41.324988616476496</v>
      </c>
      <c r="UM24" s="90">
        <f t="shared" ca="1" si="570"/>
        <v>17.553035655160965</v>
      </c>
      <c r="UN24" s="90">
        <f t="shared" ca="1" si="571"/>
        <v>179.49668661224851</v>
      </c>
      <c r="UO24" s="90">
        <f t="shared" ca="1" si="572"/>
        <v>143.69434777640851</v>
      </c>
      <c r="UP24" s="90">
        <f t="shared" ca="1" si="573"/>
        <v>159.2597383343861</v>
      </c>
      <c r="UQ24" s="90">
        <f t="shared" ca="1" si="574"/>
        <v>250.28739529965966</v>
      </c>
      <c r="UR24" s="90">
        <f t="shared" ca="1" si="575"/>
        <v>172.92876318787501</v>
      </c>
      <c r="US24" s="90">
        <f t="shared" ca="1" si="576"/>
        <v>106.5139350946902</v>
      </c>
      <c r="UT24" s="90">
        <f t="shared" ca="1" si="577"/>
        <v>200.53302539858166</v>
      </c>
      <c r="UU24" s="90">
        <f t="shared" ca="1" si="578"/>
        <v>1.162216268466562</v>
      </c>
      <c r="UV24" s="90">
        <f t="shared" ca="1" si="579"/>
        <v>106.2288870477142</v>
      </c>
      <c r="UW24" s="90">
        <f t="shared" ca="1" si="580"/>
        <v>22.947351214219246</v>
      </c>
      <c r="UX24" s="90">
        <f t="shared" ca="1" si="581"/>
        <v>100.47122934669686</v>
      </c>
      <c r="UY24" s="90">
        <f t="shared" ca="1" si="582"/>
        <v>479.49836921197175</v>
      </c>
      <c r="UZ24" s="90">
        <f t="shared" ca="1" si="583"/>
        <v>401.93611976053057</v>
      </c>
      <c r="VA24" s="90">
        <f t="shared" ca="1" si="584"/>
        <v>205.00961124146136</v>
      </c>
      <c r="VB24" s="90">
        <f t="shared" ca="1" si="585"/>
        <v>78.173503348945218</v>
      </c>
      <c r="VC24" s="90">
        <f t="shared" ca="1" si="586"/>
        <v>479.61085042909133</v>
      </c>
      <c r="VD24" s="90">
        <f t="shared" ca="1" si="587"/>
        <v>6.4951107568113216</v>
      </c>
      <c r="VE24" s="90">
        <f t="shared" ca="1" si="588"/>
        <v>238.53973314202284</v>
      </c>
      <c r="VF24" s="90">
        <f t="shared" ca="1" si="589"/>
        <v>17.22919646616289</v>
      </c>
      <c r="VG24" s="90">
        <f t="shared" ca="1" si="590"/>
        <v>121.00890941235564</v>
      </c>
      <c r="VH24" s="90">
        <f t="shared" ca="1" si="591"/>
        <v>22.958809399937504</v>
      </c>
      <c r="VI24" s="90">
        <f t="shared" ca="1" si="592"/>
        <v>49.147603594507785</v>
      </c>
      <c r="VJ24" s="90">
        <f t="shared" ca="1" si="593"/>
        <v>22.809945403154646</v>
      </c>
      <c r="VK24" s="90">
        <f t="shared" ca="1" si="594"/>
        <v>24.21860220255882</v>
      </c>
      <c r="VL24" s="90">
        <f t="shared" ca="1" si="595"/>
        <v>77.117056937139537</v>
      </c>
      <c r="VM24" s="90">
        <f t="shared" ca="1" si="596"/>
        <v>165.45845217524629</v>
      </c>
      <c r="VN24" s="90">
        <f t="shared" ca="1" si="597"/>
        <v>513.18454868296328</v>
      </c>
      <c r="VO24" s="90">
        <f t="shared" ca="1" si="598"/>
        <v>26.2438573642061</v>
      </c>
      <c r="VP24" s="90">
        <f t="shared" ca="1" si="599"/>
        <v>4.0761906123135931</v>
      </c>
      <c r="VQ24" s="90">
        <f t="shared" ca="1" si="600"/>
        <v>54.113814647357586</v>
      </c>
      <c r="VR24" s="90">
        <f t="shared" ca="1" si="601"/>
        <v>36.414741018285184</v>
      </c>
      <c r="VS24" s="90">
        <f t="shared" ca="1" si="602"/>
        <v>10.424281129063196</v>
      </c>
      <c r="VT24" s="90">
        <f t="shared" ca="1" si="603"/>
        <v>46.27202267018626</v>
      </c>
      <c r="VU24" s="90">
        <f t="shared" ca="1" si="604"/>
        <v>-9.1593080778236509</v>
      </c>
      <c r="VV24" s="90">
        <f t="shared" ca="1" si="605"/>
        <v>17.377831186504331</v>
      </c>
      <c r="VW24" s="90">
        <f t="shared" ca="1" si="606"/>
        <v>89.562270014160987</v>
      </c>
      <c r="VX24" s="90">
        <f t="shared" ca="1" si="607"/>
        <v>120.64328389491274</v>
      </c>
      <c r="VY24" s="90">
        <f t="shared" ca="1" si="608"/>
        <v>59.209451369993793</v>
      </c>
      <c r="VZ24" s="90">
        <f t="shared" ca="1" si="609"/>
        <v>134.35621004974087</v>
      </c>
      <c r="WA24" s="90">
        <f t="shared" ca="1" si="610"/>
        <v>111.54346322231019</v>
      </c>
      <c r="WB24" s="90">
        <f t="shared" ca="1" si="611"/>
        <v>450.67176689260953</v>
      </c>
      <c r="WC24" s="90">
        <f t="shared" ca="1" si="612"/>
        <v>555.58890400893961</v>
      </c>
      <c r="WD24" s="90">
        <f t="shared" ca="1" si="613"/>
        <v>168.56419842533316</v>
      </c>
      <c r="WE24" s="90">
        <f t="shared" ca="1" si="614"/>
        <v>144.87017643953226</v>
      </c>
      <c r="WF24" s="90">
        <f t="shared" ca="1" si="615"/>
        <v>7.2305414697950017</v>
      </c>
      <c r="WG24" s="90">
        <f t="shared" ca="1" si="616"/>
        <v>186.95990326653325</v>
      </c>
      <c r="WH24" s="90">
        <f t="shared" ca="1" si="617"/>
        <v>356.60613146361419</v>
      </c>
      <c r="WI24" s="90">
        <f t="shared" ca="1" si="618"/>
        <v>7.7720675069022072</v>
      </c>
      <c r="WJ24" s="90">
        <f t="shared" ca="1" si="619"/>
        <v>127.30024527750133</v>
      </c>
      <c r="WK24" s="90">
        <f t="shared" ca="1" si="620"/>
        <v>83.81054606461781</v>
      </c>
      <c r="WL24" s="90">
        <f t="shared" ca="1" si="621"/>
        <v>76.373140376977929</v>
      </c>
      <c r="WM24" s="90">
        <f t="shared" ca="1" si="622"/>
        <v>26.779222572239377</v>
      </c>
      <c r="WN24" s="90">
        <f t="shared" ca="1" si="623"/>
        <v>35.98347704557191</v>
      </c>
      <c r="WO24" s="90">
        <f t="shared" ca="1" si="624"/>
        <v>103.33468825759897</v>
      </c>
      <c r="WP24" s="90">
        <f t="shared" ca="1" si="625"/>
        <v>108.79419142475017</v>
      </c>
      <c r="WQ24" s="90">
        <f t="shared" ca="1" si="626"/>
        <v>68.818602546381797</v>
      </c>
      <c r="WR24" s="90">
        <f t="shared" ca="1" si="627"/>
        <v>31.16809947849211</v>
      </c>
      <c r="WS24" s="90">
        <f t="shared" ca="1" si="628"/>
        <v>1.7922642697988564</v>
      </c>
      <c r="WT24" s="90">
        <f t="shared" ca="1" si="629"/>
        <v>72.814085123546363</v>
      </c>
      <c r="WU24" s="90">
        <f t="shared" ca="1" si="630"/>
        <v>8.2751305353589704</v>
      </c>
      <c r="WV24" s="90">
        <f t="shared" ca="1" si="631"/>
        <v>643.45578384739838</v>
      </c>
      <c r="WW24" s="90">
        <f t="shared" ca="1" si="632"/>
        <v>121.65030518611634</v>
      </c>
      <c r="WX24" s="90">
        <f t="shared" ca="1" si="633"/>
        <v>342.91692127246023</v>
      </c>
      <c r="WY24" s="90">
        <f t="shared" ca="1" si="634"/>
        <v>643.07007568544986</v>
      </c>
      <c r="WZ24" s="90">
        <f t="shared" ca="1" si="635"/>
        <v>39.673578908870169</v>
      </c>
      <c r="XA24" s="90">
        <f t="shared" ca="1" si="636"/>
        <v>329.50303260030273</v>
      </c>
      <c r="XB24" s="90">
        <f t="shared" ca="1" si="637"/>
        <v>8.901575057295414</v>
      </c>
      <c r="XC24" s="90">
        <f t="shared" ca="1" si="638"/>
        <v>59.101172243729721</v>
      </c>
      <c r="XD24" s="90">
        <f t="shared" ca="1" si="639"/>
        <v>91.9964313082655</v>
      </c>
      <c r="XE24" s="90">
        <f t="shared" ca="1" si="640"/>
        <v>88.399613909781536</v>
      </c>
      <c r="XF24" s="90">
        <f t="shared" ca="1" si="641"/>
        <v>12.040973256383962</v>
      </c>
      <c r="XG24" s="90">
        <f t="shared" ca="1" si="642"/>
        <v>395.81323985071157</v>
      </c>
      <c r="XH24" s="90">
        <f t="shared" ca="1" si="643"/>
        <v>46.738566352080355</v>
      </c>
      <c r="XI24" s="90">
        <f t="shared" ca="1" si="644"/>
        <v>28.319476308719196</v>
      </c>
      <c r="XJ24" s="90">
        <f t="shared" ca="1" si="645"/>
        <v>8.2857186174239601</v>
      </c>
      <c r="XK24" s="90">
        <f t="shared" ca="1" si="646"/>
        <v>63.39081750785212</v>
      </c>
      <c r="XL24" s="90">
        <f t="shared" ca="1" si="647"/>
        <v>91.442331622107162</v>
      </c>
      <c r="XM24" s="90">
        <f t="shared" ca="1" si="648"/>
        <v>23.280888401495869</v>
      </c>
      <c r="XN24" s="90">
        <f t="shared" ca="1" si="649"/>
        <v>113.44142489187651</v>
      </c>
      <c r="XO24" s="90">
        <f t="shared" ca="1" si="650"/>
        <v>27.983214669326671</v>
      </c>
      <c r="XP24" s="90">
        <f t="shared" ca="1" si="651"/>
        <v>15.593842799294871</v>
      </c>
      <c r="XQ24" s="90">
        <f t="shared" ca="1" si="652"/>
        <v>95.078331084927015</v>
      </c>
      <c r="XR24" s="90">
        <f t="shared" ca="1" si="653"/>
        <v>20.5373135520536</v>
      </c>
      <c r="XS24" s="90">
        <f t="shared" ca="1" si="654"/>
        <v>43.161214553966474</v>
      </c>
      <c r="XT24" s="90">
        <f t="shared" ca="1" si="655"/>
        <v>228.64385498609929</v>
      </c>
      <c r="XU24" s="90">
        <f t="shared" ca="1" si="656"/>
        <v>123.509452480311</v>
      </c>
      <c r="XV24" s="90">
        <f t="shared" ca="1" si="657"/>
        <v>0.79490201939374905</v>
      </c>
      <c r="XW24" s="90">
        <f t="shared" ca="1" si="658"/>
        <v>163.77352903604572</v>
      </c>
      <c r="XX24" s="90">
        <f t="shared" ca="1" si="659"/>
        <v>21.582117653809419</v>
      </c>
      <c r="XY24" s="90">
        <f t="shared" ca="1" si="660"/>
        <v>72.913667919985443</v>
      </c>
      <c r="XZ24" s="90">
        <f t="shared" ca="1" si="661"/>
        <v>134.21905616979996</v>
      </c>
      <c r="YA24" s="90">
        <f t="shared" ca="1" si="662"/>
        <v>199.61540670106038</v>
      </c>
      <c r="YB24" s="90">
        <f t="shared" ca="1" si="663"/>
        <v>330.60075316514065</v>
      </c>
      <c r="YC24" s="90">
        <f t="shared" ca="1" si="664"/>
        <v>77.513076389063343</v>
      </c>
      <c r="YD24" s="90">
        <f t="shared" ca="1" si="665"/>
        <v>103.61843016378467</v>
      </c>
      <c r="YE24" s="90">
        <f t="shared" ca="1" si="666"/>
        <v>320.22946945371558</v>
      </c>
      <c r="YF24" s="90">
        <f t="shared" ca="1" si="667"/>
        <v>2.5774679161761793</v>
      </c>
      <c r="YG24" s="90">
        <f t="shared" ca="1" si="668"/>
        <v>41.239375140571774</v>
      </c>
      <c r="YH24" s="90">
        <f t="shared" ca="1" si="669"/>
        <v>181.93076791070521</v>
      </c>
      <c r="YI24" s="90">
        <f t="shared" ca="1" si="670"/>
        <v>56.385856322133044</v>
      </c>
      <c r="YJ24" s="90">
        <f t="shared" ca="1" si="671"/>
        <v>5.1665474938082401</v>
      </c>
      <c r="YK24" s="90">
        <f t="shared" ca="1" si="672"/>
        <v>173.25423464342921</v>
      </c>
      <c r="YL24" s="90">
        <f t="shared" ca="1" si="673"/>
        <v>60.222800281800104</v>
      </c>
      <c r="YM24" s="90">
        <f t="shared" ca="1" si="674"/>
        <v>24.769095563787342</v>
      </c>
      <c r="YN24" s="90">
        <f t="shared" ca="1" si="675"/>
        <v>22.842075220385993</v>
      </c>
      <c r="YO24" s="90">
        <f t="shared" ca="1" si="676"/>
        <v>8.9886741881381749</v>
      </c>
      <c r="YP24" s="90">
        <f t="shared" ca="1" si="677"/>
        <v>716.50618489973544</v>
      </c>
      <c r="YQ24" s="90">
        <f t="shared" ca="1" si="678"/>
        <v>188.16119926175801</v>
      </c>
      <c r="YR24" s="90">
        <f t="shared" ca="1" si="679"/>
        <v>4.603901872982374</v>
      </c>
      <c r="YS24" s="90">
        <f t="shared" ca="1" si="680"/>
        <v>158.23576046043161</v>
      </c>
      <c r="YT24" s="90">
        <f t="shared" ca="1" si="681"/>
        <v>104.78084136617193</v>
      </c>
      <c r="YU24" s="90">
        <f t="shared" ca="1" si="682"/>
        <v>427.90646127064895</v>
      </c>
      <c r="YV24" s="90">
        <f t="shared" ca="1" si="683"/>
        <v>43.485568919487754</v>
      </c>
      <c r="YW24" s="90">
        <f t="shared" ca="1" si="684"/>
        <v>56.176472439987869</v>
      </c>
      <c r="YX24" s="90">
        <f t="shared" ca="1" si="685"/>
        <v>107.3876674596429</v>
      </c>
      <c r="YY24" s="90">
        <f t="shared" ca="1" si="686"/>
        <v>52.952923118762406</v>
      </c>
      <c r="YZ24" s="90">
        <f t="shared" ca="1" si="687"/>
        <v>44.922790715635081</v>
      </c>
      <c r="ZA24" s="90">
        <f t="shared" ca="1" si="688"/>
        <v>33.027843226227738</v>
      </c>
      <c r="ZB24" s="90">
        <f t="shared" ca="1" si="689"/>
        <v>700.70465156142018</v>
      </c>
      <c r="ZC24" s="90">
        <f t="shared" ca="1" si="690"/>
        <v>208.37287787948139</v>
      </c>
      <c r="ZD24" s="90">
        <f t="shared" ca="1" si="691"/>
        <v>68.279134938893961</v>
      </c>
      <c r="ZE24" s="90">
        <f t="shared" ca="1" si="692"/>
        <v>91.140939970753053</v>
      </c>
      <c r="ZF24" s="90">
        <f t="shared" ca="1" si="693"/>
        <v>28.106799430014881</v>
      </c>
      <c r="ZG24" s="90">
        <f t="shared" ca="1" si="694"/>
        <v>129.75819308392241</v>
      </c>
      <c r="ZH24" s="90">
        <f t="shared" ca="1" si="695"/>
        <v>661.382884326561</v>
      </c>
      <c r="ZI24" s="90">
        <f t="shared" ca="1" si="696"/>
        <v>72.66069000897015</v>
      </c>
      <c r="ZJ24" s="90">
        <f t="shared" ca="1" si="697"/>
        <v>144.1695401316648</v>
      </c>
      <c r="ZK24" s="90">
        <f t="shared" ca="1" si="698"/>
        <v>77.574001720996378</v>
      </c>
      <c r="ZL24" s="90">
        <f t="shared" ca="1" si="699"/>
        <v>5.4763717288504266</v>
      </c>
      <c r="ZM24" s="90">
        <f t="shared" ca="1" si="700"/>
        <v>284.67550343569354</v>
      </c>
      <c r="ZN24" s="90">
        <f t="shared" ca="1" si="701"/>
        <v>59.678138091902618</v>
      </c>
      <c r="ZO24" s="90">
        <f t="shared" ca="1" si="702"/>
        <v>58.668463855705511</v>
      </c>
      <c r="ZP24" s="90">
        <f t="shared" ca="1" si="703"/>
        <v>110.14627430222139</v>
      </c>
      <c r="ZQ24" s="90">
        <f t="shared" ca="1" si="704"/>
        <v>245.31262970582537</v>
      </c>
      <c r="ZR24" s="90">
        <f t="shared" ca="1" si="705"/>
        <v>33.154061733897031</v>
      </c>
      <c r="ZS24" s="90">
        <f t="shared" ca="1" si="706"/>
        <v>99.111388573760777</v>
      </c>
      <c r="ZT24" s="90">
        <f t="shared" ca="1" si="707"/>
        <v>20.799743635536636</v>
      </c>
      <c r="ZU24" s="90">
        <f t="shared" ca="1" si="708"/>
        <v>4.169291985875426</v>
      </c>
      <c r="ZV24" s="90">
        <f t="shared" ca="1" si="709"/>
        <v>744.76049527604596</v>
      </c>
      <c r="ZW24" s="90">
        <f t="shared" ca="1" si="710"/>
        <v>38.179834841167477</v>
      </c>
      <c r="ZX24" s="90">
        <f t="shared" ca="1" si="711"/>
        <v>125.10921705752546</v>
      </c>
      <c r="ZY24" s="90">
        <f t="shared" ca="1" si="712"/>
        <v>108.60120207525496</v>
      </c>
      <c r="ZZ24" s="90">
        <f t="shared" ca="1" si="713"/>
        <v>106.82302732052484</v>
      </c>
      <c r="AAA24" s="90">
        <f t="shared" ca="1" si="714"/>
        <v>141.88251503767935</v>
      </c>
      <c r="AAB24" s="90">
        <f t="shared" ca="1" si="715"/>
        <v>19.189619512684693</v>
      </c>
      <c r="AAC24" s="90">
        <f t="shared" ca="1" si="716"/>
        <v>84.398063108932661</v>
      </c>
      <c r="AAD24" s="90">
        <f t="shared" ca="1" si="717"/>
        <v>39.106398757333594</v>
      </c>
      <c r="AAE24" s="90">
        <f t="shared" ca="1" si="718"/>
        <v>52.370283217585751</v>
      </c>
      <c r="AAF24" s="90">
        <f t="shared" ca="1" si="719"/>
        <v>2.8061579894915445</v>
      </c>
      <c r="AAG24" s="90">
        <f t="shared" ca="1" si="720"/>
        <v>49.829038438323522</v>
      </c>
      <c r="AAH24" s="90">
        <f t="shared" ca="1" si="721"/>
        <v>224.77222087390507</v>
      </c>
      <c r="AAI24" s="90">
        <f t="shared" ca="1" si="722"/>
        <v>-6.6412696800230799</v>
      </c>
      <c r="AAJ24" s="90">
        <f t="shared" ca="1" si="723"/>
        <v>66.736546371284902</v>
      </c>
      <c r="AAK24" s="90">
        <f t="shared" ca="1" si="724"/>
        <v>371.87800233487127</v>
      </c>
      <c r="AAL24" s="90">
        <f t="shared" ca="1" si="725"/>
        <v>223.65675789265893</v>
      </c>
      <c r="AAM24" s="90">
        <f t="shared" ca="1" si="726"/>
        <v>371.5174316255991</v>
      </c>
      <c r="AAN24" s="90">
        <f t="shared" ca="1" si="727"/>
        <v>72.707253658369297</v>
      </c>
      <c r="AAO24" s="90">
        <f t="shared" ca="1" si="728"/>
        <v>85.460168710107823</v>
      </c>
      <c r="AAP24" s="90">
        <f t="shared" ca="1" si="729"/>
        <v>307.60267585504209</v>
      </c>
      <c r="AAQ24" s="90">
        <f t="shared" ca="1" si="730"/>
        <v>76.782486063981267</v>
      </c>
      <c r="AAR24" s="90">
        <f t="shared" ca="1" si="731"/>
        <v>5.1772101067804313</v>
      </c>
      <c r="AAS24" s="90">
        <f t="shared" ca="1" si="732"/>
        <v>132.57493085570997</v>
      </c>
      <c r="AAT24" s="90">
        <f t="shared" ca="1" si="733"/>
        <v>369.60184875986897</v>
      </c>
      <c r="AAU24" s="90">
        <f t="shared" ca="1" si="734"/>
        <v>47.834117113861488</v>
      </c>
      <c r="AAV24" s="90">
        <f t="shared" ca="1" si="735"/>
        <v>85.516969756796513</v>
      </c>
      <c r="AAW24" s="90">
        <f t="shared" ca="1" si="736"/>
        <v>287.05025446065963</v>
      </c>
      <c r="AAX24" s="90">
        <f t="shared" ca="1" si="737"/>
        <v>108.38899170047186</v>
      </c>
      <c r="AAY24" s="90">
        <f t="shared" ca="1" si="738"/>
        <v>76.633672174849536</v>
      </c>
      <c r="AAZ24" s="90">
        <f t="shared" ca="1" si="739"/>
        <v>38.261638442563864</v>
      </c>
      <c r="ABA24" s="90">
        <f t="shared" ca="1" si="740"/>
        <v>193.45169070336513</v>
      </c>
      <c r="ABB24" s="90">
        <f t="shared" ca="1" si="741"/>
        <v>23.391996234918793</v>
      </c>
      <c r="ABC24" s="90">
        <f t="shared" ca="1" si="742"/>
        <v>241.77113612896758</v>
      </c>
      <c r="ABD24" s="90">
        <f t="shared" ca="1" si="743"/>
        <v>120.91246314775501</v>
      </c>
      <c r="ABE24" s="90">
        <f t="shared" ca="1" si="744"/>
        <v>244.49104710963161</v>
      </c>
      <c r="ABF24" s="90">
        <f t="shared" ca="1" si="745"/>
        <v>70.701817069807575</v>
      </c>
      <c r="ABG24" s="90">
        <f t="shared" ca="1" si="746"/>
        <v>25.993795516499699</v>
      </c>
      <c r="ABH24" s="90">
        <f t="shared" ca="1" si="747"/>
        <v>219.24754817469932</v>
      </c>
      <c r="ABI24" s="90">
        <f t="shared" ca="1" si="748"/>
        <v>14.197834593368714</v>
      </c>
      <c r="ABJ24" s="90">
        <f t="shared" ca="1" si="749"/>
        <v>107.4772643095491</v>
      </c>
      <c r="ABK24" s="90">
        <f t="shared" ca="1" si="750"/>
        <v>13.198903149551645</v>
      </c>
      <c r="ABL24" s="90">
        <f t="shared" ca="1" si="751"/>
        <v>95.402820643320553</v>
      </c>
      <c r="ABM24" s="90">
        <f t="shared" ca="1" si="752"/>
        <v>144.57876686171772</v>
      </c>
      <c r="ABN24" s="90">
        <f t="shared" ca="1" si="753"/>
        <v>20.245438514935461</v>
      </c>
      <c r="ABO24" s="90">
        <f t="shared" ca="1" si="754"/>
        <v>53.98610106301463</v>
      </c>
      <c r="ABP24" s="90">
        <f t="shared" ca="1" si="755"/>
        <v>18.322608038614536</v>
      </c>
      <c r="ABQ24" s="90">
        <f t="shared" ca="1" si="756"/>
        <v>23.910939940820253</v>
      </c>
      <c r="ABR24" s="90">
        <f t="shared" ca="1" si="757"/>
        <v>59.178054770132938</v>
      </c>
      <c r="ABS24" s="90">
        <f t="shared" ca="1" si="758"/>
        <v>112.12184013183611</v>
      </c>
      <c r="ABT24" s="90">
        <f t="shared" ca="1" si="759"/>
        <v>7.342263491792635</v>
      </c>
      <c r="ABU24" s="90">
        <f t="shared" ca="1" si="760"/>
        <v>43.918476217490408</v>
      </c>
      <c r="ABV24" s="90">
        <f t="shared" ca="1" si="761"/>
        <v>20.21299727398301</v>
      </c>
      <c r="ABW24" s="90">
        <f t="shared" ca="1" si="762"/>
        <v>7.0708043678407231</v>
      </c>
      <c r="ABX24" s="90">
        <f t="shared" ca="1" si="763"/>
        <v>50.701422129883923</v>
      </c>
      <c r="ABY24" s="90">
        <f t="shared" ca="1" si="764"/>
        <v>72.321221345629084</v>
      </c>
      <c r="ABZ24" s="90">
        <f t="shared" ca="1" si="765"/>
        <v>179.78602256928207</v>
      </c>
      <c r="ACA24" s="90">
        <f t="shared" ca="1" si="766"/>
        <v>72.601495050169049</v>
      </c>
      <c r="ACB24" s="90">
        <f t="shared" ca="1" si="767"/>
        <v>39.888176133119735</v>
      </c>
      <c r="ACC24" s="90">
        <f t="shared" ca="1" si="768"/>
        <v>67.177903217151581</v>
      </c>
      <c r="ACD24" s="90">
        <f t="shared" ca="1" si="769"/>
        <v>303.77910169572812</v>
      </c>
      <c r="ACE24" s="90">
        <f t="shared" ca="1" si="770"/>
        <v>82.796103325645674</v>
      </c>
      <c r="ACF24" s="90">
        <f t="shared" ca="1" si="771"/>
        <v>45.110325274263417</v>
      </c>
      <c r="ACG24" s="90">
        <f t="shared" ca="1" si="772"/>
        <v>106.92090905077235</v>
      </c>
      <c r="ACH24" s="90">
        <f t="shared" ca="1" si="773"/>
        <v>236.68194190374393</v>
      </c>
      <c r="ACI24" s="90">
        <f t="shared" ca="1" si="774"/>
        <v>8.6448157508081369</v>
      </c>
      <c r="ACJ24" s="90">
        <f t="shared" ca="1" si="775"/>
        <v>49.568961596128254</v>
      </c>
      <c r="ACK24" s="90">
        <f t="shared" ca="1" si="776"/>
        <v>129.02106123306103</v>
      </c>
      <c r="ACL24" s="90">
        <f t="shared" ca="1" si="777"/>
        <v>413.51550663437007</v>
      </c>
      <c r="ACM24" s="90">
        <f t="shared" ca="1" si="778"/>
        <v>239.14805954959783</v>
      </c>
      <c r="ACN24" s="90">
        <f t="shared" ca="1" si="779"/>
        <v>-3.5212081786043488</v>
      </c>
      <c r="ACO24" s="90">
        <f t="shared" ca="1" si="780"/>
        <v>97.517848798823479</v>
      </c>
      <c r="ACP24" s="90">
        <f t="shared" ca="1" si="781"/>
        <v>132.91476007825798</v>
      </c>
      <c r="ACQ24" s="90">
        <f t="shared" ca="1" si="782"/>
        <v>28.2875654249139</v>
      </c>
      <c r="ACR24" s="90">
        <f t="shared" ca="1" si="783"/>
        <v>54.377688352335845</v>
      </c>
      <c r="ACS24" s="90">
        <f t="shared" ca="1" si="784"/>
        <v>22.525085345250684</v>
      </c>
      <c r="ACT24" s="90">
        <f t="shared" ca="1" si="785"/>
        <v>111.74375828534831</v>
      </c>
      <c r="ACU24" s="90">
        <f t="shared" ca="1" si="786"/>
        <v>109.426350208112</v>
      </c>
      <c r="ACV24" s="90">
        <f t="shared" ca="1" si="787"/>
        <v>181.80650976825731</v>
      </c>
      <c r="ACW24" s="90">
        <f t="shared" ca="1" si="788"/>
        <v>197.98788919094358</v>
      </c>
      <c r="ACX24" s="90">
        <f t="shared" ca="1" si="789"/>
        <v>17.186852523488696</v>
      </c>
      <c r="ACY24" s="90">
        <f t="shared" ca="1" si="790"/>
        <v>127.3813499612716</v>
      </c>
      <c r="ACZ24" s="90">
        <f t="shared" ca="1" si="791"/>
        <v>13.700225713624929</v>
      </c>
      <c r="ADA24" s="90">
        <f t="shared" ca="1" si="792"/>
        <v>333.27174845027679</v>
      </c>
      <c r="ADB24" s="90">
        <f t="shared" ca="1" si="793"/>
        <v>129.6931603642343</v>
      </c>
      <c r="ADC24" s="90">
        <f t="shared" ca="1" si="794"/>
        <v>297.83719332321692</v>
      </c>
      <c r="ADD24" s="90">
        <f t="shared" ca="1" si="795"/>
        <v>121.91480452229877</v>
      </c>
      <c r="ADE24" s="90">
        <f t="shared" ca="1" si="796"/>
        <v>-0.2583359043480174</v>
      </c>
      <c r="ADF24" s="90">
        <f t="shared" ca="1" si="797"/>
        <v>110.05965828047285</v>
      </c>
      <c r="ADG24" s="90">
        <f t="shared" ca="1" si="798"/>
        <v>66.3308399858699</v>
      </c>
      <c r="ADH24" s="90">
        <f t="shared" ca="1" si="799"/>
        <v>53.154067940628416</v>
      </c>
      <c r="ADI24" s="90">
        <f t="shared" ca="1" si="800"/>
        <v>87.419755231451603</v>
      </c>
      <c r="ADJ24" s="90">
        <f t="shared" ca="1" si="801"/>
        <v>28.167430307337682</v>
      </c>
      <c r="ADK24" s="90">
        <f t="shared" ca="1" si="802"/>
        <v>357.88157309520432</v>
      </c>
      <c r="ADL24" s="90">
        <f t="shared" ca="1" si="803"/>
        <v>14.00414673197743</v>
      </c>
      <c r="ADM24" s="90">
        <f t="shared" ca="1" si="804"/>
        <v>20.672944449822836</v>
      </c>
      <c r="ADN24" s="90">
        <f t="shared" ca="1" si="805"/>
        <v>244.23553936140087</v>
      </c>
      <c r="ADO24" s="90">
        <f t="shared" ca="1" si="806"/>
        <v>39.4343027644017</v>
      </c>
      <c r="ADP24" s="90">
        <f t="shared" ca="1" si="807"/>
        <v>214.65959994083303</v>
      </c>
      <c r="ADQ24" s="90">
        <f t="shared" ca="1" si="808"/>
        <v>309.28900757257475</v>
      </c>
      <c r="ADR24" s="90">
        <f t="shared" ca="1" si="809"/>
        <v>634.76876682152215</v>
      </c>
      <c r="ADS24" s="90">
        <f t="shared" ca="1" si="810"/>
        <v>67.387247692712492</v>
      </c>
      <c r="ADT24" s="90">
        <f t="shared" ca="1" si="811"/>
        <v>41.444161311332167</v>
      </c>
      <c r="ADU24" s="90">
        <f t="shared" ca="1" si="812"/>
        <v>18.357036143172586</v>
      </c>
      <c r="ADV24" s="90">
        <f t="shared" ca="1" si="813"/>
        <v>50.747247362817234</v>
      </c>
      <c r="ADW24" s="90">
        <f t="shared" ca="1" si="814"/>
        <v>-4.2504378883880394</v>
      </c>
      <c r="ADX24" s="90">
        <f t="shared" ca="1" si="815"/>
        <v>81.710492013983526</v>
      </c>
      <c r="ADY24" s="90">
        <f t="shared" ca="1" si="816"/>
        <v>10.281965421257125</v>
      </c>
      <c r="ADZ24" s="90">
        <f t="shared" ca="1" si="817"/>
        <v>101.51103840853087</v>
      </c>
      <c r="AEA24" s="90">
        <f t="shared" ca="1" si="818"/>
        <v>36.779538498764623</v>
      </c>
      <c r="AEB24" s="90">
        <f t="shared" ca="1" si="819"/>
        <v>8.0110906178269001</v>
      </c>
      <c r="AEC24" s="90">
        <f t="shared" ca="1" si="820"/>
        <v>236.71363705715476</v>
      </c>
      <c r="AED24" s="90">
        <f t="shared" ca="1" si="821"/>
        <v>35.537191856928949</v>
      </c>
      <c r="AEE24" s="90">
        <f t="shared" ca="1" si="822"/>
        <v>188.96556941020975</v>
      </c>
      <c r="AEF24" s="90">
        <f t="shared" ca="1" si="823"/>
        <v>12.52489504590252</v>
      </c>
      <c r="AEG24" s="90">
        <f t="shared" ca="1" si="824"/>
        <v>113.81113568454822</v>
      </c>
      <c r="AEH24" s="90">
        <f t="shared" ca="1" si="825"/>
        <v>244.76442502327623</v>
      </c>
      <c r="AEI24" s="90">
        <f t="shared" ca="1" si="826"/>
        <v>14.162392827411241</v>
      </c>
      <c r="AEJ24" s="90">
        <f t="shared" ca="1" si="827"/>
        <v>66.36479496231</v>
      </c>
      <c r="AEK24" s="90">
        <f t="shared" ca="1" si="828"/>
        <v>59.022669114388151</v>
      </c>
      <c r="AEL24" s="90">
        <f t="shared" ca="1" si="829"/>
        <v>23.187231170298183</v>
      </c>
      <c r="AEM24" s="90">
        <f t="shared" ca="1" si="830"/>
        <v>104.15096933923198</v>
      </c>
      <c r="AEN24" s="90">
        <f t="shared" ca="1" si="831"/>
        <v>26.524840832435764</v>
      </c>
      <c r="AEO24" s="90">
        <f t="shared" ca="1" si="832"/>
        <v>77.623298546243532</v>
      </c>
      <c r="AEP24" s="90">
        <f t="shared" ca="1" si="833"/>
        <v>24.622982651778344</v>
      </c>
      <c r="AEQ24" s="90">
        <f t="shared" ca="1" si="834"/>
        <v>-0.65283817014187306</v>
      </c>
      <c r="AER24" s="90">
        <f t="shared" ca="1" si="835"/>
        <v>116.08731717436201</v>
      </c>
      <c r="AES24" s="90">
        <f t="shared" ca="1" si="836"/>
        <v>410.21883642904038</v>
      </c>
      <c r="AET24" s="90">
        <f t="shared" ca="1" si="837"/>
        <v>161.84834057121694</v>
      </c>
      <c r="AEU24" s="90">
        <f t="shared" ca="1" si="838"/>
        <v>163.92525193315961</v>
      </c>
      <c r="AEV24" s="90">
        <f t="shared" ca="1" si="839"/>
        <v>23.144192754460445</v>
      </c>
      <c r="AEW24" s="90">
        <f t="shared" ca="1" si="840"/>
        <v>88.9641532016837</v>
      </c>
      <c r="AEX24" s="90">
        <f t="shared" ca="1" si="841"/>
        <v>137.67990795852063</v>
      </c>
      <c r="AEY24" s="90">
        <f t="shared" ca="1" si="842"/>
        <v>253.39763223667276</v>
      </c>
      <c r="AEZ24" s="90">
        <f t="shared" ca="1" si="843"/>
        <v>44.510095441580667</v>
      </c>
      <c r="AFA24" s="90">
        <f t="shared" ca="1" si="844"/>
        <v>75.880615729945418</v>
      </c>
      <c r="AFB24" s="90">
        <f t="shared" ca="1" si="845"/>
        <v>73.466502142029682</v>
      </c>
      <c r="AFC24" s="90">
        <f t="shared" ca="1" si="846"/>
        <v>47.471554913363732</v>
      </c>
      <c r="AFD24" s="90">
        <f t="shared" ca="1" si="847"/>
        <v>4.2044422970451478</v>
      </c>
      <c r="AFE24" s="90">
        <f t="shared" ca="1" si="848"/>
        <v>160.57341280404955</v>
      </c>
      <c r="AFF24" s="90">
        <f t="shared" ca="1" si="849"/>
        <v>45.742081506861524</v>
      </c>
      <c r="AFG24" s="90">
        <f t="shared" ca="1" si="850"/>
        <v>15.964632383578376</v>
      </c>
      <c r="AFH24" s="90">
        <f t="shared" ca="1" si="851"/>
        <v>165.24016805269048</v>
      </c>
      <c r="AFI24" s="90">
        <f t="shared" ca="1" si="852"/>
        <v>80.124753092321313</v>
      </c>
      <c r="AFJ24" s="90">
        <f t="shared" ca="1" si="853"/>
        <v>508.64853257183086</v>
      </c>
      <c r="AFK24" s="90">
        <f t="shared" ca="1" si="854"/>
        <v>10.366856461332809</v>
      </c>
      <c r="AFL24" s="90">
        <f t="shared" ca="1" si="855"/>
        <v>62.814055908285404</v>
      </c>
      <c r="AFM24" s="90">
        <f t="shared" ca="1" si="856"/>
        <v>116.59167027197466</v>
      </c>
      <c r="AFN24" s="90">
        <f t="shared" ca="1" si="857"/>
        <v>8.2566237330913612</v>
      </c>
      <c r="AFO24" s="90">
        <f t="shared" ca="1" si="858"/>
        <v>253.17283384996378</v>
      </c>
      <c r="AFP24" s="90">
        <f t="shared" ca="1" si="859"/>
        <v>51.001285530457906</v>
      </c>
      <c r="AFQ24" s="90">
        <f t="shared" ca="1" si="860"/>
        <v>344.74914301002622</v>
      </c>
      <c r="AFR24" s="90">
        <f t="shared" ca="1" si="861"/>
        <v>37.362713135151729</v>
      </c>
      <c r="AFS24" s="90">
        <f t="shared" ca="1" si="862"/>
        <v>142.80938773313696</v>
      </c>
      <c r="AFT24" s="90">
        <f t="shared" ca="1" si="863"/>
        <v>34.048178685959535</v>
      </c>
      <c r="AFU24" s="90">
        <f t="shared" ca="1" si="864"/>
        <v>-10.688931775729033</v>
      </c>
      <c r="AFV24" s="90">
        <f t="shared" ca="1" si="865"/>
        <v>50.539354895418633</v>
      </c>
      <c r="AFW24" s="90">
        <f t="shared" ca="1" si="866"/>
        <v>398.06443417299147</v>
      </c>
      <c r="AFX24" s="90">
        <f t="shared" ca="1" si="867"/>
        <v>119.22537081482126</v>
      </c>
      <c r="AFY24" s="90">
        <f t="shared" ca="1" si="868"/>
        <v>16.958262391006805</v>
      </c>
      <c r="AFZ24" s="90">
        <f t="shared" ca="1" si="869"/>
        <v>49.824703012486651</v>
      </c>
      <c r="AGA24" s="90">
        <f t="shared" ca="1" si="870"/>
        <v>136.44044640714839</v>
      </c>
      <c r="AGB24" s="90">
        <f t="shared" ca="1" si="871"/>
        <v>78.575982619315681</v>
      </c>
      <c r="AGC24" s="90">
        <f t="shared" ca="1" si="872"/>
        <v>-4.6826331474938518</v>
      </c>
      <c r="AGD24" s="90">
        <f t="shared" ca="1" si="873"/>
        <v>71.326430188983792</v>
      </c>
      <c r="AGE24" s="90">
        <f t="shared" ca="1" si="874"/>
        <v>27.694782636278372</v>
      </c>
      <c r="AGF24" s="90">
        <f t="shared" ca="1" si="875"/>
        <v>69.594648306340673</v>
      </c>
      <c r="AGG24" s="90">
        <f t="shared" ca="1" si="876"/>
        <v>27.53206177473885</v>
      </c>
      <c r="AGH24" s="90">
        <f t="shared" ca="1" si="877"/>
        <v>117.77682831496787</v>
      </c>
      <c r="AGI24" s="90">
        <f t="shared" ca="1" si="878"/>
        <v>30.726211824492733</v>
      </c>
      <c r="AGJ24" s="90">
        <f t="shared" ca="1" si="879"/>
        <v>120.6612601326089</v>
      </c>
      <c r="AGK24" s="90">
        <f t="shared" ca="1" si="880"/>
        <v>14.004288464651754</v>
      </c>
      <c r="AGL24" s="90">
        <f t="shared" ca="1" si="881"/>
        <v>383.45914542441568</v>
      </c>
      <c r="AGM24" s="90">
        <f t="shared" ca="1" si="882"/>
        <v>74.831586486361886</v>
      </c>
      <c r="AGN24" s="90">
        <f t="shared" ca="1" si="883"/>
        <v>35.243045072442044</v>
      </c>
      <c r="AGO24" s="90">
        <f t="shared" ca="1" si="884"/>
        <v>110.73300597641095</v>
      </c>
      <c r="AGP24" s="90">
        <f t="shared" ca="1" si="885"/>
        <v>19.196313407999249</v>
      </c>
      <c r="AGQ24" s="90">
        <f t="shared" ca="1" si="886"/>
        <v>98.687728857607951</v>
      </c>
      <c r="AGR24" s="90">
        <f t="shared" ca="1" si="887"/>
        <v>78.284311407100915</v>
      </c>
      <c r="AGS24" s="90">
        <f t="shared" ca="1" si="888"/>
        <v>91.208906804490596</v>
      </c>
      <c r="AGT24" s="90">
        <f t="shared" ca="1" si="889"/>
        <v>43.695412341758669</v>
      </c>
      <c r="AGU24" s="90">
        <f t="shared" ca="1" si="890"/>
        <v>196.33305995336903</v>
      </c>
      <c r="AGV24" s="90">
        <f t="shared" ca="1" si="891"/>
        <v>36.718164754064603</v>
      </c>
      <c r="AGW24" s="90">
        <f t="shared" ca="1" si="892"/>
        <v>798.77957689791242</v>
      </c>
      <c r="AGX24" s="90">
        <f t="shared" ca="1" si="893"/>
        <v>197.29946876592913</v>
      </c>
      <c r="AGY24" s="90">
        <f t="shared" ca="1" si="894"/>
        <v>25.340174579653684</v>
      </c>
      <c r="AGZ24" s="90">
        <f t="shared" ca="1" si="895"/>
        <v>67.413384660187319</v>
      </c>
      <c r="AHA24" s="90">
        <f t="shared" ca="1" si="896"/>
        <v>-26.052780470641778</v>
      </c>
      <c r="AHB24" s="90">
        <f t="shared" ca="1" si="897"/>
        <v>17.417200279255759</v>
      </c>
      <c r="AHC24" s="90">
        <f t="shared" ca="1" si="898"/>
        <v>191.31328194086683</v>
      </c>
      <c r="AHD24" s="90">
        <f t="shared" ca="1" si="899"/>
        <v>153.32336171795163</v>
      </c>
      <c r="AHE24" s="90">
        <f t="shared" ca="1" si="900"/>
        <v>244.15512996141481</v>
      </c>
      <c r="AHF24" s="90">
        <f t="shared" ca="1" si="901"/>
        <v>83.156339075903801</v>
      </c>
      <c r="AHG24" s="90">
        <f t="shared" ca="1" si="902"/>
        <v>103.76170613479795</v>
      </c>
      <c r="AHH24" s="90">
        <f t="shared" ca="1" si="903"/>
        <v>112.40577925728059</v>
      </c>
      <c r="AHI24" s="90">
        <f t="shared" ca="1" si="904"/>
        <v>7.6112179240278151</v>
      </c>
      <c r="AHJ24" s="90">
        <f t="shared" ca="1" si="905"/>
        <v>344.36482387990225</v>
      </c>
      <c r="AHK24" s="90">
        <f t="shared" ca="1" si="906"/>
        <v>197.91674722007082</v>
      </c>
      <c r="AHL24" s="90">
        <f t="shared" ca="1" si="907"/>
        <v>27.310083096654935</v>
      </c>
      <c r="AHM24" s="90">
        <f t="shared" ca="1" si="908"/>
        <v>246.81035358983766</v>
      </c>
      <c r="AHN24" s="90">
        <f t="shared" ca="1" si="909"/>
        <v>365.04667046542556</v>
      </c>
      <c r="AHO24" s="90">
        <f t="shared" ca="1" si="910"/>
        <v>50.671537069746947</v>
      </c>
      <c r="AHP24" s="90">
        <f t="shared" ca="1" si="911"/>
        <v>67.213417337552968</v>
      </c>
      <c r="AHQ24" s="90">
        <f t="shared" ca="1" si="912"/>
        <v>142.70090756208393</v>
      </c>
      <c r="AHR24" s="90">
        <f t="shared" ca="1" si="913"/>
        <v>-3.4155787139016724</v>
      </c>
      <c r="AHS24" s="90">
        <f t="shared" ca="1" si="914"/>
        <v>18.379705662925382</v>
      </c>
      <c r="AHT24" s="90">
        <f t="shared" ca="1" si="915"/>
        <v>113.50557437083381</v>
      </c>
      <c r="AHU24" s="90">
        <f t="shared" ca="1" si="916"/>
        <v>129.0398265456825</v>
      </c>
      <c r="AHV24" s="90">
        <f t="shared" ca="1" si="917"/>
        <v>63.480268219027337</v>
      </c>
      <c r="AHW24" s="90">
        <f t="shared" ca="1" si="918"/>
        <v>209.53861206106589</v>
      </c>
      <c r="AHX24" s="90">
        <f t="shared" ca="1" si="919"/>
        <v>28.684336125818657</v>
      </c>
      <c r="AHY24" s="90">
        <f t="shared" ca="1" si="920"/>
        <v>83.742145192777727</v>
      </c>
      <c r="AHZ24" s="90">
        <f t="shared" ca="1" si="921"/>
        <v>436.39576997408773</v>
      </c>
      <c r="AIA24" s="90">
        <f t="shared" ca="1" si="922"/>
        <v>126.42450860800172</v>
      </c>
      <c r="AIB24" s="90">
        <f t="shared" ca="1" si="923"/>
        <v>138.23743729751956</v>
      </c>
      <c r="AIC24" s="90">
        <f t="shared" ca="1" si="924"/>
        <v>295.35816973513431</v>
      </c>
      <c r="AID24" s="90">
        <f t="shared" ca="1" si="925"/>
        <v>127.79534305583591</v>
      </c>
      <c r="AIE24" s="90">
        <f t="shared" ca="1" si="926"/>
        <v>382.01497270665175</v>
      </c>
      <c r="AIF24" s="90">
        <f t="shared" ca="1" si="927"/>
        <v>282.18419323787214</v>
      </c>
      <c r="AIG24" s="90">
        <f t="shared" ca="1" si="928"/>
        <v>269.55598808856757</v>
      </c>
      <c r="AIH24" s="90">
        <f t="shared" ca="1" si="929"/>
        <v>115.4428801417175</v>
      </c>
      <c r="AII24" s="90">
        <f t="shared" ca="1" si="930"/>
        <v>34.305689791923548</v>
      </c>
      <c r="AIJ24" s="90">
        <f t="shared" ca="1" si="931"/>
        <v>14.772639949198116</v>
      </c>
      <c r="AIK24" s="90">
        <f t="shared" ca="1" si="932"/>
        <v>11.1101712626254</v>
      </c>
      <c r="AIL24" s="90">
        <f t="shared" ca="1" si="933"/>
        <v>43.801706958862994</v>
      </c>
      <c r="AIM24" s="90">
        <f t="shared" ca="1" si="934"/>
        <v>566.14230949003343</v>
      </c>
      <c r="AIN24" s="90">
        <f t="shared" ca="1" si="935"/>
        <v>77.219581299779335</v>
      </c>
      <c r="AIO24" s="90">
        <f t="shared" ca="1" si="936"/>
        <v>16.323433787745859</v>
      </c>
      <c r="AIP24" s="90">
        <f t="shared" ca="1" si="937"/>
        <v>51.858082789405806</v>
      </c>
      <c r="AIQ24" s="90">
        <f t="shared" ca="1" si="938"/>
        <v>-1.8092853485187712</v>
      </c>
      <c r="AIR24" s="90">
        <f t="shared" ca="1" si="939"/>
        <v>74.746871846155358</v>
      </c>
      <c r="AIS24" s="90">
        <f t="shared" ca="1" si="940"/>
        <v>25.855702350328428</v>
      </c>
      <c r="AIT24" s="90">
        <f t="shared" ca="1" si="941"/>
        <v>135.81309709328747</v>
      </c>
      <c r="AIU24" s="90">
        <f t="shared" ca="1" si="942"/>
        <v>30.859955394109232</v>
      </c>
      <c r="AIV24" s="90">
        <f t="shared" ca="1" si="943"/>
        <v>171.06259231293387</v>
      </c>
      <c r="AIW24" s="90">
        <f t="shared" ca="1" si="944"/>
        <v>125.9928040570267</v>
      </c>
      <c r="AIX24" s="90">
        <f t="shared" ca="1" si="945"/>
        <v>18.262793481340651</v>
      </c>
      <c r="AIY24" s="90">
        <f t="shared" ca="1" si="946"/>
        <v>52.549167322871909</v>
      </c>
      <c r="AIZ24" s="90">
        <f t="shared" ca="1" si="947"/>
        <v>42.009153512675276</v>
      </c>
      <c r="AJA24" s="90">
        <f t="shared" ca="1" si="948"/>
        <v>497.95614203265467</v>
      </c>
      <c r="AJB24" s="90">
        <f t="shared" ca="1" si="949"/>
        <v>10.807863039346461</v>
      </c>
      <c r="AJC24" s="90">
        <f t="shared" ca="1" si="950"/>
        <v>-1.9200467394508669</v>
      </c>
      <c r="AJD24" s="90">
        <f t="shared" ca="1" si="951"/>
        <v>59.32845514053303</v>
      </c>
      <c r="AJE24" s="90">
        <f t="shared" ca="1" si="952"/>
        <v>87.418410224812916</v>
      </c>
      <c r="AJF24" s="90">
        <f t="shared" ca="1" si="953"/>
        <v>41.224320615654733</v>
      </c>
      <c r="AJG24" s="90">
        <f t="shared" ca="1" si="954"/>
        <v>78.999187353720401</v>
      </c>
      <c r="AJH24" s="90">
        <f t="shared" ca="1" si="955"/>
        <v>20.358925697553914</v>
      </c>
      <c r="AJI24" s="90">
        <f t="shared" ca="1" si="956"/>
        <v>525.08522359069582</v>
      </c>
      <c r="AJJ24" s="90">
        <f t="shared" ca="1" si="957"/>
        <v>42.583783248675672</v>
      </c>
      <c r="AJK24" s="90">
        <f t="shared" ca="1" si="958"/>
        <v>19.63554636746494</v>
      </c>
      <c r="AJL24" s="90">
        <f t="shared" ca="1" si="959"/>
        <v>72.478646371499579</v>
      </c>
      <c r="AJM24" s="90">
        <f t="shared" ca="1" si="960"/>
        <v>314.33262507246258</v>
      </c>
      <c r="AJN24" s="90">
        <f t="shared" ca="1" si="961"/>
        <v>35.280211098178441</v>
      </c>
      <c r="AJO24" s="90">
        <f t="shared" ca="1" si="962"/>
        <v>34.036317564493622</v>
      </c>
      <c r="AJP24" s="90">
        <f t="shared" ca="1" si="963"/>
        <v>1002.3559483489115</v>
      </c>
      <c r="AJQ24" s="90">
        <f t="shared" ca="1" si="964"/>
        <v>61.443086004959731</v>
      </c>
      <c r="AJR24" s="90">
        <f t="shared" ca="1" si="965"/>
        <v>13.872990339208066</v>
      </c>
      <c r="AJS24" s="90">
        <f t="shared" ca="1" si="966"/>
        <v>121.52271235217512</v>
      </c>
      <c r="AJT24" s="90">
        <f t="shared" ca="1" si="967"/>
        <v>52.879582219504982</v>
      </c>
      <c r="AJU24" s="90">
        <f t="shared" ca="1" si="968"/>
        <v>20.52781527139188</v>
      </c>
      <c r="AJV24" s="90">
        <f t="shared" ca="1" si="969"/>
        <v>265.07817533602849</v>
      </c>
      <c r="AJW24" s="90">
        <f t="shared" ca="1" si="970"/>
        <v>100.34005867381552</v>
      </c>
      <c r="AJX24" s="90">
        <f t="shared" ca="1" si="971"/>
        <v>27.104592476807099</v>
      </c>
      <c r="AJY24" s="90">
        <f t="shared" ca="1" si="972"/>
        <v>17.058390336571634</v>
      </c>
      <c r="AJZ24" s="90">
        <f t="shared" ca="1" si="973"/>
        <v>55.096261577148262</v>
      </c>
      <c r="AKA24" s="90">
        <f t="shared" ca="1" si="974"/>
        <v>34.263684631271261</v>
      </c>
      <c r="AKB24" s="90">
        <f t="shared" ca="1" si="975"/>
        <v>106.0871280650772</v>
      </c>
      <c r="AKC24" s="90">
        <f t="shared" ca="1" si="976"/>
        <v>60.543916723857386</v>
      </c>
      <c r="AKD24" s="90">
        <f t="shared" ca="1" si="977"/>
        <v>206.07371930537761</v>
      </c>
      <c r="AKE24" s="90">
        <f t="shared" ca="1" si="978"/>
        <v>23.123399657332396</v>
      </c>
      <c r="AKF24" s="90">
        <f t="shared" ca="1" si="979"/>
        <v>151.3504221405062</v>
      </c>
      <c r="AKG24" s="90">
        <f t="shared" ca="1" si="980"/>
        <v>8.3448245035779447</v>
      </c>
      <c r="AKH24" s="90">
        <f t="shared" ca="1" si="981"/>
        <v>48.458117571912716</v>
      </c>
      <c r="AKI24" s="90">
        <f t="shared" ca="1" si="982"/>
        <v>367.25018313850217</v>
      </c>
      <c r="AKJ24" s="90">
        <f t="shared" ca="1" si="983"/>
        <v>34.329603064195133</v>
      </c>
      <c r="AKK24" s="90">
        <f t="shared" ca="1" si="984"/>
        <v>38.49094933630893</v>
      </c>
      <c r="AKL24" s="90">
        <f t="shared" ca="1" si="985"/>
        <v>50.859129844944903</v>
      </c>
      <c r="AKM24" s="90">
        <f t="shared" ca="1" si="986"/>
        <v>183.14666529733663</v>
      </c>
      <c r="AKN24" s="90">
        <f t="shared" ca="1" si="987"/>
        <v>73.94454237793633</v>
      </c>
      <c r="AKO24" s="90">
        <f t="shared" ca="1" si="988"/>
        <v>36.068746979593001</v>
      </c>
      <c r="AKP24" s="90">
        <f t="shared" ca="1" si="989"/>
        <v>31.267341789760266</v>
      </c>
      <c r="AKQ24" s="90">
        <f t="shared" ca="1" si="990"/>
        <v>28.453430393165903</v>
      </c>
      <c r="AKR24" s="90">
        <f t="shared" ca="1" si="991"/>
        <v>8.6104087738312156</v>
      </c>
      <c r="AKS24" s="90">
        <f t="shared" ca="1" si="992"/>
        <v>112.02353105715243</v>
      </c>
      <c r="AKT24" s="90">
        <f t="shared" ca="1" si="993"/>
        <v>88.530057972792008</v>
      </c>
      <c r="AKU24" s="90">
        <f t="shared" ca="1" si="994"/>
        <v>53.075871432376566</v>
      </c>
      <c r="AKV24" s="90">
        <f t="shared" ca="1" si="995"/>
        <v>22.571540281599511</v>
      </c>
      <c r="AKW24" s="90">
        <f t="shared" ca="1" si="996"/>
        <v>114.31101045147284</v>
      </c>
      <c r="AKX24" s="90">
        <f t="shared" ca="1" si="997"/>
        <v>98.73007489960257</v>
      </c>
      <c r="AKY24" s="90">
        <f t="shared" ca="1" si="998"/>
        <v>10.322169344552947</v>
      </c>
      <c r="AKZ24" s="90">
        <f t="shared" ca="1" si="999"/>
        <v>752.99688864490133</v>
      </c>
      <c r="ALA24" s="90">
        <f t="shared" ca="1" si="1000"/>
        <v>131.15477214955251</v>
      </c>
      <c r="ALB24" s="90">
        <f t="shared" ca="1" si="1001"/>
        <v>466.56646597081408</v>
      </c>
      <c r="ALC24" s="90">
        <f t="shared" ca="1" si="1002"/>
        <v>465.10635462236235</v>
      </c>
      <c r="ALD24" s="90">
        <f t="shared" ca="1" si="1003"/>
        <v>621.12069400719906</v>
      </c>
      <c r="ALE24" s="90">
        <f t="shared" ca="1" si="1004"/>
        <v>-9.9633958906076803</v>
      </c>
      <c r="ALF24" s="90">
        <f t="shared" ca="1" si="1005"/>
        <v>123.22658676958969</v>
      </c>
      <c r="ALG24" s="90">
        <f t="shared" ca="1" si="1006"/>
        <v>98.695391134206943</v>
      </c>
      <c r="ALH24" s="90">
        <f t="shared" ca="1" si="1007"/>
        <v>8.2917574471265034</v>
      </c>
      <c r="ALI24" s="90">
        <f t="shared" ca="1" si="1008"/>
        <v>48.76644147682498</v>
      </c>
      <c r="ALJ24" s="90">
        <f t="shared" ca="1" si="1009"/>
        <v>242.8727485817974</v>
      </c>
      <c r="ALK24" s="90">
        <f t="shared" ca="1" si="1010"/>
        <v>-0.43437967512872472</v>
      </c>
      <c r="ALL24" s="90">
        <f t="shared" ca="1" si="1011"/>
        <v>72.365651598328981</v>
      </c>
      <c r="ALM24" s="90">
        <f t="shared" ca="1" si="1012"/>
        <v>26.403452323748372</v>
      </c>
      <c r="ALN24" s="90">
        <f t="shared" ca="1" si="1013"/>
        <v>200.96079926611961</v>
      </c>
      <c r="ALO24" s="90">
        <f t="shared" ca="1" si="1014"/>
        <v>18.677534836229125</v>
      </c>
      <c r="ALP24" s="90">
        <f t="shared" ca="1" si="1015"/>
        <v>155.02393526179895</v>
      </c>
      <c r="ALQ24" s="90">
        <f t="shared" ca="1" si="1016"/>
        <v>72.134399691955707</v>
      </c>
    </row>
    <row r="25" spans="3:1005" x14ac:dyDescent="0.35">
      <c r="C25" s="61">
        <f t="shared" ca="1" si="17"/>
        <v>0.12103912600813782</v>
      </c>
      <c r="D25" s="90">
        <f t="shared" ca="1" si="0"/>
        <v>137.90021995465278</v>
      </c>
      <c r="E25">
        <v>8</v>
      </c>
      <c r="F25" s="90">
        <f t="shared" ca="1" si="1017"/>
        <v>7.7869771493881288</v>
      </c>
      <c r="G25" s="90">
        <f t="shared" ca="1" si="18"/>
        <v>181.34669856951999</v>
      </c>
      <c r="H25" s="90">
        <f t="shared" ca="1" si="19"/>
        <v>67.278786370101486</v>
      </c>
      <c r="I25" s="90">
        <f t="shared" ca="1" si="20"/>
        <v>212.35255683927301</v>
      </c>
      <c r="J25" s="90">
        <f t="shared" ca="1" si="21"/>
        <v>30.869645989893353</v>
      </c>
      <c r="K25" s="90">
        <f t="shared" ca="1" si="22"/>
        <v>134.79854913919999</v>
      </c>
      <c r="L25" s="90">
        <f t="shared" ca="1" si="23"/>
        <v>-23.731513159718997</v>
      </c>
      <c r="M25" s="90">
        <f t="shared" ca="1" si="24"/>
        <v>36.985215213312024</v>
      </c>
      <c r="N25" s="90">
        <f t="shared" ca="1" si="25"/>
        <v>57.38368102838561</v>
      </c>
      <c r="O25" s="90">
        <f t="shared" ca="1" si="26"/>
        <v>100.18802568627778</v>
      </c>
      <c r="P25" s="90">
        <f t="shared" ca="1" si="27"/>
        <v>21.459758529157639</v>
      </c>
      <c r="Q25" s="90">
        <f t="shared" ca="1" si="28"/>
        <v>86.097894939026304</v>
      </c>
      <c r="R25" s="90">
        <f t="shared" ca="1" si="29"/>
        <v>12.940945370068295</v>
      </c>
      <c r="S25" s="90">
        <f t="shared" ca="1" si="30"/>
        <v>216.91393658686053</v>
      </c>
      <c r="T25" s="90">
        <f t="shared" ca="1" si="31"/>
        <v>39.215029674465129</v>
      </c>
      <c r="U25" s="90">
        <f t="shared" ca="1" si="32"/>
        <v>159.78719864925301</v>
      </c>
      <c r="V25" s="90">
        <f t="shared" ca="1" si="33"/>
        <v>178.51974288313812</v>
      </c>
      <c r="W25" s="90">
        <f t="shared" ca="1" si="34"/>
        <v>267.31536879548315</v>
      </c>
      <c r="X25" s="90">
        <f t="shared" ca="1" si="35"/>
        <v>285.78180955451995</v>
      </c>
      <c r="Y25" s="90">
        <f t="shared" ca="1" si="36"/>
        <v>710.20263134266213</v>
      </c>
      <c r="Z25" s="90">
        <f t="shared" ca="1" si="37"/>
        <v>229.44194518411774</v>
      </c>
      <c r="AA25" s="90">
        <f t="shared" ca="1" si="38"/>
        <v>86.520466412405014</v>
      </c>
      <c r="AB25" s="90">
        <f t="shared" ca="1" si="39"/>
        <v>89.963498485355743</v>
      </c>
      <c r="AC25" s="90">
        <f t="shared" ca="1" si="40"/>
        <v>37.993333677857727</v>
      </c>
      <c r="AD25" s="90">
        <f t="shared" ca="1" si="41"/>
        <v>329.29094415502004</v>
      </c>
      <c r="AE25" s="90">
        <f t="shared" ca="1" si="42"/>
        <v>142.59151906030124</v>
      </c>
      <c r="AF25" s="90">
        <f t="shared" ca="1" si="43"/>
        <v>758.84898675472584</v>
      </c>
      <c r="AG25" s="90">
        <f t="shared" ca="1" si="44"/>
        <v>62.033598700817663</v>
      </c>
      <c r="AH25" s="90">
        <f t="shared" ca="1" si="45"/>
        <v>19.372027739857437</v>
      </c>
      <c r="AI25" s="90">
        <f t="shared" ca="1" si="46"/>
        <v>38.499947004407382</v>
      </c>
      <c r="AJ25" s="90">
        <f t="shared" ca="1" si="47"/>
        <v>415.34175157916491</v>
      </c>
      <c r="AK25" s="90">
        <f t="shared" ca="1" si="48"/>
        <v>-11.694754207316436</v>
      </c>
      <c r="AL25" s="90">
        <f t="shared" ca="1" si="49"/>
        <v>160.18450562630528</v>
      </c>
      <c r="AM25" s="90">
        <f t="shared" ca="1" si="50"/>
        <v>-0.13039820124189352</v>
      </c>
      <c r="AN25" s="90">
        <f t="shared" ca="1" si="51"/>
        <v>22.970436635604962</v>
      </c>
      <c r="AO25" s="90">
        <f t="shared" ca="1" si="52"/>
        <v>408.99416741518507</v>
      </c>
      <c r="AP25" s="90">
        <f t="shared" ca="1" si="53"/>
        <v>219.4747992558207</v>
      </c>
      <c r="AQ25" s="90">
        <f t="shared" ca="1" si="54"/>
        <v>83.117738420700618</v>
      </c>
      <c r="AR25" s="90">
        <f t="shared" ca="1" si="55"/>
        <v>36.821679609719453</v>
      </c>
      <c r="AS25" s="90">
        <f t="shared" ca="1" si="56"/>
        <v>662.575232091158</v>
      </c>
      <c r="AT25" s="90">
        <f t="shared" ca="1" si="57"/>
        <v>175.87241711284</v>
      </c>
      <c r="AU25" s="90">
        <f t="shared" ca="1" si="58"/>
        <v>73.539069930836689</v>
      </c>
      <c r="AV25" s="90">
        <f t="shared" ca="1" si="59"/>
        <v>16.187382484206257</v>
      </c>
      <c r="AW25" s="90">
        <f t="shared" ca="1" si="60"/>
        <v>97.982955601841141</v>
      </c>
      <c r="AX25" s="90">
        <f t="shared" ca="1" si="61"/>
        <v>10.076796185530849</v>
      </c>
      <c r="AY25" s="90">
        <f t="shared" ca="1" si="62"/>
        <v>396.31526412696508</v>
      </c>
      <c r="AZ25" s="90">
        <f t="shared" ca="1" si="63"/>
        <v>110.54110059200025</v>
      </c>
      <c r="BA25" s="90">
        <f t="shared" ca="1" si="64"/>
        <v>136.28921233415289</v>
      </c>
      <c r="BB25" s="90">
        <f t="shared" ca="1" si="65"/>
        <v>19.023439051164754</v>
      </c>
      <c r="BC25" s="90">
        <f t="shared" ca="1" si="66"/>
        <v>184.70465230015083</v>
      </c>
      <c r="BD25" s="90">
        <f t="shared" ca="1" si="67"/>
        <v>111.90018945400584</v>
      </c>
      <c r="BE25" s="90">
        <f t="shared" ca="1" si="68"/>
        <v>1.5525533614101428</v>
      </c>
      <c r="BF25" s="90">
        <f t="shared" ca="1" si="69"/>
        <v>11.436683014981286</v>
      </c>
      <c r="BG25" s="90">
        <f t="shared" ca="1" si="70"/>
        <v>72.096555895088585</v>
      </c>
      <c r="BH25" s="90">
        <f t="shared" ca="1" si="71"/>
        <v>21.430419570284997</v>
      </c>
      <c r="BI25" s="90">
        <f t="shared" ca="1" si="72"/>
        <v>42.753919282046247</v>
      </c>
      <c r="BJ25" s="90">
        <f t="shared" ca="1" si="73"/>
        <v>35.991336938742258</v>
      </c>
      <c r="BK25" s="90">
        <f t="shared" ca="1" si="74"/>
        <v>2.216735110197841</v>
      </c>
      <c r="BL25" s="90">
        <f t="shared" ca="1" si="75"/>
        <v>28.649279357920651</v>
      </c>
      <c r="BM25" s="90">
        <f t="shared" ca="1" si="76"/>
        <v>270.76863460222677</v>
      </c>
      <c r="BN25" s="90">
        <f t="shared" ca="1" si="77"/>
        <v>6.4591152211568081</v>
      </c>
      <c r="BO25" s="90">
        <f t="shared" ca="1" si="78"/>
        <v>263.21668345451974</v>
      </c>
      <c r="BP25" s="90">
        <f t="shared" ca="1" si="79"/>
        <v>276.76815918063079</v>
      </c>
      <c r="BQ25" s="90">
        <f t="shared" ca="1" si="80"/>
        <v>167.65670354497686</v>
      </c>
      <c r="BR25" s="90">
        <f t="shared" ca="1" si="81"/>
        <v>181.83196090728455</v>
      </c>
      <c r="BS25" s="90">
        <f t="shared" ca="1" si="82"/>
        <v>143.77298114368202</v>
      </c>
      <c r="BT25" s="90">
        <f t="shared" ca="1" si="83"/>
        <v>109.60185734910942</v>
      </c>
      <c r="BU25" s="90">
        <f t="shared" ca="1" si="84"/>
        <v>9.8728302904195555</v>
      </c>
      <c r="BV25" s="90">
        <f t="shared" ca="1" si="85"/>
        <v>28.463591296254013</v>
      </c>
      <c r="BW25" s="90">
        <f t="shared" ca="1" si="86"/>
        <v>322.26009167509972</v>
      </c>
      <c r="BX25" s="90">
        <f t="shared" ca="1" si="87"/>
        <v>9.5649558327460795</v>
      </c>
      <c r="BY25" s="90">
        <f t="shared" ca="1" si="88"/>
        <v>166.53448353296426</v>
      </c>
      <c r="BZ25" s="90">
        <f t="shared" ca="1" si="89"/>
        <v>115.13026566754606</v>
      </c>
      <c r="CA25" s="90">
        <f t="shared" ca="1" si="90"/>
        <v>17.574797198385383</v>
      </c>
      <c r="CB25" s="90">
        <f t="shared" ca="1" si="91"/>
        <v>77.032690556623507</v>
      </c>
      <c r="CC25" s="90">
        <f t="shared" ca="1" si="92"/>
        <v>114.82671835069489</v>
      </c>
      <c r="CD25" s="90">
        <f t="shared" ca="1" si="93"/>
        <v>156.99048845807204</v>
      </c>
      <c r="CE25" s="90">
        <f t="shared" ca="1" si="94"/>
        <v>0.69848573005912917</v>
      </c>
      <c r="CF25" s="90">
        <f t="shared" ca="1" si="95"/>
        <v>94.128960314860052</v>
      </c>
      <c r="CG25" s="90">
        <f t="shared" ca="1" si="96"/>
        <v>3.9349665862309551</v>
      </c>
      <c r="CH25" s="90">
        <f t="shared" ca="1" si="97"/>
        <v>39.108924727358321</v>
      </c>
      <c r="CI25" s="90">
        <f t="shared" ca="1" si="98"/>
        <v>144.31452450400539</v>
      </c>
      <c r="CJ25" s="90">
        <f t="shared" ca="1" si="99"/>
        <v>96.048509040933382</v>
      </c>
      <c r="CK25" s="90">
        <f t="shared" ca="1" si="100"/>
        <v>154.71432406684519</v>
      </c>
      <c r="CL25" s="90">
        <f t="shared" ca="1" si="101"/>
        <v>65.639149573296592</v>
      </c>
      <c r="CM25" s="90">
        <f t="shared" ca="1" si="102"/>
        <v>77.85789094535123</v>
      </c>
      <c r="CN25" s="90">
        <f t="shared" ca="1" si="103"/>
        <v>121.08492132934387</v>
      </c>
      <c r="CO25" s="90">
        <f t="shared" ca="1" si="104"/>
        <v>107.2815722722557</v>
      </c>
      <c r="CP25" s="90">
        <f t="shared" ca="1" si="105"/>
        <v>355.28087466800622</v>
      </c>
      <c r="CQ25" s="90">
        <f t="shared" ca="1" si="106"/>
        <v>28.722667495854481</v>
      </c>
      <c r="CR25" s="90">
        <f t="shared" ca="1" si="107"/>
        <v>49.054694727743311</v>
      </c>
      <c r="CS25" s="90">
        <f t="shared" ca="1" si="108"/>
        <v>87.555889109919221</v>
      </c>
      <c r="CT25" s="90">
        <f t="shared" ca="1" si="109"/>
        <v>54.979222044118224</v>
      </c>
      <c r="CU25" s="90">
        <f t="shared" ca="1" si="110"/>
        <v>25.727088891043575</v>
      </c>
      <c r="CV25" s="90">
        <f t="shared" ca="1" si="111"/>
        <v>768.23623282695553</v>
      </c>
      <c r="CW25" s="90">
        <f t="shared" ca="1" si="112"/>
        <v>212.96544098455337</v>
      </c>
      <c r="CX25" s="90">
        <f t="shared" ca="1" si="113"/>
        <v>142.23047934450966</v>
      </c>
      <c r="CY25" s="90">
        <f t="shared" ca="1" si="114"/>
        <v>70.617739125186702</v>
      </c>
      <c r="CZ25" s="90">
        <f t="shared" ca="1" si="115"/>
        <v>586.06009374352709</v>
      </c>
      <c r="DA25" s="90">
        <f t="shared" ca="1" si="116"/>
        <v>18.570021585384534</v>
      </c>
      <c r="DB25" s="90">
        <f t="shared" ca="1" si="117"/>
        <v>288.12357577317641</v>
      </c>
      <c r="DC25" s="90">
        <f t="shared" ca="1" si="118"/>
        <v>16.757343906639385</v>
      </c>
      <c r="DD25" s="90">
        <f t="shared" ca="1" si="119"/>
        <v>456.41070567487316</v>
      </c>
      <c r="DE25" s="90">
        <f t="shared" ca="1" si="120"/>
        <v>114.77861564553102</v>
      </c>
      <c r="DF25" s="90">
        <f t="shared" ca="1" si="121"/>
        <v>33.274136726248976</v>
      </c>
      <c r="DG25" s="90">
        <f t="shared" ca="1" si="122"/>
        <v>39.590400869611763</v>
      </c>
      <c r="DH25" s="90">
        <f t="shared" ca="1" si="123"/>
        <v>202.47021751825358</v>
      </c>
      <c r="DI25" s="90">
        <f t="shared" ca="1" si="124"/>
        <v>15.534324904728519</v>
      </c>
      <c r="DJ25" s="90">
        <f t="shared" ca="1" si="125"/>
        <v>366.43158630328827</v>
      </c>
      <c r="DK25" s="90">
        <f t="shared" ca="1" si="126"/>
        <v>49.500647921134139</v>
      </c>
      <c r="DL25" s="90">
        <f t="shared" ca="1" si="127"/>
        <v>12.167624921532466</v>
      </c>
      <c r="DM25" s="90">
        <f t="shared" ca="1" si="128"/>
        <v>5.2290043211503328</v>
      </c>
      <c r="DN25" s="90">
        <f t="shared" ca="1" si="129"/>
        <v>21.529993517511027</v>
      </c>
      <c r="DO25" s="90">
        <f t="shared" ca="1" si="130"/>
        <v>580.91886513572581</v>
      </c>
      <c r="DP25" s="90">
        <f t="shared" ca="1" si="131"/>
        <v>57.723293795912546</v>
      </c>
      <c r="DQ25" s="90">
        <f t="shared" ca="1" si="132"/>
        <v>318.15256827045732</v>
      </c>
      <c r="DR25" s="90">
        <f t="shared" ca="1" si="133"/>
        <v>31.85791865392315</v>
      </c>
      <c r="DS25" s="90">
        <f t="shared" ca="1" si="134"/>
        <v>8.3393116069926663</v>
      </c>
      <c r="DT25" s="90">
        <f t="shared" ca="1" si="135"/>
        <v>-0.4003477692220061</v>
      </c>
      <c r="DU25" s="90">
        <f t="shared" ca="1" si="136"/>
        <v>94.539926737891093</v>
      </c>
      <c r="DV25" s="90">
        <f t="shared" ca="1" si="137"/>
        <v>427.85416887048029</v>
      </c>
      <c r="DW25" s="90">
        <f t="shared" ca="1" si="138"/>
        <v>826.97393772599924</v>
      </c>
      <c r="DX25" s="90">
        <f t="shared" ca="1" si="139"/>
        <v>136.24376475316762</v>
      </c>
      <c r="DY25" s="90">
        <f t="shared" ca="1" si="140"/>
        <v>43.995087029821946</v>
      </c>
      <c r="DZ25" s="90">
        <f t="shared" ca="1" si="141"/>
        <v>282.33481184519906</v>
      </c>
      <c r="EA25" s="90">
        <f t="shared" ca="1" si="142"/>
        <v>68.787701618953506</v>
      </c>
      <c r="EB25" s="90">
        <f t="shared" ca="1" si="143"/>
        <v>187.67732270690334</v>
      </c>
      <c r="EC25" s="90">
        <f t="shared" ca="1" si="144"/>
        <v>222.25817549266907</v>
      </c>
      <c r="ED25" s="90">
        <f t="shared" ca="1" si="145"/>
        <v>40.869640012335417</v>
      </c>
      <c r="EE25" s="90">
        <f t="shared" ca="1" si="146"/>
        <v>-5.7455724402543611</v>
      </c>
      <c r="EF25" s="90">
        <f t="shared" ca="1" si="147"/>
        <v>198.42551983654789</v>
      </c>
      <c r="EG25" s="90">
        <f t="shared" ca="1" si="148"/>
        <v>63.162717843428048</v>
      </c>
      <c r="EH25" s="90">
        <f t="shared" ca="1" si="149"/>
        <v>27.775108614877048</v>
      </c>
      <c r="EI25" s="90">
        <f t="shared" ca="1" si="150"/>
        <v>82.682060248758106</v>
      </c>
      <c r="EJ25" s="90">
        <f t="shared" ca="1" si="151"/>
        <v>113.618135011767</v>
      </c>
      <c r="EK25" s="90">
        <f t="shared" ca="1" si="152"/>
        <v>44.736736399736316</v>
      </c>
      <c r="EL25" s="90">
        <f t="shared" ca="1" si="153"/>
        <v>290.36646951655661</v>
      </c>
      <c r="EM25" s="90">
        <f t="shared" ca="1" si="154"/>
        <v>27.177575810982511</v>
      </c>
      <c r="EN25" s="90">
        <f t="shared" ca="1" si="155"/>
        <v>170.23247063258268</v>
      </c>
      <c r="EO25" s="90">
        <f t="shared" ca="1" si="156"/>
        <v>373.03316925467885</v>
      </c>
      <c r="EP25" s="90">
        <f t="shared" ca="1" si="157"/>
        <v>140.20448923561418</v>
      </c>
      <c r="EQ25" s="90">
        <f t="shared" ca="1" si="158"/>
        <v>161.67383899409856</v>
      </c>
      <c r="ER25" s="90">
        <f t="shared" ca="1" si="159"/>
        <v>71.417551153509464</v>
      </c>
      <c r="ES25" s="90">
        <f t="shared" ca="1" si="160"/>
        <v>149.75263855702548</v>
      </c>
      <c r="ET25" s="90">
        <f t="shared" ca="1" si="161"/>
        <v>14.039379964181446</v>
      </c>
      <c r="EU25" s="90">
        <f t="shared" ca="1" si="162"/>
        <v>21.173505202622124</v>
      </c>
      <c r="EV25" s="90">
        <f t="shared" ca="1" si="163"/>
        <v>284.09523479153012</v>
      </c>
      <c r="EW25" s="90">
        <f t="shared" ca="1" si="164"/>
        <v>77.248388291526837</v>
      </c>
      <c r="EX25" s="90">
        <f t="shared" ca="1" si="165"/>
        <v>18.695902120978126</v>
      </c>
      <c r="EY25" s="90">
        <f t="shared" ca="1" si="166"/>
        <v>194.63279132650902</v>
      </c>
      <c r="EZ25" s="90">
        <f t="shared" ca="1" si="167"/>
        <v>110.09222792119927</v>
      </c>
      <c r="FA25" s="90">
        <f t="shared" ca="1" si="168"/>
        <v>228.28013819621989</v>
      </c>
      <c r="FB25" s="90">
        <f t="shared" ca="1" si="169"/>
        <v>63.662123940333466</v>
      </c>
      <c r="FC25" s="90">
        <f t="shared" ca="1" si="170"/>
        <v>357.38127008015988</v>
      </c>
      <c r="FD25" s="90">
        <f t="shared" ca="1" si="171"/>
        <v>5.8351942373772321</v>
      </c>
      <c r="FE25" s="90">
        <f t="shared" ca="1" si="172"/>
        <v>39.748072255115581</v>
      </c>
      <c r="FF25" s="90">
        <f t="shared" ca="1" si="173"/>
        <v>40.413250799834891</v>
      </c>
      <c r="FG25" s="90">
        <f t="shared" ca="1" si="174"/>
        <v>781.04702084089183</v>
      </c>
      <c r="FH25" s="90">
        <f t="shared" ca="1" si="175"/>
        <v>385.03039173822128</v>
      </c>
      <c r="FI25" s="90">
        <f t="shared" ca="1" si="176"/>
        <v>8.9602440450079541</v>
      </c>
      <c r="FJ25" s="90">
        <f t="shared" ca="1" si="177"/>
        <v>166.81548496235609</v>
      </c>
      <c r="FK25" s="90">
        <f t="shared" ca="1" si="178"/>
        <v>52.134287693369977</v>
      </c>
      <c r="FL25" s="90">
        <f t="shared" ca="1" si="179"/>
        <v>730.41261885659821</v>
      </c>
      <c r="FM25" s="90">
        <f t="shared" ca="1" si="180"/>
        <v>92.687726420732375</v>
      </c>
      <c r="FN25" s="90">
        <f t="shared" ca="1" si="181"/>
        <v>142.47259028340318</v>
      </c>
      <c r="FO25" s="90">
        <f t="shared" ca="1" si="182"/>
        <v>1348.3807694674838</v>
      </c>
      <c r="FP25" s="90">
        <f t="shared" ca="1" si="183"/>
        <v>50.302286999059262</v>
      </c>
      <c r="FQ25" s="90">
        <f t="shared" ca="1" si="184"/>
        <v>93.055531779030389</v>
      </c>
      <c r="FR25" s="90">
        <f t="shared" ca="1" si="185"/>
        <v>92.238785678325613</v>
      </c>
      <c r="FS25" s="90">
        <f t="shared" ca="1" si="186"/>
        <v>161.58827132551588</v>
      </c>
      <c r="FT25" s="90">
        <f t="shared" ca="1" si="187"/>
        <v>60.206278467328303</v>
      </c>
      <c r="FU25" s="90">
        <f t="shared" ca="1" si="188"/>
        <v>191.77000310317277</v>
      </c>
      <c r="FV25" s="90">
        <f t="shared" ca="1" si="189"/>
        <v>104.69520988075087</v>
      </c>
      <c r="FW25" s="90">
        <f t="shared" ca="1" si="190"/>
        <v>15.372653105615512</v>
      </c>
      <c r="FX25" s="90">
        <f t="shared" ca="1" si="191"/>
        <v>228.82289060793431</v>
      </c>
      <c r="FY25" s="90">
        <f t="shared" ca="1" si="192"/>
        <v>201.33128976731922</v>
      </c>
      <c r="FZ25" s="90">
        <f t="shared" ca="1" si="193"/>
        <v>44.501737689536462</v>
      </c>
      <c r="GA25" s="90">
        <f t="shared" ca="1" si="194"/>
        <v>8.2885282065357835</v>
      </c>
      <c r="GB25" s="90">
        <f t="shared" ca="1" si="195"/>
        <v>32.787958737501327</v>
      </c>
      <c r="GC25" s="90">
        <f t="shared" ca="1" si="196"/>
        <v>-5.5217296204469362</v>
      </c>
      <c r="GD25" s="90">
        <f t="shared" ca="1" si="197"/>
        <v>255.17127136464217</v>
      </c>
      <c r="GE25" s="90">
        <f t="shared" ca="1" si="198"/>
        <v>45.4616793734208</v>
      </c>
      <c r="GF25" s="90">
        <f t="shared" ca="1" si="199"/>
        <v>21.297446405789827</v>
      </c>
      <c r="GG25" s="90">
        <f t="shared" ca="1" si="200"/>
        <v>84.310472206988692</v>
      </c>
      <c r="GH25" s="90">
        <f t="shared" ca="1" si="201"/>
        <v>523.01807734920317</v>
      </c>
      <c r="GI25" s="90">
        <f t="shared" ca="1" si="202"/>
        <v>63.699062003250127</v>
      </c>
      <c r="GJ25" s="90">
        <f t="shared" ca="1" si="203"/>
        <v>22.777618799472101</v>
      </c>
      <c r="GK25" s="90">
        <f t="shared" ca="1" si="204"/>
        <v>739.16380912357545</v>
      </c>
      <c r="GL25" s="90">
        <f t="shared" ca="1" si="205"/>
        <v>186.14772221103073</v>
      </c>
      <c r="GM25" s="90">
        <f t="shared" ca="1" si="206"/>
        <v>10.9325367672495</v>
      </c>
      <c r="GN25" s="90">
        <f t="shared" ca="1" si="207"/>
        <v>-1.786182327123464</v>
      </c>
      <c r="GO25" s="90">
        <f t="shared" ca="1" si="208"/>
        <v>73.119385408277765</v>
      </c>
      <c r="GP25" s="90">
        <f t="shared" ca="1" si="209"/>
        <v>256.60789377552948</v>
      </c>
      <c r="GQ25" s="90">
        <f t="shared" ca="1" si="210"/>
        <v>54.074890815629907</v>
      </c>
      <c r="GR25" s="90">
        <f t="shared" ca="1" si="211"/>
        <v>826.78445326816848</v>
      </c>
      <c r="GS25" s="90">
        <f t="shared" ca="1" si="212"/>
        <v>35.721311048360384</v>
      </c>
      <c r="GT25" s="90">
        <f t="shared" ca="1" si="213"/>
        <v>27.211004229308713</v>
      </c>
      <c r="GU25" s="90">
        <f t="shared" ca="1" si="214"/>
        <v>225.36533250994449</v>
      </c>
      <c r="GV25" s="90">
        <f t="shared" ca="1" si="215"/>
        <v>228.71088237659504</v>
      </c>
      <c r="GW25" s="90">
        <f t="shared" ca="1" si="216"/>
        <v>139.70602768135876</v>
      </c>
      <c r="GX25" s="90">
        <f t="shared" ca="1" si="217"/>
        <v>509.33102244471337</v>
      </c>
      <c r="GY25" s="90">
        <f t="shared" ca="1" si="218"/>
        <v>258.38598913387267</v>
      </c>
      <c r="GZ25" s="90">
        <f t="shared" ca="1" si="219"/>
        <v>202.23458321017389</v>
      </c>
      <c r="HA25" s="90">
        <f t="shared" ca="1" si="220"/>
        <v>111.38895663736449</v>
      </c>
      <c r="HB25" s="90">
        <f t="shared" ca="1" si="221"/>
        <v>32.481914524509044</v>
      </c>
      <c r="HC25" s="90">
        <f t="shared" ca="1" si="222"/>
        <v>71.196752572469919</v>
      </c>
      <c r="HD25" s="90">
        <f t="shared" ca="1" si="223"/>
        <v>139.70769323585233</v>
      </c>
      <c r="HE25" s="90">
        <f t="shared" ca="1" si="224"/>
        <v>294.60624563828912</v>
      </c>
      <c r="HF25" s="90">
        <f t="shared" ca="1" si="225"/>
        <v>-1.5722683819328445</v>
      </c>
      <c r="HG25" s="90">
        <f t="shared" ca="1" si="226"/>
        <v>488.02872092680457</v>
      </c>
      <c r="HH25" s="90">
        <f t="shared" ca="1" si="227"/>
        <v>67.149767979728196</v>
      </c>
      <c r="HI25" s="90">
        <f t="shared" ca="1" si="228"/>
        <v>287.31745053697665</v>
      </c>
      <c r="HJ25" s="90">
        <f t="shared" ca="1" si="229"/>
        <v>200.66337329586295</v>
      </c>
      <c r="HK25" s="90">
        <f t="shared" ca="1" si="230"/>
        <v>41.937862171750886</v>
      </c>
      <c r="HL25" s="90">
        <f t="shared" ca="1" si="231"/>
        <v>128.67352222154287</v>
      </c>
      <c r="HM25" s="90">
        <f t="shared" ca="1" si="232"/>
        <v>39.678014146161274</v>
      </c>
      <c r="HN25" s="90">
        <f t="shared" ca="1" si="233"/>
        <v>87.237330018406183</v>
      </c>
      <c r="HO25" s="90">
        <f t="shared" ca="1" si="234"/>
        <v>87.478701145592723</v>
      </c>
      <c r="HP25" s="90">
        <f t="shared" ca="1" si="235"/>
        <v>174.11589775485294</v>
      </c>
      <c r="HQ25" s="90">
        <f t="shared" ca="1" si="236"/>
        <v>108.90645836395784</v>
      </c>
      <c r="HR25" s="90">
        <f t="shared" ca="1" si="237"/>
        <v>119.27492808461442</v>
      </c>
      <c r="HS25" s="90">
        <f t="shared" ca="1" si="238"/>
        <v>44.044266721158479</v>
      </c>
      <c r="HT25" s="90">
        <f t="shared" ca="1" si="239"/>
        <v>71.049997961694771</v>
      </c>
      <c r="HU25" s="90">
        <f t="shared" ca="1" si="240"/>
        <v>14.062913333572165</v>
      </c>
      <c r="HV25" s="90">
        <f t="shared" ca="1" si="241"/>
        <v>85.80461366450325</v>
      </c>
      <c r="HW25" s="90">
        <f t="shared" ca="1" si="242"/>
        <v>100.56569856367807</v>
      </c>
      <c r="HX25" s="90">
        <f t="shared" ca="1" si="243"/>
        <v>135.4718026422558</v>
      </c>
      <c r="HY25" s="90">
        <f t="shared" ca="1" si="244"/>
        <v>1224.7574027352036</v>
      </c>
      <c r="HZ25" s="90">
        <f t="shared" ca="1" si="245"/>
        <v>72.165150225032448</v>
      </c>
      <c r="IA25" s="90">
        <f t="shared" ca="1" si="246"/>
        <v>71.513579773515019</v>
      </c>
      <c r="IB25" s="90">
        <f t="shared" ca="1" si="247"/>
        <v>107.8443904634597</v>
      </c>
      <c r="IC25" s="90">
        <f t="shared" ca="1" si="248"/>
        <v>29.945579867091187</v>
      </c>
      <c r="ID25" s="90">
        <f t="shared" ca="1" si="249"/>
        <v>10.00786695236649</v>
      </c>
      <c r="IE25" s="90">
        <f t="shared" ca="1" si="250"/>
        <v>23.3109888712941</v>
      </c>
      <c r="IF25" s="90">
        <f t="shared" ca="1" si="251"/>
        <v>2.8206615064895204</v>
      </c>
      <c r="IG25" s="90">
        <f t="shared" ca="1" si="252"/>
        <v>105.03943753130791</v>
      </c>
      <c r="IH25" s="90">
        <f t="shared" ca="1" si="253"/>
        <v>31.066074336844551</v>
      </c>
      <c r="II25" s="90">
        <f t="shared" ca="1" si="254"/>
        <v>20.006289815605967</v>
      </c>
      <c r="IJ25" s="90">
        <f t="shared" ca="1" si="255"/>
        <v>63.99458014315298</v>
      </c>
      <c r="IK25" s="90">
        <f t="shared" ca="1" si="256"/>
        <v>245.76737770121289</v>
      </c>
      <c r="IL25" s="90">
        <f t="shared" ca="1" si="257"/>
        <v>326.29831647345065</v>
      </c>
      <c r="IM25" s="90">
        <f t="shared" ca="1" si="258"/>
        <v>241.48429455246091</v>
      </c>
      <c r="IN25" s="90">
        <f t="shared" ca="1" si="259"/>
        <v>367.02845826963119</v>
      </c>
      <c r="IO25" s="90">
        <f t="shared" ca="1" si="260"/>
        <v>12.737772922958253</v>
      </c>
      <c r="IP25" s="90">
        <f t="shared" ca="1" si="261"/>
        <v>56.167137667121835</v>
      </c>
      <c r="IQ25" s="90">
        <f t="shared" ca="1" si="262"/>
        <v>136.95959451988134</v>
      </c>
      <c r="IR25" s="90">
        <f t="shared" ca="1" si="263"/>
        <v>314.66113385516195</v>
      </c>
      <c r="IS25" s="90">
        <f t="shared" ca="1" si="264"/>
        <v>78.34568898173292</v>
      </c>
      <c r="IT25" s="90">
        <f t="shared" ca="1" si="265"/>
        <v>10.840928725708887</v>
      </c>
      <c r="IU25" s="90">
        <f t="shared" ca="1" si="266"/>
        <v>496.23532765573754</v>
      </c>
      <c r="IV25" s="90">
        <f t="shared" ca="1" si="267"/>
        <v>63.824372482372311</v>
      </c>
      <c r="IW25" s="90">
        <f t="shared" ca="1" si="268"/>
        <v>27.569379254617115</v>
      </c>
      <c r="IX25" s="90">
        <f t="shared" ca="1" si="269"/>
        <v>149.78904886647413</v>
      </c>
      <c r="IY25" s="90">
        <f t="shared" ca="1" si="270"/>
        <v>163.80104383476296</v>
      </c>
      <c r="IZ25" s="90">
        <f t="shared" ca="1" si="271"/>
        <v>288.37712057456946</v>
      </c>
      <c r="JA25" s="90">
        <f t="shared" ca="1" si="272"/>
        <v>42.795781208276459</v>
      </c>
      <c r="JB25" s="90">
        <f t="shared" ca="1" si="273"/>
        <v>2.3075384812605173</v>
      </c>
      <c r="JC25" s="90">
        <f t="shared" ca="1" si="274"/>
        <v>31.936472799529245</v>
      </c>
      <c r="JD25" s="90">
        <f t="shared" ca="1" si="275"/>
        <v>101.91831847822802</v>
      </c>
      <c r="JE25" s="90">
        <f t="shared" ca="1" si="276"/>
        <v>37.170894753473931</v>
      </c>
      <c r="JF25" s="90">
        <f t="shared" ca="1" si="277"/>
        <v>61.891006261075873</v>
      </c>
      <c r="JG25" s="90">
        <f t="shared" ca="1" si="278"/>
        <v>173.69401390989137</v>
      </c>
      <c r="JH25" s="90">
        <f t="shared" ca="1" si="279"/>
        <v>37.74159539261268</v>
      </c>
      <c r="JI25" s="90">
        <f t="shared" ca="1" si="280"/>
        <v>9.2391694857555606</v>
      </c>
      <c r="JJ25" s="90">
        <f t="shared" ca="1" si="281"/>
        <v>22.116436622868274</v>
      </c>
      <c r="JK25" s="90">
        <f t="shared" ca="1" si="282"/>
        <v>479.25778438729867</v>
      </c>
      <c r="JL25" s="90">
        <f t="shared" ca="1" si="283"/>
        <v>169.15273348702021</v>
      </c>
      <c r="JM25" s="90">
        <f t="shared" ca="1" si="284"/>
        <v>236.27937730395945</v>
      </c>
      <c r="JN25" s="90">
        <f t="shared" ca="1" si="285"/>
        <v>202.31283876957855</v>
      </c>
      <c r="JO25" s="90">
        <f t="shared" ca="1" si="286"/>
        <v>42.428343385246052</v>
      </c>
      <c r="JP25" s="90">
        <f t="shared" ca="1" si="287"/>
        <v>32.748104117076224</v>
      </c>
      <c r="JQ25" s="90">
        <f t="shared" ca="1" si="288"/>
        <v>25.986396968218784</v>
      </c>
      <c r="JR25" s="90">
        <f t="shared" ca="1" si="289"/>
        <v>74.937894015774475</v>
      </c>
      <c r="JS25" s="90">
        <f t="shared" ca="1" si="290"/>
        <v>101.17579339539935</v>
      </c>
      <c r="JT25" s="90">
        <f t="shared" ca="1" si="291"/>
        <v>56.543935191598145</v>
      </c>
      <c r="JU25" s="90">
        <f t="shared" ca="1" si="292"/>
        <v>145.75422671415865</v>
      </c>
      <c r="JV25" s="90">
        <f t="shared" ca="1" si="293"/>
        <v>320.87630952755148</v>
      </c>
      <c r="JW25" s="90">
        <f t="shared" ca="1" si="294"/>
        <v>32.656313049153809</v>
      </c>
      <c r="JX25" s="90">
        <f t="shared" ca="1" si="295"/>
        <v>1.7980103904396298E-2</v>
      </c>
      <c r="JY25" s="90">
        <f t="shared" ca="1" si="296"/>
        <v>71.714127516733271</v>
      </c>
      <c r="JZ25" s="90">
        <f t="shared" ca="1" si="297"/>
        <v>34.546993301966999</v>
      </c>
      <c r="KA25" s="90">
        <f t="shared" ca="1" si="298"/>
        <v>6.6451929117783379</v>
      </c>
      <c r="KB25" s="90">
        <f t="shared" ca="1" si="299"/>
        <v>143.82337174437492</v>
      </c>
      <c r="KC25" s="90">
        <f t="shared" ca="1" si="300"/>
        <v>29.444413044080417</v>
      </c>
      <c r="KD25" s="90">
        <f t="shared" ca="1" si="301"/>
        <v>5.6923101917022194</v>
      </c>
      <c r="KE25" s="90">
        <f t="shared" ca="1" si="302"/>
        <v>37.193098119944764</v>
      </c>
      <c r="KF25" s="90">
        <f t="shared" ca="1" si="303"/>
        <v>42.393017616763437</v>
      </c>
      <c r="KG25" s="90">
        <f t="shared" ca="1" si="304"/>
        <v>183.57731608380769</v>
      </c>
      <c r="KH25" s="90">
        <f t="shared" ca="1" si="305"/>
        <v>514.85104445801653</v>
      </c>
      <c r="KI25" s="90">
        <f t="shared" ca="1" si="306"/>
        <v>24.187126474742975</v>
      </c>
      <c r="KJ25" s="90">
        <f t="shared" ca="1" si="307"/>
        <v>138.38479684072155</v>
      </c>
      <c r="KK25" s="90">
        <f t="shared" ca="1" si="308"/>
        <v>42.83625542992776</v>
      </c>
      <c r="KL25" s="90">
        <f t="shared" ca="1" si="309"/>
        <v>6.4395098246301208</v>
      </c>
      <c r="KM25" s="90">
        <f t="shared" ca="1" si="310"/>
        <v>66.771936633300712</v>
      </c>
      <c r="KN25" s="90">
        <f t="shared" ca="1" si="311"/>
        <v>240.77787157656087</v>
      </c>
      <c r="KO25" s="90">
        <f t="shared" ca="1" si="312"/>
        <v>122.81542682531261</v>
      </c>
      <c r="KP25" s="90">
        <f t="shared" ca="1" si="313"/>
        <v>207.33352787966896</v>
      </c>
      <c r="KQ25" s="90">
        <f t="shared" ca="1" si="314"/>
        <v>82.26968145587503</v>
      </c>
      <c r="KR25" s="90">
        <f t="shared" ca="1" si="315"/>
        <v>101.10570373094097</v>
      </c>
      <c r="KS25" s="90">
        <f t="shared" ca="1" si="316"/>
        <v>88.422915547432808</v>
      </c>
      <c r="KT25" s="90">
        <f t="shared" ca="1" si="317"/>
        <v>100.24468216323672</v>
      </c>
      <c r="KU25" s="90">
        <f t="shared" ca="1" si="318"/>
        <v>29.780687749348871</v>
      </c>
      <c r="KV25" s="90">
        <f t="shared" ca="1" si="319"/>
        <v>11.893606460370846</v>
      </c>
      <c r="KW25" s="90">
        <f t="shared" ca="1" si="320"/>
        <v>91.839391355640004</v>
      </c>
      <c r="KX25" s="90">
        <f t="shared" ca="1" si="321"/>
        <v>52.782679815083711</v>
      </c>
      <c r="KY25" s="90">
        <f t="shared" ca="1" si="322"/>
        <v>90.114277069851738</v>
      </c>
      <c r="KZ25" s="90">
        <f t="shared" ca="1" si="323"/>
        <v>17.55363644732946</v>
      </c>
      <c r="LA25" s="90">
        <f t="shared" ca="1" si="324"/>
        <v>152.06366572544826</v>
      </c>
      <c r="LB25" s="90">
        <f t="shared" ca="1" si="325"/>
        <v>40.263782021306781</v>
      </c>
      <c r="LC25" s="90">
        <f t="shared" ca="1" si="326"/>
        <v>-61.914420584181933</v>
      </c>
      <c r="LD25" s="90">
        <f t="shared" ca="1" si="327"/>
        <v>235.19390078066618</v>
      </c>
      <c r="LE25" s="90">
        <f t="shared" ca="1" si="328"/>
        <v>213.15796433661063</v>
      </c>
      <c r="LF25" s="90">
        <f t="shared" ca="1" si="329"/>
        <v>2.6917271067333481</v>
      </c>
      <c r="LG25" s="90">
        <f t="shared" ca="1" si="330"/>
        <v>118.52019211895377</v>
      </c>
      <c r="LH25" s="90">
        <f t="shared" ca="1" si="331"/>
        <v>69.803232493627561</v>
      </c>
      <c r="LI25" s="90">
        <f t="shared" ca="1" si="332"/>
        <v>143.28211842736809</v>
      </c>
      <c r="LJ25" s="90">
        <f t="shared" ca="1" si="333"/>
        <v>56.256851450986055</v>
      </c>
      <c r="LK25" s="90">
        <f t="shared" ca="1" si="334"/>
        <v>23.68522749032654</v>
      </c>
      <c r="LL25" s="90">
        <f t="shared" ca="1" si="335"/>
        <v>129.75844599884769</v>
      </c>
      <c r="LM25" s="90">
        <f t="shared" ca="1" si="336"/>
        <v>166.92478709902821</v>
      </c>
      <c r="LN25" s="90">
        <f t="shared" ca="1" si="337"/>
        <v>4.1216941924673662</v>
      </c>
      <c r="LO25" s="90">
        <f t="shared" ca="1" si="338"/>
        <v>197.99139236002642</v>
      </c>
      <c r="LP25" s="90">
        <f t="shared" ca="1" si="339"/>
        <v>3.8079345399462121</v>
      </c>
      <c r="LQ25" s="90">
        <f t="shared" ca="1" si="340"/>
        <v>103.95080868167592</v>
      </c>
      <c r="LR25" s="90">
        <f t="shared" ca="1" si="341"/>
        <v>56.709294129334396</v>
      </c>
      <c r="LS25" s="90">
        <f t="shared" ca="1" si="342"/>
        <v>184.3929837652226</v>
      </c>
      <c r="LT25" s="90">
        <f t="shared" ca="1" si="343"/>
        <v>23.716689852482549</v>
      </c>
      <c r="LU25" s="90">
        <f t="shared" ca="1" si="344"/>
        <v>360.09077073263143</v>
      </c>
      <c r="LV25" s="90">
        <f t="shared" ca="1" si="345"/>
        <v>193.41560028115418</v>
      </c>
      <c r="LW25" s="90">
        <f t="shared" ca="1" si="346"/>
        <v>255.14338042321683</v>
      </c>
      <c r="LX25" s="90">
        <f t="shared" ca="1" si="347"/>
        <v>111.43584648357499</v>
      </c>
      <c r="LY25" s="90">
        <f t="shared" ca="1" si="348"/>
        <v>44.344222141209698</v>
      </c>
      <c r="LZ25" s="90">
        <f t="shared" ca="1" si="349"/>
        <v>257.01520078781613</v>
      </c>
      <c r="MA25" s="90">
        <f t="shared" ca="1" si="350"/>
        <v>76.585027908685888</v>
      </c>
      <c r="MB25" s="90">
        <f t="shared" ca="1" si="351"/>
        <v>0.99625481470652033</v>
      </c>
      <c r="MC25" s="90">
        <f t="shared" ca="1" si="352"/>
        <v>66.982574127214377</v>
      </c>
      <c r="MD25" s="90">
        <f t="shared" ca="1" si="353"/>
        <v>362.53036420822582</v>
      </c>
      <c r="ME25" s="90">
        <f t="shared" ca="1" si="354"/>
        <v>40.189354871399281</v>
      </c>
      <c r="MF25" s="90">
        <f t="shared" ca="1" si="355"/>
        <v>196.71844122526176</v>
      </c>
      <c r="MG25" s="90">
        <f t="shared" ca="1" si="356"/>
        <v>126.25501017890345</v>
      </c>
      <c r="MH25" s="90">
        <f t="shared" ca="1" si="357"/>
        <v>47.721889045591951</v>
      </c>
      <c r="MI25" s="90">
        <f t="shared" ca="1" si="358"/>
        <v>17.597331213197254</v>
      </c>
      <c r="MJ25" s="90">
        <f t="shared" ca="1" si="359"/>
        <v>37.692894910920472</v>
      </c>
      <c r="MK25" s="90">
        <f t="shared" ca="1" si="360"/>
        <v>76.182888871065302</v>
      </c>
      <c r="ML25" s="90">
        <f t="shared" ca="1" si="361"/>
        <v>366.37123279802046</v>
      </c>
      <c r="MM25" s="90">
        <f t="shared" ca="1" si="362"/>
        <v>167.01735585624226</v>
      </c>
      <c r="MN25" s="90">
        <f t="shared" ca="1" si="363"/>
        <v>281.77906529705831</v>
      </c>
      <c r="MO25" s="90">
        <f t="shared" ca="1" si="364"/>
        <v>313.30907869398169</v>
      </c>
      <c r="MP25" s="90">
        <f t="shared" ca="1" si="365"/>
        <v>149.8820846815581</v>
      </c>
      <c r="MQ25" s="90">
        <f t="shared" ca="1" si="366"/>
        <v>40.750458759575096</v>
      </c>
      <c r="MR25" s="90">
        <f t="shared" ca="1" si="367"/>
        <v>88.091534037564202</v>
      </c>
      <c r="MS25" s="90">
        <f t="shared" ca="1" si="368"/>
        <v>74.972638837076246</v>
      </c>
      <c r="MT25" s="90">
        <f t="shared" ca="1" si="369"/>
        <v>26.677750887617819</v>
      </c>
      <c r="MU25" s="90">
        <f t="shared" ca="1" si="370"/>
        <v>69.129335253663072</v>
      </c>
      <c r="MV25" s="90">
        <f t="shared" ca="1" si="371"/>
        <v>495.74252247881617</v>
      </c>
      <c r="MW25" s="90">
        <f t="shared" ca="1" si="372"/>
        <v>26.85328098108781</v>
      </c>
      <c r="MX25" s="90">
        <f t="shared" ca="1" si="373"/>
        <v>121.43764645533956</v>
      </c>
      <c r="MY25" s="90">
        <f t="shared" ca="1" si="374"/>
        <v>168.82228800381523</v>
      </c>
      <c r="MZ25" s="90">
        <f t="shared" ca="1" si="375"/>
        <v>114.87153786270369</v>
      </c>
      <c r="NA25" s="90">
        <f t="shared" ca="1" si="376"/>
        <v>354.73354704048893</v>
      </c>
      <c r="NB25" s="90">
        <f t="shared" ca="1" si="377"/>
        <v>39.401180885774167</v>
      </c>
      <c r="NC25" s="90">
        <f t="shared" ca="1" si="378"/>
        <v>20.381590009988678</v>
      </c>
      <c r="ND25" s="90">
        <f t="shared" ca="1" si="379"/>
        <v>218.26188133779547</v>
      </c>
      <c r="NE25" s="90">
        <f t="shared" ca="1" si="380"/>
        <v>232.96735786148002</v>
      </c>
      <c r="NF25" s="90">
        <f t="shared" ca="1" si="381"/>
        <v>51.084068359548894</v>
      </c>
      <c r="NG25" s="90">
        <f t="shared" ca="1" si="382"/>
        <v>19.882856761911626</v>
      </c>
      <c r="NH25" s="90">
        <f t="shared" ca="1" si="383"/>
        <v>34.551506276626945</v>
      </c>
      <c r="NI25" s="90">
        <f t="shared" ca="1" si="384"/>
        <v>234.48058298076396</v>
      </c>
      <c r="NJ25" s="90">
        <f t="shared" ca="1" si="385"/>
        <v>350.24459463111288</v>
      </c>
      <c r="NK25" s="90">
        <f t="shared" ca="1" si="386"/>
        <v>22.20680972777792</v>
      </c>
      <c r="NL25" s="90">
        <f t="shared" ca="1" si="387"/>
        <v>773.17066088977231</v>
      </c>
      <c r="NM25" s="90">
        <f t="shared" ca="1" si="388"/>
        <v>66.857799697134908</v>
      </c>
      <c r="NN25" s="90">
        <f t="shared" ca="1" si="389"/>
        <v>25.092068546331138</v>
      </c>
      <c r="NO25" s="90">
        <f t="shared" ca="1" si="390"/>
        <v>146.41344385947019</v>
      </c>
      <c r="NP25" s="90">
        <f t="shared" ca="1" si="391"/>
        <v>26.130543797663915</v>
      </c>
      <c r="NQ25" s="90">
        <f t="shared" ca="1" si="392"/>
        <v>24.527635144693534</v>
      </c>
      <c r="NR25" s="90">
        <f t="shared" ca="1" si="393"/>
        <v>362.70962015263723</v>
      </c>
      <c r="NS25" s="90">
        <f t="shared" ca="1" si="394"/>
        <v>-58.415785892566383</v>
      </c>
      <c r="NT25" s="90">
        <f t="shared" ca="1" si="395"/>
        <v>-2.0686484801547822</v>
      </c>
      <c r="NU25" s="90">
        <f t="shared" ca="1" si="396"/>
        <v>77.367773026675778</v>
      </c>
      <c r="NV25" s="90">
        <f t="shared" ca="1" si="397"/>
        <v>39.728657236274245</v>
      </c>
      <c r="NW25" s="90">
        <f t="shared" ca="1" si="398"/>
        <v>275.85795367157812</v>
      </c>
      <c r="NX25" s="90">
        <f t="shared" ca="1" si="399"/>
        <v>152.460724652674</v>
      </c>
      <c r="NY25" s="90">
        <f t="shared" ca="1" si="400"/>
        <v>-14.488450246065769</v>
      </c>
      <c r="NZ25" s="90">
        <f t="shared" ca="1" si="401"/>
        <v>158.24564203891495</v>
      </c>
      <c r="OA25" s="90">
        <f t="shared" ca="1" si="402"/>
        <v>39.077990853184303</v>
      </c>
      <c r="OB25" s="90">
        <f t="shared" ca="1" si="403"/>
        <v>41.81513812431708</v>
      </c>
      <c r="OC25" s="90">
        <f t="shared" ca="1" si="404"/>
        <v>307.08384075101577</v>
      </c>
      <c r="OD25" s="90">
        <f t="shared" ca="1" si="405"/>
        <v>184.60483181752431</v>
      </c>
      <c r="OE25" s="90">
        <f t="shared" ca="1" si="406"/>
        <v>50.178966997907956</v>
      </c>
      <c r="OF25" s="90">
        <f t="shared" ca="1" si="407"/>
        <v>11.867278766066974</v>
      </c>
      <c r="OG25" s="90">
        <f t="shared" ca="1" si="408"/>
        <v>10.261724656482537</v>
      </c>
      <c r="OH25" s="90">
        <f t="shared" ca="1" si="409"/>
        <v>64.228325386077671</v>
      </c>
      <c r="OI25" s="90">
        <f t="shared" ca="1" si="410"/>
        <v>25.68162987524553</v>
      </c>
      <c r="OJ25" s="90">
        <f t="shared" ca="1" si="411"/>
        <v>-3.3055378477161206</v>
      </c>
      <c r="OK25" s="90">
        <f t="shared" ca="1" si="412"/>
        <v>42.772181578249771</v>
      </c>
      <c r="OL25" s="90">
        <f t="shared" ca="1" si="413"/>
        <v>157.73367083508109</v>
      </c>
      <c r="OM25" s="90">
        <f t="shared" ca="1" si="414"/>
        <v>42.168790991317195</v>
      </c>
      <c r="ON25" s="90">
        <f t="shared" ca="1" si="415"/>
        <v>98.592776566191731</v>
      </c>
      <c r="OO25" s="90">
        <f t="shared" ca="1" si="416"/>
        <v>69.901214554085414</v>
      </c>
      <c r="OP25" s="90">
        <f t="shared" ca="1" si="417"/>
        <v>22.394166408910458</v>
      </c>
      <c r="OQ25" s="90">
        <f t="shared" ca="1" si="418"/>
        <v>110.41969111701651</v>
      </c>
      <c r="OR25" s="90">
        <f t="shared" ca="1" si="419"/>
        <v>124.46589528152468</v>
      </c>
      <c r="OS25" s="90">
        <f t="shared" ca="1" si="420"/>
        <v>176.92521472583081</v>
      </c>
      <c r="OT25" s="90">
        <f t="shared" ca="1" si="421"/>
        <v>25.272478789326485</v>
      </c>
      <c r="OU25" s="90">
        <f t="shared" ca="1" si="422"/>
        <v>315.22727564336839</v>
      </c>
      <c r="OV25" s="90">
        <f t="shared" ca="1" si="423"/>
        <v>202.89433240276855</v>
      </c>
      <c r="OW25" s="90">
        <f t="shared" ca="1" si="424"/>
        <v>77.599227974810233</v>
      </c>
      <c r="OX25" s="90">
        <f t="shared" ca="1" si="425"/>
        <v>22.869307083724856</v>
      </c>
      <c r="OY25" s="90">
        <f t="shared" ca="1" si="426"/>
        <v>66.573533335081692</v>
      </c>
      <c r="OZ25" s="90">
        <f t="shared" ca="1" si="427"/>
        <v>7.4829663908405779</v>
      </c>
      <c r="PA25" s="90">
        <f t="shared" ca="1" si="428"/>
        <v>450.40755887687118</v>
      </c>
      <c r="PB25" s="90">
        <f t="shared" ca="1" si="429"/>
        <v>74.679360067683831</v>
      </c>
      <c r="PC25" s="90">
        <f t="shared" ca="1" si="430"/>
        <v>8.2392702844973673</v>
      </c>
      <c r="PD25" s="90">
        <f t="shared" ca="1" si="431"/>
        <v>52.006055280140707</v>
      </c>
      <c r="PE25" s="90">
        <f t="shared" ca="1" si="432"/>
        <v>50.024595784846888</v>
      </c>
      <c r="PF25" s="90">
        <f t="shared" ca="1" si="433"/>
        <v>30.983083548581597</v>
      </c>
      <c r="PG25" s="90">
        <f t="shared" ca="1" si="434"/>
        <v>17.818655480856041</v>
      </c>
      <c r="PH25" s="90">
        <f t="shared" ca="1" si="435"/>
        <v>112.90702906255552</v>
      </c>
      <c r="PI25" s="90">
        <f t="shared" ca="1" si="436"/>
        <v>13.135239885784225</v>
      </c>
      <c r="PJ25" s="90">
        <f t="shared" ca="1" si="437"/>
        <v>753.19516983059725</v>
      </c>
      <c r="PK25" s="90">
        <f t="shared" ca="1" si="438"/>
        <v>61.397531858763848</v>
      </c>
      <c r="PL25" s="90">
        <f t="shared" ca="1" si="439"/>
        <v>168.81650732180645</v>
      </c>
      <c r="PM25" s="90">
        <f t="shared" ca="1" si="440"/>
        <v>453.04248486463035</v>
      </c>
      <c r="PN25" s="90">
        <f t="shared" ca="1" si="441"/>
        <v>16.425447719365103</v>
      </c>
      <c r="PO25" s="90">
        <f t="shared" ca="1" si="442"/>
        <v>48.819182562749305</v>
      </c>
      <c r="PP25" s="90">
        <f t="shared" ca="1" si="443"/>
        <v>59.8278470202522</v>
      </c>
      <c r="PQ25" s="90">
        <f t="shared" ca="1" si="444"/>
        <v>268.3590964999056</v>
      </c>
      <c r="PR25" s="90">
        <f t="shared" ca="1" si="445"/>
        <v>143.10543824449661</v>
      </c>
      <c r="PS25" s="90">
        <f t="shared" ca="1" si="446"/>
        <v>20.522202340195314</v>
      </c>
      <c r="PT25" s="90">
        <f t="shared" ca="1" si="447"/>
        <v>102.2980605912047</v>
      </c>
      <c r="PU25" s="90">
        <f t="shared" ca="1" si="448"/>
        <v>30.703189387173712</v>
      </c>
      <c r="PV25" s="90">
        <f t="shared" ca="1" si="449"/>
        <v>79.248121219717021</v>
      </c>
      <c r="PW25" s="90">
        <f t="shared" ca="1" si="450"/>
        <v>574.52809426796648</v>
      </c>
      <c r="PX25" s="90">
        <f t="shared" ca="1" si="451"/>
        <v>107.16637280883782</v>
      </c>
      <c r="PY25" s="90">
        <f t="shared" ca="1" si="452"/>
        <v>151.854651707854</v>
      </c>
      <c r="PZ25" s="90">
        <f t="shared" ca="1" si="453"/>
        <v>87.511149255735546</v>
      </c>
      <c r="QA25" s="90">
        <f t="shared" ca="1" si="454"/>
        <v>102.62796838147038</v>
      </c>
      <c r="QB25" s="90">
        <f t="shared" ca="1" si="455"/>
        <v>61.337445545466039</v>
      </c>
      <c r="QC25" s="90">
        <f t="shared" ca="1" si="456"/>
        <v>54.071192299705224</v>
      </c>
      <c r="QD25" s="90">
        <f t="shared" ca="1" si="457"/>
        <v>85.354728811914882</v>
      </c>
      <c r="QE25" s="90">
        <f t="shared" ca="1" si="458"/>
        <v>45.220035497384266</v>
      </c>
      <c r="QF25" s="90">
        <f t="shared" ca="1" si="459"/>
        <v>43.028865000369969</v>
      </c>
      <c r="QG25" s="90">
        <f t="shared" ca="1" si="460"/>
        <v>45.967682613281738</v>
      </c>
      <c r="QH25" s="90">
        <f t="shared" ca="1" si="461"/>
        <v>140.80231727046822</v>
      </c>
      <c r="QI25" s="90">
        <f t="shared" ca="1" si="462"/>
        <v>178.4124001291716</v>
      </c>
      <c r="QJ25" s="90">
        <f t="shared" ca="1" si="463"/>
        <v>115.11650889276957</v>
      </c>
      <c r="QK25" s="90">
        <f t="shared" ca="1" si="464"/>
        <v>402.0665454945709</v>
      </c>
      <c r="QL25" s="90">
        <f t="shared" ca="1" si="465"/>
        <v>251.4477273729558</v>
      </c>
      <c r="QM25" s="90">
        <f t="shared" ca="1" si="466"/>
        <v>65.395452911785739</v>
      </c>
      <c r="QN25" s="90">
        <f t="shared" ca="1" si="467"/>
        <v>37.644769991917386</v>
      </c>
      <c r="QO25" s="90">
        <f t="shared" ca="1" si="468"/>
        <v>48.27533400455679</v>
      </c>
      <c r="QP25" s="90">
        <f t="shared" ca="1" si="469"/>
        <v>208.07217568827301</v>
      </c>
      <c r="QQ25" s="90">
        <f t="shared" ca="1" si="470"/>
        <v>157.96893218530411</v>
      </c>
      <c r="QR25" s="90">
        <f t="shared" ca="1" si="471"/>
        <v>475.88203396984932</v>
      </c>
      <c r="QS25" s="90">
        <f t="shared" ca="1" si="472"/>
        <v>309.23753348367939</v>
      </c>
      <c r="QT25" s="90">
        <f t="shared" ca="1" si="473"/>
        <v>233.77319370049253</v>
      </c>
      <c r="QU25" s="90">
        <f t="shared" ca="1" si="474"/>
        <v>623.10251017397979</v>
      </c>
      <c r="QV25" s="90">
        <f t="shared" ca="1" si="475"/>
        <v>268.5390873881791</v>
      </c>
      <c r="QW25" s="90">
        <f t="shared" ca="1" si="476"/>
        <v>-25.618513075472638</v>
      </c>
      <c r="QX25" s="90">
        <f t="shared" ca="1" si="477"/>
        <v>172.83309825946714</v>
      </c>
      <c r="QY25" s="90">
        <f t="shared" ca="1" si="478"/>
        <v>94.271754987577253</v>
      </c>
      <c r="QZ25" s="90">
        <f t="shared" ca="1" si="479"/>
        <v>128.2394143817364</v>
      </c>
      <c r="RA25" s="90">
        <f t="shared" ca="1" si="480"/>
        <v>472.91474526051786</v>
      </c>
      <c r="RB25" s="90">
        <f t="shared" ca="1" si="481"/>
        <v>147.96845440628292</v>
      </c>
      <c r="RC25" s="90">
        <f t="shared" ca="1" si="482"/>
        <v>0.10741211383255336</v>
      </c>
      <c r="RD25" s="90">
        <f t="shared" ca="1" si="483"/>
        <v>-19.65589529463837</v>
      </c>
      <c r="RE25" s="90">
        <f t="shared" ca="1" si="484"/>
        <v>81.223463783531344</v>
      </c>
      <c r="RF25" s="90">
        <f t="shared" ca="1" si="485"/>
        <v>687.74892026305054</v>
      </c>
      <c r="RG25" s="90">
        <f t="shared" ca="1" si="486"/>
        <v>95.034855071467561</v>
      </c>
      <c r="RH25" s="90">
        <f t="shared" ca="1" si="487"/>
        <v>104.56485585693727</v>
      </c>
      <c r="RI25" s="90">
        <f t="shared" ca="1" si="488"/>
        <v>88.142699426600203</v>
      </c>
      <c r="RJ25" s="90">
        <f t="shared" ca="1" si="489"/>
        <v>132.46459192632807</v>
      </c>
      <c r="RK25" s="90">
        <f t="shared" ca="1" si="490"/>
        <v>5.0628191532493183</v>
      </c>
      <c r="RL25" s="90">
        <f t="shared" ca="1" si="491"/>
        <v>3.5435303298394172</v>
      </c>
      <c r="RM25" s="90">
        <f t="shared" ca="1" si="492"/>
        <v>29.731095273506785</v>
      </c>
      <c r="RN25" s="90">
        <f t="shared" ca="1" si="493"/>
        <v>43.337037330629734</v>
      </c>
      <c r="RO25" s="90">
        <f t="shared" ca="1" si="494"/>
        <v>129.48464837341308</v>
      </c>
      <c r="RP25" s="90">
        <f t="shared" ca="1" si="495"/>
        <v>408.76650303433354</v>
      </c>
      <c r="RQ25" s="90">
        <f t="shared" ca="1" si="496"/>
        <v>288.69961675018874</v>
      </c>
      <c r="RR25" s="90">
        <f t="shared" ca="1" si="497"/>
        <v>32.428307199977006</v>
      </c>
      <c r="RS25" s="90">
        <f t="shared" ca="1" si="498"/>
        <v>0.91642996835424828</v>
      </c>
      <c r="RT25" s="90">
        <f t="shared" ca="1" si="499"/>
        <v>43.282559912140449</v>
      </c>
      <c r="RU25" s="90">
        <f t="shared" ca="1" si="500"/>
        <v>100.15417469195887</v>
      </c>
      <c r="RV25" s="90">
        <f t="shared" ca="1" si="501"/>
        <v>97.581918981507656</v>
      </c>
      <c r="RW25" s="90">
        <f t="shared" ca="1" si="502"/>
        <v>72.759067892409931</v>
      </c>
      <c r="RX25" s="90">
        <f t="shared" ca="1" si="503"/>
        <v>48.182352817486759</v>
      </c>
      <c r="RY25" s="90">
        <f t="shared" ca="1" si="504"/>
        <v>113.26643593613313</v>
      </c>
      <c r="RZ25" s="90">
        <f t="shared" ca="1" si="505"/>
        <v>43.918426141403756</v>
      </c>
      <c r="SA25" s="90">
        <f t="shared" ca="1" si="506"/>
        <v>168.32893947099427</v>
      </c>
      <c r="SB25" s="90">
        <f t="shared" ca="1" si="507"/>
        <v>46.152663364275966</v>
      </c>
      <c r="SC25" s="90">
        <f t="shared" ca="1" si="508"/>
        <v>65.98860823904819</v>
      </c>
      <c r="SD25" s="90">
        <f t="shared" ca="1" si="509"/>
        <v>5.5931297209293902</v>
      </c>
      <c r="SE25" s="90">
        <f t="shared" ca="1" si="510"/>
        <v>-0.68051251921780054</v>
      </c>
      <c r="SF25" s="90">
        <f t="shared" ca="1" si="511"/>
        <v>90.331814665239861</v>
      </c>
      <c r="SG25" s="90">
        <f t="shared" ca="1" si="512"/>
        <v>240.27305929415792</v>
      </c>
      <c r="SH25" s="90">
        <f t="shared" ca="1" si="513"/>
        <v>237.47566159375009</v>
      </c>
      <c r="SI25" s="90">
        <f t="shared" ca="1" si="514"/>
        <v>14.581223035435913</v>
      </c>
      <c r="SJ25" s="90">
        <f t="shared" ca="1" si="515"/>
        <v>49.043826316774663</v>
      </c>
      <c r="SK25" s="90">
        <f t="shared" ca="1" si="516"/>
        <v>192.7272498745649</v>
      </c>
      <c r="SL25" s="90">
        <f t="shared" ca="1" si="517"/>
        <v>27.993801973938783</v>
      </c>
      <c r="SM25" s="90">
        <f t="shared" ca="1" si="518"/>
        <v>14.119207786756769</v>
      </c>
      <c r="SN25" s="90">
        <f t="shared" ca="1" si="519"/>
        <v>30.727233852273287</v>
      </c>
      <c r="SO25" s="90">
        <f t="shared" ca="1" si="520"/>
        <v>177.99064855818054</v>
      </c>
      <c r="SP25" s="90">
        <f t="shared" ca="1" si="521"/>
        <v>197.25573581764425</v>
      </c>
      <c r="SQ25" s="90">
        <f t="shared" ca="1" si="522"/>
        <v>214.29342434108517</v>
      </c>
      <c r="SR25" s="90">
        <f t="shared" ca="1" si="523"/>
        <v>50.660924288030436</v>
      </c>
      <c r="SS25" s="90">
        <f t="shared" ca="1" si="524"/>
        <v>15.777683597914747</v>
      </c>
      <c r="ST25" s="90">
        <f t="shared" ca="1" si="525"/>
        <v>149.74664993192363</v>
      </c>
      <c r="SU25" s="90">
        <f t="shared" ca="1" si="526"/>
        <v>577.48499740893578</v>
      </c>
      <c r="SV25" s="90">
        <f t="shared" ca="1" si="527"/>
        <v>20.11052713312203</v>
      </c>
      <c r="SW25" s="90">
        <f t="shared" ca="1" si="528"/>
        <v>387.42764192627175</v>
      </c>
      <c r="SX25" s="90">
        <f t="shared" ca="1" si="529"/>
        <v>19.103841906231747</v>
      </c>
      <c r="SY25" s="90">
        <f t="shared" ca="1" si="530"/>
        <v>147.22053611932989</v>
      </c>
      <c r="SZ25" s="90">
        <f t="shared" ca="1" si="531"/>
        <v>33.603915133271563</v>
      </c>
      <c r="TA25" s="90">
        <f t="shared" ca="1" si="532"/>
        <v>186.76855226813018</v>
      </c>
      <c r="TB25" s="90">
        <f t="shared" ca="1" si="533"/>
        <v>263.33322748007237</v>
      </c>
      <c r="TC25" s="90">
        <f t="shared" ca="1" si="534"/>
        <v>189.61968921122417</v>
      </c>
      <c r="TD25" s="90">
        <f t="shared" ca="1" si="535"/>
        <v>517.02898819332688</v>
      </c>
      <c r="TE25" s="90">
        <f t="shared" ca="1" si="536"/>
        <v>55.048707223595009</v>
      </c>
      <c r="TF25" s="90">
        <f t="shared" ca="1" si="537"/>
        <v>1.584609704208503</v>
      </c>
      <c r="TG25" s="90">
        <f t="shared" ca="1" si="538"/>
        <v>24.715186108178209</v>
      </c>
      <c r="TH25" s="90">
        <f t="shared" ca="1" si="539"/>
        <v>10.509685741873092</v>
      </c>
      <c r="TI25" s="90">
        <f t="shared" ca="1" si="540"/>
        <v>90.47096873371396</v>
      </c>
      <c r="TJ25" s="90">
        <f t="shared" ca="1" si="541"/>
        <v>229.06639503561823</v>
      </c>
      <c r="TK25" s="90">
        <f t="shared" ca="1" si="542"/>
        <v>8.4528780147833427</v>
      </c>
      <c r="TL25" s="90">
        <f t="shared" ca="1" si="543"/>
        <v>17.588204591839162</v>
      </c>
      <c r="TM25" s="90">
        <f t="shared" ca="1" si="544"/>
        <v>-10.607237823487388</v>
      </c>
      <c r="TN25" s="90">
        <f t="shared" ca="1" si="545"/>
        <v>3.5443538981303733</v>
      </c>
      <c r="TO25" s="90">
        <f t="shared" ca="1" si="546"/>
        <v>44.815085029202208</v>
      </c>
      <c r="TP25" s="90">
        <f t="shared" ca="1" si="547"/>
        <v>52.432825622904744</v>
      </c>
      <c r="TQ25" s="90">
        <f t="shared" ca="1" si="548"/>
        <v>58.808719568987527</v>
      </c>
      <c r="TR25" s="90">
        <f t="shared" ca="1" si="549"/>
        <v>80.467684347721558</v>
      </c>
      <c r="TS25" s="90">
        <f t="shared" ca="1" si="550"/>
        <v>52.398409274539617</v>
      </c>
      <c r="TT25" s="90">
        <f t="shared" ca="1" si="551"/>
        <v>153.05861372805467</v>
      </c>
      <c r="TU25" s="90">
        <f t="shared" ca="1" si="552"/>
        <v>147.09329330360927</v>
      </c>
      <c r="TV25" s="90">
        <f t="shared" ca="1" si="553"/>
        <v>82.675267900570702</v>
      </c>
      <c r="TW25" s="90">
        <f t="shared" ca="1" si="554"/>
        <v>39.765927167491085</v>
      </c>
      <c r="TX25" s="90">
        <f t="shared" ca="1" si="555"/>
        <v>11.391949723359104</v>
      </c>
      <c r="TY25" s="90">
        <f t="shared" ca="1" si="556"/>
        <v>169.06199627988755</v>
      </c>
      <c r="TZ25" s="90">
        <f t="shared" ca="1" si="557"/>
        <v>-3.9592933518881215</v>
      </c>
      <c r="UA25" s="90">
        <f t="shared" ca="1" si="558"/>
        <v>38.561433246808548</v>
      </c>
      <c r="UB25" s="90">
        <f t="shared" ca="1" si="559"/>
        <v>23.553104794676909</v>
      </c>
      <c r="UC25" s="90">
        <f t="shared" ca="1" si="560"/>
        <v>94.777470392534738</v>
      </c>
      <c r="UD25" s="90">
        <f t="shared" ca="1" si="561"/>
        <v>298.83166387499341</v>
      </c>
      <c r="UE25" s="90">
        <f t="shared" ca="1" si="562"/>
        <v>143.68514873335837</v>
      </c>
      <c r="UF25" s="90">
        <f t="shared" ca="1" si="563"/>
        <v>76.791864535112026</v>
      </c>
      <c r="UG25" s="90">
        <f t="shared" ca="1" si="564"/>
        <v>139.59858599300347</v>
      </c>
      <c r="UH25" s="90">
        <f t="shared" ca="1" si="565"/>
        <v>40.230469909891838</v>
      </c>
      <c r="UI25" s="90">
        <f t="shared" ca="1" si="566"/>
        <v>544.29484847145898</v>
      </c>
      <c r="UJ25" s="90">
        <f t="shared" ca="1" si="567"/>
        <v>54.218241031545517</v>
      </c>
      <c r="UK25" s="90">
        <f t="shared" ca="1" si="568"/>
        <v>19.141271826230362</v>
      </c>
      <c r="UL25" s="90">
        <f t="shared" ca="1" si="569"/>
        <v>17.86822001841411</v>
      </c>
      <c r="UM25" s="90">
        <f t="shared" ca="1" si="570"/>
        <v>20.19008439633625</v>
      </c>
      <c r="UN25" s="90">
        <f t="shared" ca="1" si="571"/>
        <v>136.19536792134392</v>
      </c>
      <c r="UO25" s="90">
        <f t="shared" ca="1" si="572"/>
        <v>121.03002131425623</v>
      </c>
      <c r="UP25" s="90">
        <f t="shared" ca="1" si="573"/>
        <v>203.09307750113169</v>
      </c>
      <c r="UQ25" s="90">
        <f t="shared" ca="1" si="574"/>
        <v>228.97498645483049</v>
      </c>
      <c r="UR25" s="90">
        <f t="shared" ca="1" si="575"/>
        <v>204.63682419803501</v>
      </c>
      <c r="US25" s="90">
        <f t="shared" ca="1" si="576"/>
        <v>164.34458916823118</v>
      </c>
      <c r="UT25" s="90">
        <f t="shared" ca="1" si="577"/>
        <v>257.44882424639121</v>
      </c>
      <c r="UU25" s="90">
        <f t="shared" ca="1" si="578"/>
        <v>1.1243118758939252</v>
      </c>
      <c r="UV25" s="90">
        <f t="shared" ca="1" si="579"/>
        <v>59.24562959260448</v>
      </c>
      <c r="UW25" s="90">
        <f t="shared" ca="1" si="580"/>
        <v>24.660312548693984</v>
      </c>
      <c r="UX25" s="90">
        <f t="shared" ca="1" si="581"/>
        <v>83.819898333733263</v>
      </c>
      <c r="UY25" s="90">
        <f t="shared" ca="1" si="582"/>
        <v>623.32314966999047</v>
      </c>
      <c r="UZ25" s="90">
        <f t="shared" ca="1" si="583"/>
        <v>413.13040922800928</v>
      </c>
      <c r="VA25" s="90">
        <f t="shared" ca="1" si="584"/>
        <v>270.11266775068719</v>
      </c>
      <c r="VB25" s="90">
        <f t="shared" ca="1" si="585"/>
        <v>95.328922037576078</v>
      </c>
      <c r="VC25" s="90">
        <f t="shared" ca="1" si="586"/>
        <v>750.18832255920654</v>
      </c>
      <c r="VD25" s="90">
        <f t="shared" ca="1" si="587"/>
        <v>8.1762131340044757</v>
      </c>
      <c r="VE25" s="90">
        <f t="shared" ca="1" si="588"/>
        <v>187.67566741337694</v>
      </c>
      <c r="VF25" s="90">
        <f t="shared" ca="1" si="589"/>
        <v>4.1185262462570833</v>
      </c>
      <c r="VG25" s="90">
        <f t="shared" ca="1" si="590"/>
        <v>138.10159982696467</v>
      </c>
      <c r="VH25" s="90">
        <f t="shared" ca="1" si="591"/>
        <v>5.5224090558845607</v>
      </c>
      <c r="VI25" s="90">
        <f t="shared" ca="1" si="592"/>
        <v>32.175578588024713</v>
      </c>
      <c r="VJ25" s="90">
        <f t="shared" ca="1" si="593"/>
        <v>21.899750802527915</v>
      </c>
      <c r="VK25" s="90">
        <f t="shared" ca="1" si="594"/>
        <v>17.61948829101539</v>
      </c>
      <c r="VL25" s="90">
        <f t="shared" ca="1" si="595"/>
        <v>147.29945856462524</v>
      </c>
      <c r="VM25" s="90">
        <f t="shared" ca="1" si="596"/>
        <v>211.29016740478937</v>
      </c>
      <c r="VN25" s="90">
        <f t="shared" ca="1" si="597"/>
        <v>608.68025755318047</v>
      </c>
      <c r="VO25" s="90">
        <f t="shared" ca="1" si="598"/>
        <v>15.018490850498814</v>
      </c>
      <c r="VP25" s="90">
        <f t="shared" ca="1" si="599"/>
        <v>4.4971555048654146</v>
      </c>
      <c r="VQ25" s="90">
        <f t="shared" ca="1" si="600"/>
        <v>71.349779181610401</v>
      </c>
      <c r="VR25" s="90">
        <f t="shared" ca="1" si="601"/>
        <v>50.136958193546214</v>
      </c>
      <c r="VS25" s="90">
        <f t="shared" ca="1" si="602"/>
        <v>10.582639927521202</v>
      </c>
      <c r="VT25" s="90">
        <f t="shared" ca="1" si="603"/>
        <v>19.014956965813916</v>
      </c>
      <c r="VU25" s="90">
        <f t="shared" ca="1" si="604"/>
        <v>-11.137126245152643</v>
      </c>
      <c r="VV25" s="90">
        <f t="shared" ca="1" si="605"/>
        <v>17.186909301779718</v>
      </c>
      <c r="VW25" s="90">
        <f t="shared" ca="1" si="606"/>
        <v>76.092685600705806</v>
      </c>
      <c r="VX25" s="90">
        <f t="shared" ca="1" si="607"/>
        <v>123.61100687201673</v>
      </c>
      <c r="VY25" s="90">
        <f t="shared" ca="1" si="608"/>
        <v>36.840563316100479</v>
      </c>
      <c r="VZ25" s="90">
        <f t="shared" ca="1" si="609"/>
        <v>166.23630776401257</v>
      </c>
      <c r="WA25" s="90">
        <f t="shared" ca="1" si="610"/>
        <v>106.51895971786085</v>
      </c>
      <c r="WB25" s="90">
        <f t="shared" ca="1" si="611"/>
        <v>260.48992918994867</v>
      </c>
      <c r="WC25" s="90">
        <f t="shared" ca="1" si="612"/>
        <v>326.61006546455161</v>
      </c>
      <c r="WD25" s="90">
        <f t="shared" ca="1" si="613"/>
        <v>229.57393668824</v>
      </c>
      <c r="WE25" s="90">
        <f t="shared" ca="1" si="614"/>
        <v>255.73842586512987</v>
      </c>
      <c r="WF25" s="90">
        <f t="shared" ca="1" si="615"/>
        <v>8.0698219091618899</v>
      </c>
      <c r="WG25" s="90">
        <f t="shared" ca="1" si="616"/>
        <v>278.4794923561189</v>
      </c>
      <c r="WH25" s="90">
        <f t="shared" ca="1" si="617"/>
        <v>82.311862799063562</v>
      </c>
      <c r="WI25" s="90">
        <f t="shared" ca="1" si="618"/>
        <v>1.9425797331897086</v>
      </c>
      <c r="WJ25" s="90">
        <f t="shared" ca="1" si="619"/>
        <v>132.30217882184201</v>
      </c>
      <c r="WK25" s="90">
        <f t="shared" ca="1" si="620"/>
        <v>90.665833315101324</v>
      </c>
      <c r="WL25" s="90">
        <f t="shared" ca="1" si="621"/>
        <v>20.240220708236706</v>
      </c>
      <c r="WM25" s="90">
        <f t="shared" ca="1" si="622"/>
        <v>40.355910652241725</v>
      </c>
      <c r="WN25" s="90">
        <f t="shared" ca="1" si="623"/>
        <v>52.484299324581393</v>
      </c>
      <c r="WO25" s="90">
        <f t="shared" ca="1" si="624"/>
        <v>58.615134006289686</v>
      </c>
      <c r="WP25" s="90">
        <f t="shared" ca="1" si="625"/>
        <v>163.32520322596432</v>
      </c>
      <c r="WQ25" s="90">
        <f t="shared" ca="1" si="626"/>
        <v>85.042113322429756</v>
      </c>
      <c r="WR25" s="90">
        <f t="shared" ca="1" si="627"/>
        <v>30.347224193838212</v>
      </c>
      <c r="WS25" s="90">
        <f t="shared" ca="1" si="628"/>
        <v>1.7272381125745766</v>
      </c>
      <c r="WT25" s="90">
        <f t="shared" ca="1" si="629"/>
        <v>54.123172660691267</v>
      </c>
      <c r="WU25" s="90">
        <f t="shared" ca="1" si="630"/>
        <v>15.159191211561106</v>
      </c>
      <c r="WV25" s="90">
        <f t="shared" ca="1" si="631"/>
        <v>761.92676257597543</v>
      </c>
      <c r="WW25" s="90">
        <f t="shared" ca="1" si="632"/>
        <v>175.97157182848727</v>
      </c>
      <c r="WX25" s="90">
        <f t="shared" ca="1" si="633"/>
        <v>522.55644031668237</v>
      </c>
      <c r="WY25" s="90">
        <f t="shared" ca="1" si="634"/>
        <v>799.4430298102518</v>
      </c>
      <c r="WZ25" s="90">
        <f t="shared" ca="1" si="635"/>
        <v>30.220594202509847</v>
      </c>
      <c r="XA25" s="90">
        <f t="shared" ca="1" si="636"/>
        <v>485.87413281659445</v>
      </c>
      <c r="XB25" s="90">
        <f t="shared" ca="1" si="637"/>
        <v>7.9753556581774196</v>
      </c>
      <c r="XC25" s="90">
        <f t="shared" ca="1" si="638"/>
        <v>90.139469781340537</v>
      </c>
      <c r="XD25" s="90">
        <f t="shared" ca="1" si="639"/>
        <v>55.322020383124141</v>
      </c>
      <c r="XE25" s="90">
        <f t="shared" ca="1" si="640"/>
        <v>160.52253543665643</v>
      </c>
      <c r="XF25" s="90">
        <f t="shared" ca="1" si="641"/>
        <v>8.9547997964301089</v>
      </c>
      <c r="XG25" s="90">
        <f t="shared" ca="1" si="642"/>
        <v>473.0239135282095</v>
      </c>
      <c r="XH25" s="90">
        <f t="shared" ca="1" si="643"/>
        <v>38.207728050276145</v>
      </c>
      <c r="XI25" s="90">
        <f t="shared" ca="1" si="644"/>
        <v>21.623823884184407</v>
      </c>
      <c r="XJ25" s="90">
        <f t="shared" ca="1" si="645"/>
        <v>3.1911323287016318</v>
      </c>
      <c r="XK25" s="90">
        <f t="shared" ca="1" si="646"/>
        <v>75.9720017755198</v>
      </c>
      <c r="XL25" s="90">
        <f t="shared" ca="1" si="647"/>
        <v>88.431370845235847</v>
      </c>
      <c r="XM25" s="90">
        <f t="shared" ca="1" si="648"/>
        <v>14.094209666084192</v>
      </c>
      <c r="XN25" s="90">
        <f t="shared" ca="1" si="649"/>
        <v>183.75251866714217</v>
      </c>
      <c r="XO25" s="90">
        <f t="shared" ca="1" si="650"/>
        <v>37.338197601100696</v>
      </c>
      <c r="XP25" s="90">
        <f t="shared" ca="1" si="651"/>
        <v>12.969700612162004</v>
      </c>
      <c r="XQ25" s="90">
        <f t="shared" ca="1" si="652"/>
        <v>128.51408930006534</v>
      </c>
      <c r="XR25" s="90">
        <f t="shared" ca="1" si="653"/>
        <v>34.431051982262929</v>
      </c>
      <c r="XS25" s="90">
        <f t="shared" ca="1" si="654"/>
        <v>58.118640795255565</v>
      </c>
      <c r="XT25" s="90">
        <f t="shared" ca="1" si="655"/>
        <v>185.41315240948921</v>
      </c>
      <c r="XU25" s="90">
        <f t="shared" ca="1" si="656"/>
        <v>157.44428333796625</v>
      </c>
      <c r="XV25" s="90">
        <f t="shared" ca="1" si="657"/>
        <v>1.0443514249251051</v>
      </c>
      <c r="XW25" s="90">
        <f t="shared" ca="1" si="658"/>
        <v>122.23062824424025</v>
      </c>
      <c r="XX25" s="90">
        <f t="shared" ca="1" si="659"/>
        <v>24.121686849764043</v>
      </c>
      <c r="XY25" s="90">
        <f t="shared" ca="1" si="660"/>
        <v>79.011060387787154</v>
      </c>
      <c r="XZ25" s="90">
        <f t="shared" ca="1" si="661"/>
        <v>109.37111303633358</v>
      </c>
      <c r="YA25" s="90">
        <f t="shared" ca="1" si="662"/>
        <v>190.02912013938763</v>
      </c>
      <c r="YB25" s="90">
        <f t="shared" ca="1" si="663"/>
        <v>414.29357445245961</v>
      </c>
      <c r="YC25" s="90">
        <f t="shared" ca="1" si="664"/>
        <v>112.10191747130143</v>
      </c>
      <c r="YD25" s="90">
        <f t="shared" ca="1" si="665"/>
        <v>-1.6687381140756832</v>
      </c>
      <c r="YE25" s="90">
        <f t="shared" ca="1" si="666"/>
        <v>297.26554839917537</v>
      </c>
      <c r="YF25" s="90">
        <f t="shared" ca="1" si="667"/>
        <v>3.6906575240493855</v>
      </c>
      <c r="YG25" s="90">
        <f t="shared" ca="1" si="668"/>
        <v>35.112662868611892</v>
      </c>
      <c r="YH25" s="90">
        <f t="shared" ca="1" si="669"/>
        <v>311.20843324383293</v>
      </c>
      <c r="YI25" s="90">
        <f t="shared" ca="1" si="670"/>
        <v>57.818716371724939</v>
      </c>
      <c r="YJ25" s="90">
        <f t="shared" ca="1" si="671"/>
        <v>9.0476878046179685</v>
      </c>
      <c r="YK25" s="90">
        <f t="shared" ca="1" si="672"/>
        <v>311.62083046366809</v>
      </c>
      <c r="YL25" s="90">
        <f t="shared" ca="1" si="673"/>
        <v>80.919850637819493</v>
      </c>
      <c r="YM25" s="90">
        <f t="shared" ca="1" si="674"/>
        <v>17.754841356633662</v>
      </c>
      <c r="YN25" s="90">
        <f t="shared" ca="1" si="675"/>
        <v>31.526986177107833</v>
      </c>
      <c r="YO25" s="90">
        <f t="shared" ca="1" si="676"/>
        <v>12.205680357657059</v>
      </c>
      <c r="YP25" s="90">
        <f t="shared" ca="1" si="677"/>
        <v>246.28533474995896</v>
      </c>
      <c r="YQ25" s="90">
        <f t="shared" ca="1" si="678"/>
        <v>158.27450342398546</v>
      </c>
      <c r="YR25" s="90">
        <f t="shared" ca="1" si="679"/>
        <v>5.0680434637080509</v>
      </c>
      <c r="YS25" s="90">
        <f t="shared" ca="1" si="680"/>
        <v>215.80378949062882</v>
      </c>
      <c r="YT25" s="90">
        <f t="shared" ca="1" si="681"/>
        <v>122.22536699305577</v>
      </c>
      <c r="YU25" s="90">
        <f t="shared" ca="1" si="682"/>
        <v>438.91522865065815</v>
      </c>
      <c r="YV25" s="90">
        <f t="shared" ca="1" si="683"/>
        <v>19.960871728275183</v>
      </c>
      <c r="YW25" s="90">
        <f t="shared" ca="1" si="684"/>
        <v>45.353661261558301</v>
      </c>
      <c r="YX25" s="90">
        <f t="shared" ca="1" si="685"/>
        <v>112.56232042245502</v>
      </c>
      <c r="YY25" s="90">
        <f t="shared" ca="1" si="686"/>
        <v>28.548689424429792</v>
      </c>
      <c r="YZ25" s="90">
        <f t="shared" ca="1" si="687"/>
        <v>34.424118157581532</v>
      </c>
      <c r="ZA25" s="90">
        <f t="shared" ca="1" si="688"/>
        <v>19.817621775495947</v>
      </c>
      <c r="ZB25" s="90">
        <f t="shared" ca="1" si="689"/>
        <v>559.35063768618784</v>
      </c>
      <c r="ZC25" s="90">
        <f t="shared" ca="1" si="690"/>
        <v>60.454080583738033</v>
      </c>
      <c r="ZD25" s="90">
        <f t="shared" ca="1" si="691"/>
        <v>111.58054049931123</v>
      </c>
      <c r="ZE25" s="90">
        <f t="shared" ca="1" si="692"/>
        <v>9.6934100164591932</v>
      </c>
      <c r="ZF25" s="90">
        <f t="shared" ca="1" si="693"/>
        <v>40.817513073482239</v>
      </c>
      <c r="ZG25" s="90">
        <f t="shared" ca="1" si="694"/>
        <v>179.86820516510184</v>
      </c>
      <c r="ZH25" s="90">
        <f t="shared" ca="1" si="695"/>
        <v>701.07419267765181</v>
      </c>
      <c r="ZI25" s="90">
        <f t="shared" ca="1" si="696"/>
        <v>38.676746946075227</v>
      </c>
      <c r="ZJ25" s="90">
        <f t="shared" ca="1" si="697"/>
        <v>15.020686921134512</v>
      </c>
      <c r="ZK25" s="90">
        <f t="shared" ca="1" si="698"/>
        <v>43.741056029070776</v>
      </c>
      <c r="ZL25" s="90">
        <f t="shared" ca="1" si="699"/>
        <v>6.4179246771861234</v>
      </c>
      <c r="ZM25" s="90">
        <f t="shared" ca="1" si="700"/>
        <v>357.74104731784291</v>
      </c>
      <c r="ZN25" s="90">
        <f t="shared" ca="1" si="701"/>
        <v>69.065445396833994</v>
      </c>
      <c r="ZO25" s="90">
        <f t="shared" ca="1" si="702"/>
        <v>54.269756235510386</v>
      </c>
      <c r="ZP25" s="90">
        <f t="shared" ca="1" si="703"/>
        <v>125.2948428772455</v>
      </c>
      <c r="ZQ25" s="90">
        <f t="shared" ca="1" si="704"/>
        <v>387.86332744713786</v>
      </c>
      <c r="ZR25" s="90">
        <f t="shared" ca="1" si="705"/>
        <v>26.16197230214345</v>
      </c>
      <c r="ZS25" s="90">
        <f t="shared" ca="1" si="706"/>
        <v>55.379218791638451</v>
      </c>
      <c r="ZT25" s="90">
        <f t="shared" ca="1" si="707"/>
        <v>17.334880537804121</v>
      </c>
      <c r="ZU25" s="90">
        <f t="shared" ca="1" si="708"/>
        <v>6.3072634913474461</v>
      </c>
      <c r="ZV25" s="90">
        <f t="shared" ca="1" si="709"/>
        <v>1124.8484085784849</v>
      </c>
      <c r="ZW25" s="90">
        <f t="shared" ca="1" si="710"/>
        <v>60.413009072549322</v>
      </c>
      <c r="ZX25" s="90">
        <f t="shared" ca="1" si="711"/>
        <v>104.52226840313163</v>
      </c>
      <c r="ZY25" s="90">
        <f t="shared" ca="1" si="712"/>
        <v>145.59122057780743</v>
      </c>
      <c r="ZZ25" s="90">
        <f t="shared" ca="1" si="713"/>
        <v>128.35832506405248</v>
      </c>
      <c r="AAA25" s="90">
        <f t="shared" ca="1" si="714"/>
        <v>206.80838888933027</v>
      </c>
      <c r="AAB25" s="90">
        <f t="shared" ca="1" si="715"/>
        <v>16.19762366370508</v>
      </c>
      <c r="AAC25" s="90">
        <f t="shared" ca="1" si="716"/>
        <v>84.066605028783499</v>
      </c>
      <c r="AAD25" s="90">
        <f t="shared" ca="1" si="717"/>
        <v>60.501402027262877</v>
      </c>
      <c r="AAE25" s="90">
        <f t="shared" ca="1" si="718"/>
        <v>102.33653425342531</v>
      </c>
      <c r="AAF25" s="90">
        <f t="shared" ca="1" si="719"/>
        <v>3.3853343637518565</v>
      </c>
      <c r="AAG25" s="90">
        <f t="shared" ca="1" si="720"/>
        <v>37.658426394329702</v>
      </c>
      <c r="AAH25" s="90">
        <f t="shared" ca="1" si="721"/>
        <v>273.68830129280769</v>
      </c>
      <c r="AAI25" s="90">
        <f t="shared" ca="1" si="722"/>
        <v>-8.6842945765112898</v>
      </c>
      <c r="AAJ25" s="90">
        <f t="shared" ca="1" si="723"/>
        <v>92.153087286513525</v>
      </c>
      <c r="AAK25" s="90">
        <f t="shared" ca="1" si="724"/>
        <v>349.9000278573339</v>
      </c>
      <c r="AAL25" s="90">
        <f t="shared" ca="1" si="725"/>
        <v>252.80441237073219</v>
      </c>
      <c r="AAM25" s="90">
        <f t="shared" ca="1" si="726"/>
        <v>414.052518874692</v>
      </c>
      <c r="AAN25" s="90">
        <f t="shared" ca="1" si="727"/>
        <v>71.206114763919189</v>
      </c>
      <c r="AAO25" s="90">
        <f t="shared" ca="1" si="728"/>
        <v>99.308765131965316</v>
      </c>
      <c r="AAP25" s="90">
        <f t="shared" ca="1" si="729"/>
        <v>519.99709663908902</v>
      </c>
      <c r="AAQ25" s="90">
        <f t="shared" ca="1" si="730"/>
        <v>69.79868616639817</v>
      </c>
      <c r="AAR25" s="90">
        <f t="shared" ca="1" si="731"/>
        <v>5.7379075554516259</v>
      </c>
      <c r="AAS25" s="90">
        <f t="shared" ca="1" si="732"/>
        <v>76.272395496227048</v>
      </c>
      <c r="AAT25" s="90">
        <f t="shared" ca="1" si="733"/>
        <v>555.98683526759226</v>
      </c>
      <c r="AAU25" s="90">
        <f t="shared" ca="1" si="734"/>
        <v>41.447501055058154</v>
      </c>
      <c r="AAV25" s="90">
        <f t="shared" ca="1" si="735"/>
        <v>89.792711127285855</v>
      </c>
      <c r="AAW25" s="90">
        <f t="shared" ca="1" si="736"/>
        <v>351.11830809585143</v>
      </c>
      <c r="AAX25" s="90">
        <f t="shared" ca="1" si="737"/>
        <v>184.38597923686444</v>
      </c>
      <c r="AAY25" s="90">
        <f t="shared" ca="1" si="738"/>
        <v>75.851779079638234</v>
      </c>
      <c r="AAZ25" s="90">
        <f t="shared" ca="1" si="739"/>
        <v>35.395536425308165</v>
      </c>
      <c r="ABA25" s="90">
        <f t="shared" ca="1" si="740"/>
        <v>244.51342334749737</v>
      </c>
      <c r="ABB25" s="90">
        <f t="shared" ca="1" si="741"/>
        <v>32.531134166226387</v>
      </c>
      <c r="ABC25" s="90">
        <f t="shared" ca="1" si="742"/>
        <v>265.7254637590803</v>
      </c>
      <c r="ABD25" s="90">
        <f t="shared" ca="1" si="743"/>
        <v>155.47926027590415</v>
      </c>
      <c r="ABE25" s="90">
        <f t="shared" ca="1" si="744"/>
        <v>249.06772400434593</v>
      </c>
      <c r="ABF25" s="90">
        <f t="shared" ca="1" si="745"/>
        <v>121.52494366759747</v>
      </c>
      <c r="ABG25" s="90">
        <f t="shared" ca="1" si="746"/>
        <v>23.034192852857721</v>
      </c>
      <c r="ABH25" s="90">
        <f t="shared" ca="1" si="747"/>
        <v>158.49466854532983</v>
      </c>
      <c r="ABI25" s="90">
        <f t="shared" ca="1" si="748"/>
        <v>15.037819288963407</v>
      </c>
      <c r="ABJ25" s="90">
        <f t="shared" ca="1" si="749"/>
        <v>60.953074823874523</v>
      </c>
      <c r="ABK25" s="90">
        <f t="shared" ca="1" si="750"/>
        <v>17.009115453507238</v>
      </c>
      <c r="ABL25" s="90">
        <f t="shared" ca="1" si="751"/>
        <v>134.7446459585417</v>
      </c>
      <c r="ABM25" s="90">
        <f t="shared" ca="1" si="752"/>
        <v>126.39708584221297</v>
      </c>
      <c r="ABN25" s="90">
        <f t="shared" ca="1" si="753"/>
        <v>26.849626988559518</v>
      </c>
      <c r="ABO25" s="90">
        <f t="shared" ca="1" si="754"/>
        <v>61.126616155769767</v>
      </c>
      <c r="ABP25" s="90">
        <f t="shared" ca="1" si="755"/>
        <v>28.697614853642822</v>
      </c>
      <c r="ABQ25" s="90">
        <f t="shared" ca="1" si="756"/>
        <v>16.534148658036212</v>
      </c>
      <c r="ABR25" s="90">
        <f t="shared" ca="1" si="757"/>
        <v>95.025882452001568</v>
      </c>
      <c r="ABS25" s="90">
        <f t="shared" ca="1" si="758"/>
        <v>171.32311560457694</v>
      </c>
      <c r="ABT25" s="90">
        <f t="shared" ca="1" si="759"/>
        <v>4.2444987311127189</v>
      </c>
      <c r="ABU25" s="90">
        <f t="shared" ca="1" si="760"/>
        <v>25.473048676988498</v>
      </c>
      <c r="ABV25" s="90">
        <f t="shared" ca="1" si="761"/>
        <v>33.25347117724997</v>
      </c>
      <c r="ABW25" s="90">
        <f t="shared" ca="1" si="762"/>
        <v>8.5432882995074113</v>
      </c>
      <c r="ABX25" s="90">
        <f t="shared" ca="1" si="763"/>
        <v>56.806129446285816</v>
      </c>
      <c r="ABY25" s="90">
        <f t="shared" ca="1" si="764"/>
        <v>55.593337432290127</v>
      </c>
      <c r="ABZ25" s="90">
        <f t="shared" ca="1" si="765"/>
        <v>136.59750318514867</v>
      </c>
      <c r="ACA25" s="90">
        <f t="shared" ca="1" si="766"/>
        <v>50.270563907611674</v>
      </c>
      <c r="ACB25" s="90">
        <f t="shared" ca="1" si="767"/>
        <v>24.033987336696882</v>
      </c>
      <c r="ACC25" s="90">
        <f t="shared" ca="1" si="768"/>
        <v>85.069403804442501</v>
      </c>
      <c r="ACD25" s="90">
        <f t="shared" ca="1" si="769"/>
        <v>245.60583635723185</v>
      </c>
      <c r="ACE25" s="90">
        <f t="shared" ca="1" si="770"/>
        <v>117.19201484490495</v>
      </c>
      <c r="ACF25" s="90">
        <f t="shared" ca="1" si="771"/>
        <v>22.113842906124095</v>
      </c>
      <c r="ACG25" s="90">
        <f t="shared" ca="1" si="772"/>
        <v>121.83542098782524</v>
      </c>
      <c r="ACH25" s="90">
        <f t="shared" ca="1" si="773"/>
        <v>309.33084833407645</v>
      </c>
      <c r="ACI25" s="90">
        <f t="shared" ca="1" si="774"/>
        <v>7.8945340250608025</v>
      </c>
      <c r="ACJ25" s="90">
        <f t="shared" ca="1" si="775"/>
        <v>42.454258111347883</v>
      </c>
      <c r="ACK25" s="90">
        <f t="shared" ca="1" si="776"/>
        <v>173.64847415587846</v>
      </c>
      <c r="ACL25" s="90">
        <f t="shared" ca="1" si="777"/>
        <v>623.07774733146198</v>
      </c>
      <c r="ACM25" s="90">
        <f t="shared" ca="1" si="778"/>
        <v>379.25553541094894</v>
      </c>
      <c r="ACN25" s="90">
        <f t="shared" ca="1" si="779"/>
        <v>-3.3834490782268118</v>
      </c>
      <c r="ACO25" s="90">
        <f t="shared" ca="1" si="780"/>
        <v>72.6736962790701</v>
      </c>
      <c r="ACP25" s="90">
        <f t="shared" ca="1" si="781"/>
        <v>126.4783820445459</v>
      </c>
      <c r="ACQ25" s="90">
        <f t="shared" ca="1" si="782"/>
        <v>34.523062917636715</v>
      </c>
      <c r="ACR25" s="90">
        <f t="shared" ca="1" si="783"/>
        <v>71.986711599047325</v>
      </c>
      <c r="ACS25" s="90">
        <f t="shared" ca="1" si="784"/>
        <v>40.479675890364717</v>
      </c>
      <c r="ACT25" s="90">
        <f t="shared" ca="1" si="785"/>
        <v>175.98583216872618</v>
      </c>
      <c r="ACU25" s="90">
        <f t="shared" ca="1" si="786"/>
        <v>129.76533520804136</v>
      </c>
      <c r="ACV25" s="90">
        <f t="shared" ca="1" si="787"/>
        <v>274.3007146633243</v>
      </c>
      <c r="ACW25" s="90">
        <f t="shared" ca="1" si="788"/>
        <v>150.33962814455199</v>
      </c>
      <c r="ACX25" s="90">
        <f t="shared" ca="1" si="789"/>
        <v>13.448361433875389</v>
      </c>
      <c r="ACY25" s="90">
        <f t="shared" ca="1" si="790"/>
        <v>137.60668187529294</v>
      </c>
      <c r="ACZ25" s="90">
        <f t="shared" ca="1" si="791"/>
        <v>13.556448800621219</v>
      </c>
      <c r="ADA25" s="90">
        <f t="shared" ca="1" si="792"/>
        <v>289.49301143976254</v>
      </c>
      <c r="ADB25" s="90">
        <f t="shared" ca="1" si="793"/>
        <v>177.17365641382054</v>
      </c>
      <c r="ADC25" s="90">
        <f t="shared" ca="1" si="794"/>
        <v>531.76712775957458</v>
      </c>
      <c r="ADD25" s="90">
        <f t="shared" ca="1" si="795"/>
        <v>91.66235974506364</v>
      </c>
      <c r="ADE25" s="90">
        <f t="shared" ca="1" si="796"/>
        <v>-0.24814375573551878</v>
      </c>
      <c r="ADF25" s="90">
        <f t="shared" ca="1" si="797"/>
        <v>93.252532793662141</v>
      </c>
      <c r="ADG25" s="90">
        <f t="shared" ca="1" si="798"/>
        <v>38.223333728230159</v>
      </c>
      <c r="ADH25" s="90">
        <f t="shared" ca="1" si="799"/>
        <v>75.345762379877073</v>
      </c>
      <c r="ADI25" s="90">
        <f t="shared" ca="1" si="800"/>
        <v>82.348924082158661</v>
      </c>
      <c r="ADJ25" s="90">
        <f t="shared" ca="1" si="801"/>
        <v>26.090682237060992</v>
      </c>
      <c r="ADK25" s="90">
        <f t="shared" ca="1" si="802"/>
        <v>292.00738639424975</v>
      </c>
      <c r="ADL25" s="90">
        <f t="shared" ca="1" si="803"/>
        <v>20.882097926225903</v>
      </c>
      <c r="ADM25" s="90">
        <f t="shared" ca="1" si="804"/>
        <v>19.814034416116197</v>
      </c>
      <c r="ADN25" s="90">
        <f t="shared" ca="1" si="805"/>
        <v>177.67176941581624</v>
      </c>
      <c r="ADO25" s="90">
        <f t="shared" ca="1" si="806"/>
        <v>59.406390248282996</v>
      </c>
      <c r="ADP25" s="90">
        <f t="shared" ca="1" si="807"/>
        <v>284.47493266624394</v>
      </c>
      <c r="ADQ25" s="90">
        <f t="shared" ca="1" si="808"/>
        <v>448.00377571280478</v>
      </c>
      <c r="ADR25" s="90">
        <f t="shared" ca="1" si="809"/>
        <v>895.25436268930105</v>
      </c>
      <c r="ADS25" s="90">
        <f t="shared" ca="1" si="810"/>
        <v>95.618046001205897</v>
      </c>
      <c r="ADT25" s="90">
        <f t="shared" ca="1" si="811"/>
        <v>52.360624714171223</v>
      </c>
      <c r="ADU25" s="90">
        <f t="shared" ca="1" si="812"/>
        <v>23.033405508219953</v>
      </c>
      <c r="ADV25" s="90">
        <f t="shared" ca="1" si="813"/>
        <v>34.281639305220537</v>
      </c>
      <c r="ADW25" s="90">
        <f t="shared" ca="1" si="814"/>
        <v>-4.6563054729200086</v>
      </c>
      <c r="ADX25" s="90">
        <f t="shared" ca="1" si="815"/>
        <v>99.985393390433174</v>
      </c>
      <c r="ADY25" s="90">
        <f t="shared" ca="1" si="816"/>
        <v>7.6722160032196092</v>
      </c>
      <c r="ADZ25" s="90">
        <f t="shared" ca="1" si="817"/>
        <v>75.871823967431382</v>
      </c>
      <c r="AEA25" s="90">
        <f t="shared" ca="1" si="818"/>
        <v>48.200147802285471</v>
      </c>
      <c r="AEB25" s="90">
        <f t="shared" ca="1" si="819"/>
        <v>6.5152726822868212</v>
      </c>
      <c r="AEC25" s="90">
        <f t="shared" ca="1" si="820"/>
        <v>204.91526392297155</v>
      </c>
      <c r="AED25" s="90">
        <f t="shared" ca="1" si="821"/>
        <v>29.06793032341475</v>
      </c>
      <c r="AEE25" s="90">
        <f t="shared" ca="1" si="822"/>
        <v>186.10597349064864</v>
      </c>
      <c r="AEF25" s="90">
        <f t="shared" ca="1" si="823"/>
        <v>17.582941061433072</v>
      </c>
      <c r="AEG25" s="90">
        <f t="shared" ca="1" si="824"/>
        <v>138.66528943034257</v>
      </c>
      <c r="AEH25" s="90">
        <f t="shared" ca="1" si="825"/>
        <v>379.76213020589972</v>
      </c>
      <c r="AEI25" s="90">
        <f t="shared" ca="1" si="826"/>
        <v>10.315374105858371</v>
      </c>
      <c r="AEJ25" s="90">
        <f t="shared" ca="1" si="827"/>
        <v>57.268247432086184</v>
      </c>
      <c r="AEK25" s="90">
        <f t="shared" ca="1" si="828"/>
        <v>36.060930696950912</v>
      </c>
      <c r="AEL25" s="90">
        <f t="shared" ca="1" si="829"/>
        <v>14.46753170002531</v>
      </c>
      <c r="AEM25" s="90">
        <f t="shared" ca="1" si="830"/>
        <v>139.0505460951629</v>
      </c>
      <c r="AEN25" s="90">
        <f t="shared" ca="1" si="831"/>
        <v>43.24212893881252</v>
      </c>
      <c r="AEO25" s="90">
        <f t="shared" ca="1" si="832"/>
        <v>92.909691396686839</v>
      </c>
      <c r="AEP25" s="90">
        <f t="shared" ca="1" si="833"/>
        <v>11.431824847706862</v>
      </c>
      <c r="AEQ25" s="90">
        <f t="shared" ca="1" si="834"/>
        <v>-0.79962213944256133</v>
      </c>
      <c r="AER25" s="90">
        <f t="shared" ca="1" si="835"/>
        <v>77.640311905487607</v>
      </c>
      <c r="AES25" s="90">
        <f t="shared" ca="1" si="836"/>
        <v>399.59526260118338</v>
      </c>
      <c r="AET25" s="90">
        <f t="shared" ca="1" si="837"/>
        <v>204.2724542929449</v>
      </c>
      <c r="AEU25" s="90">
        <f t="shared" ca="1" si="838"/>
        <v>276.22470529540476</v>
      </c>
      <c r="AEV25" s="90">
        <f t="shared" ca="1" si="839"/>
        <v>32.045752983707025</v>
      </c>
      <c r="AEW25" s="90">
        <f t="shared" ca="1" si="840"/>
        <v>93.279713132632295</v>
      </c>
      <c r="AEX25" s="90">
        <f t="shared" ca="1" si="841"/>
        <v>154.75101105356018</v>
      </c>
      <c r="AEY25" s="90">
        <f t="shared" ca="1" si="842"/>
        <v>277.61223167287471</v>
      </c>
      <c r="AEZ25" s="90">
        <f t="shared" ca="1" si="843"/>
        <v>36.51037682040117</v>
      </c>
      <c r="AFA25" s="90">
        <f t="shared" ca="1" si="844"/>
        <v>87.199328134479941</v>
      </c>
      <c r="AFB25" s="90">
        <f t="shared" ca="1" si="845"/>
        <v>130.36399124655259</v>
      </c>
      <c r="AFC25" s="90">
        <f t="shared" ca="1" si="846"/>
        <v>58.756049870099673</v>
      </c>
      <c r="AFD25" s="90">
        <f t="shared" ca="1" si="847"/>
        <v>4.8530780627879686</v>
      </c>
      <c r="AFE25" s="90">
        <f t="shared" ca="1" si="848"/>
        <v>135.89724664895419</v>
      </c>
      <c r="AFF25" s="90">
        <f t="shared" ca="1" si="849"/>
        <v>36.725023263127497</v>
      </c>
      <c r="AFG25" s="90">
        <f t="shared" ca="1" si="850"/>
        <v>17.069476264910683</v>
      </c>
      <c r="AFH25" s="90">
        <f t="shared" ca="1" si="851"/>
        <v>265.3657057848468</v>
      </c>
      <c r="AFI25" s="90">
        <f t="shared" ca="1" si="852"/>
        <v>71.474981235523259</v>
      </c>
      <c r="AFJ25" s="90">
        <f t="shared" ca="1" si="853"/>
        <v>390.14649244468274</v>
      </c>
      <c r="AFK25" s="90">
        <f t="shared" ca="1" si="854"/>
        <v>15.23998537673663</v>
      </c>
      <c r="AFL25" s="90">
        <f t="shared" ca="1" si="855"/>
        <v>45.00097949866187</v>
      </c>
      <c r="AFM25" s="90">
        <f t="shared" ca="1" si="856"/>
        <v>145.4195933163885</v>
      </c>
      <c r="AFN25" s="90">
        <f t="shared" ca="1" si="857"/>
        <v>11.158908570902966</v>
      </c>
      <c r="AFO25" s="90">
        <f t="shared" ca="1" si="858"/>
        <v>232.32034604875653</v>
      </c>
      <c r="AFP25" s="90">
        <f t="shared" ca="1" si="859"/>
        <v>68.313957842651405</v>
      </c>
      <c r="AFQ25" s="90">
        <f t="shared" ca="1" si="860"/>
        <v>420.62138631490438</v>
      </c>
      <c r="AFR25" s="90">
        <f t="shared" ca="1" si="861"/>
        <v>20.862907619581307</v>
      </c>
      <c r="AFS25" s="90">
        <f t="shared" ca="1" si="862"/>
        <v>170.49240205527619</v>
      </c>
      <c r="AFT25" s="90">
        <f t="shared" ca="1" si="863"/>
        <v>50.239512348810216</v>
      </c>
      <c r="AFU25" s="90">
        <f t="shared" ca="1" si="864"/>
        <v>-13.946325525138349</v>
      </c>
      <c r="AFV25" s="90">
        <f t="shared" ca="1" si="865"/>
        <v>53.347454908017866</v>
      </c>
      <c r="AFW25" s="90">
        <f t="shared" ca="1" si="866"/>
        <v>542.36380077744911</v>
      </c>
      <c r="AFX25" s="90">
        <f t="shared" ca="1" si="867"/>
        <v>224.82990158446404</v>
      </c>
      <c r="AFY25" s="90">
        <f t="shared" ca="1" si="868"/>
        <v>7.5902658092676711</v>
      </c>
      <c r="AFZ25" s="90">
        <f t="shared" ca="1" si="869"/>
        <v>70.311538697661888</v>
      </c>
      <c r="AGA25" s="90">
        <f t="shared" ca="1" si="870"/>
        <v>171.63069764563039</v>
      </c>
      <c r="AGB25" s="90">
        <f t="shared" ca="1" si="871"/>
        <v>97.35628201069099</v>
      </c>
      <c r="AGC25" s="90">
        <f t="shared" ca="1" si="872"/>
        <v>-6.3972600331315572</v>
      </c>
      <c r="AGD25" s="90">
        <f t="shared" ca="1" si="873"/>
        <v>45.063343147443895</v>
      </c>
      <c r="AGE25" s="90">
        <f t="shared" ca="1" si="874"/>
        <v>28.093481544568153</v>
      </c>
      <c r="AGF25" s="90">
        <f t="shared" ca="1" si="875"/>
        <v>44.808673214993689</v>
      </c>
      <c r="AGG25" s="90">
        <f t="shared" ca="1" si="876"/>
        <v>34.977851867381801</v>
      </c>
      <c r="AGH25" s="90">
        <f t="shared" ca="1" si="877"/>
        <v>41.813687235335834</v>
      </c>
      <c r="AGI25" s="90">
        <f t="shared" ca="1" si="878"/>
        <v>35.255748716718315</v>
      </c>
      <c r="AGJ25" s="90">
        <f t="shared" ca="1" si="879"/>
        <v>131.47519081487866</v>
      </c>
      <c r="AGK25" s="90">
        <f t="shared" ca="1" si="880"/>
        <v>14.457851875047139</v>
      </c>
      <c r="AGL25" s="90">
        <f t="shared" ca="1" si="881"/>
        <v>293.5419648018871</v>
      </c>
      <c r="AGM25" s="90">
        <f t="shared" ca="1" si="882"/>
        <v>111.98521429072399</v>
      </c>
      <c r="AGN25" s="90">
        <f t="shared" ca="1" si="883"/>
        <v>53.70371054520907</v>
      </c>
      <c r="AGO25" s="90">
        <f t="shared" ca="1" si="884"/>
        <v>187.61531188294782</v>
      </c>
      <c r="AGP25" s="90">
        <f t="shared" ca="1" si="885"/>
        <v>18.897952302750539</v>
      </c>
      <c r="AGQ25" s="90">
        <f t="shared" ca="1" si="886"/>
        <v>93.103104551467453</v>
      </c>
      <c r="AGR25" s="90">
        <f t="shared" ca="1" si="887"/>
        <v>134.08684586677649</v>
      </c>
      <c r="AGS25" s="90">
        <f t="shared" ca="1" si="888"/>
        <v>92.372224969501872</v>
      </c>
      <c r="AGT25" s="90">
        <f t="shared" ca="1" si="889"/>
        <v>71.924928787577088</v>
      </c>
      <c r="AGU25" s="90">
        <f t="shared" ca="1" si="890"/>
        <v>84.685399556185914</v>
      </c>
      <c r="AGV25" s="90">
        <f t="shared" ca="1" si="891"/>
        <v>33.960540814778732</v>
      </c>
      <c r="AGW25" s="90">
        <f t="shared" ca="1" si="892"/>
        <v>1059.0355398698541</v>
      </c>
      <c r="AGX25" s="90">
        <f t="shared" ca="1" si="893"/>
        <v>341.17890927116161</v>
      </c>
      <c r="AGY25" s="90">
        <f t="shared" ca="1" si="894"/>
        <v>25.454518096181495</v>
      </c>
      <c r="AGZ25" s="90">
        <f t="shared" ca="1" si="895"/>
        <v>88.552804300082954</v>
      </c>
      <c r="AHA25" s="90">
        <f t="shared" ca="1" si="896"/>
        <v>-28.840979457327332</v>
      </c>
      <c r="AHB25" s="90">
        <f t="shared" ca="1" si="897"/>
        <v>15.232148319250909</v>
      </c>
      <c r="AHC25" s="90">
        <f t="shared" ca="1" si="898"/>
        <v>205.14470141490338</v>
      </c>
      <c r="AHD25" s="90">
        <f t="shared" ca="1" si="899"/>
        <v>155.01817839623317</v>
      </c>
      <c r="AHE25" s="90">
        <f t="shared" ca="1" si="900"/>
        <v>144.8363276562834</v>
      </c>
      <c r="AHF25" s="90">
        <f t="shared" ca="1" si="901"/>
        <v>91.205982164459982</v>
      </c>
      <c r="AHG25" s="90">
        <f t="shared" ca="1" si="902"/>
        <v>115.35762514183692</v>
      </c>
      <c r="AHH25" s="90">
        <f t="shared" ca="1" si="903"/>
        <v>110.90351869170657</v>
      </c>
      <c r="AHI25" s="90">
        <f t="shared" ca="1" si="904"/>
        <v>8.3095919742589661</v>
      </c>
      <c r="AHJ25" s="90">
        <f t="shared" ca="1" si="905"/>
        <v>519.30955472400797</v>
      </c>
      <c r="AHK25" s="90">
        <f t="shared" ca="1" si="906"/>
        <v>252.3562362015459</v>
      </c>
      <c r="AHL25" s="90">
        <f t="shared" ca="1" si="907"/>
        <v>28.537342473274759</v>
      </c>
      <c r="AHM25" s="90">
        <f t="shared" ca="1" si="908"/>
        <v>217.81315236848027</v>
      </c>
      <c r="AHN25" s="90">
        <f t="shared" ca="1" si="909"/>
        <v>290.11853897576151</v>
      </c>
      <c r="AHO25" s="90">
        <f t="shared" ca="1" si="910"/>
        <v>49.601920314542248</v>
      </c>
      <c r="AHP25" s="90">
        <f t="shared" ca="1" si="911"/>
        <v>42.532518913625552</v>
      </c>
      <c r="AHQ25" s="90">
        <f t="shared" ca="1" si="912"/>
        <v>116.43423107276618</v>
      </c>
      <c r="AHR25" s="90">
        <f t="shared" ca="1" si="913"/>
        <v>-4.1086025330179314</v>
      </c>
      <c r="AHS25" s="90">
        <f t="shared" ca="1" si="914"/>
        <v>23.280558664136358</v>
      </c>
      <c r="AHT25" s="90">
        <f t="shared" ca="1" si="915"/>
        <v>88.180551654836776</v>
      </c>
      <c r="AHU25" s="90">
        <f t="shared" ca="1" si="916"/>
        <v>105.54218606877284</v>
      </c>
      <c r="AHV25" s="90">
        <f t="shared" ca="1" si="917"/>
        <v>84.913396516578061</v>
      </c>
      <c r="AHW25" s="90">
        <f t="shared" ca="1" si="918"/>
        <v>159.01491265625666</v>
      </c>
      <c r="AHX25" s="90">
        <f t="shared" ca="1" si="919"/>
        <v>28.930811925517371</v>
      </c>
      <c r="AHY25" s="90">
        <f t="shared" ca="1" si="920"/>
        <v>59.743732000396932</v>
      </c>
      <c r="AHZ25" s="90">
        <f t="shared" ca="1" si="921"/>
        <v>607.14925423305874</v>
      </c>
      <c r="AIA25" s="90">
        <f t="shared" ca="1" si="922"/>
        <v>102.31481995064235</v>
      </c>
      <c r="AIB25" s="90">
        <f t="shared" ca="1" si="923"/>
        <v>113.69778902300153</v>
      </c>
      <c r="AIC25" s="90">
        <f t="shared" ca="1" si="924"/>
        <v>392.31476835850543</v>
      </c>
      <c r="AID25" s="90">
        <f t="shared" ca="1" si="925"/>
        <v>173.84092816028362</v>
      </c>
      <c r="AIE25" s="90">
        <f t="shared" ca="1" si="926"/>
        <v>567.34301162082454</v>
      </c>
      <c r="AIF25" s="90">
        <f t="shared" ca="1" si="927"/>
        <v>180.96814852462768</v>
      </c>
      <c r="AIG25" s="90">
        <f t="shared" ca="1" si="928"/>
        <v>412.52636604261426</v>
      </c>
      <c r="AIH25" s="90">
        <f t="shared" ca="1" si="929"/>
        <v>186.38113137973318</v>
      </c>
      <c r="AII25" s="90">
        <f t="shared" ca="1" si="930"/>
        <v>47.224047857348189</v>
      </c>
      <c r="AIJ25" s="90">
        <f t="shared" ca="1" si="931"/>
        <v>19.377272462112469</v>
      </c>
      <c r="AIK25" s="90">
        <f t="shared" ca="1" si="932"/>
        <v>8.3571365139038569</v>
      </c>
      <c r="AIL25" s="90">
        <f t="shared" ca="1" si="933"/>
        <v>35.510981767625822</v>
      </c>
      <c r="AIM25" s="90">
        <f t="shared" ca="1" si="934"/>
        <v>801.560534541077</v>
      </c>
      <c r="AIN25" s="90">
        <f t="shared" ca="1" si="935"/>
        <v>42.306702637376901</v>
      </c>
      <c r="AIO25" s="90">
        <f t="shared" ca="1" si="936"/>
        <v>16.223101003061387</v>
      </c>
      <c r="AIP25" s="90">
        <f t="shared" ca="1" si="937"/>
        <v>32.466295856118371</v>
      </c>
      <c r="AIQ25" s="90">
        <f t="shared" ca="1" si="938"/>
        <v>-0.70078634943328766</v>
      </c>
      <c r="AIR25" s="90">
        <f t="shared" ca="1" si="939"/>
        <v>31.026206236460176</v>
      </c>
      <c r="AIS25" s="90">
        <f t="shared" ca="1" si="940"/>
        <v>8.6184041044233801</v>
      </c>
      <c r="AIT25" s="90">
        <f t="shared" ca="1" si="941"/>
        <v>134.04802417834759</v>
      </c>
      <c r="AIU25" s="90">
        <f t="shared" ca="1" si="942"/>
        <v>44.200241126180806</v>
      </c>
      <c r="AIV25" s="90">
        <f t="shared" ca="1" si="943"/>
        <v>265.0365087417112</v>
      </c>
      <c r="AIW25" s="90">
        <f t="shared" ca="1" si="944"/>
        <v>206.70419928844657</v>
      </c>
      <c r="AIX25" s="90">
        <f t="shared" ca="1" si="945"/>
        <v>8.5345975124763651</v>
      </c>
      <c r="AIY25" s="90">
        <f t="shared" ca="1" si="946"/>
        <v>65.49316885675448</v>
      </c>
      <c r="AIZ25" s="90">
        <f t="shared" ca="1" si="947"/>
        <v>44.765431245208227</v>
      </c>
      <c r="AJA25" s="90">
        <f t="shared" ca="1" si="948"/>
        <v>737.29307289364044</v>
      </c>
      <c r="AJB25" s="90">
        <f t="shared" ca="1" si="949"/>
        <v>11.723456706685235</v>
      </c>
      <c r="AJC25" s="90">
        <f t="shared" ca="1" si="950"/>
        <v>-1.1946763819868551</v>
      </c>
      <c r="AJD25" s="90">
        <f t="shared" ca="1" si="951"/>
        <v>74.250414278580934</v>
      </c>
      <c r="AJE25" s="90">
        <f t="shared" ca="1" si="952"/>
        <v>127.08881624800404</v>
      </c>
      <c r="AJF25" s="90">
        <f t="shared" ca="1" si="953"/>
        <v>56.293656351718155</v>
      </c>
      <c r="AJG25" s="90">
        <f t="shared" ca="1" si="954"/>
        <v>106.30242642635764</v>
      </c>
      <c r="AJH25" s="90">
        <f t="shared" ca="1" si="955"/>
        <v>18.646504198034123</v>
      </c>
      <c r="AJI25" s="90">
        <f t="shared" ca="1" si="956"/>
        <v>85.960835759529985</v>
      </c>
      <c r="AJJ25" s="90">
        <f t="shared" ca="1" si="957"/>
        <v>41.199004402113623</v>
      </c>
      <c r="AJK25" s="90">
        <f t="shared" ca="1" si="958"/>
        <v>21.623656257090264</v>
      </c>
      <c r="AJL25" s="90">
        <f t="shared" ca="1" si="959"/>
        <v>92.934713545805224</v>
      </c>
      <c r="AJM25" s="90">
        <f t="shared" ca="1" si="960"/>
        <v>555.48139277895098</v>
      </c>
      <c r="AJN25" s="90">
        <f t="shared" ca="1" si="961"/>
        <v>50.305923036894626</v>
      </c>
      <c r="AJO25" s="90">
        <f t="shared" ca="1" si="962"/>
        <v>51.299628814269241</v>
      </c>
      <c r="AJP25" s="90">
        <f t="shared" ca="1" si="963"/>
        <v>1407.175283240801</v>
      </c>
      <c r="AJQ25" s="90">
        <f t="shared" ca="1" si="964"/>
        <v>82.203524948071902</v>
      </c>
      <c r="AJR25" s="90">
        <f t="shared" ca="1" si="965"/>
        <v>8.2333963492274762</v>
      </c>
      <c r="AJS25" s="90">
        <f t="shared" ca="1" si="966"/>
        <v>58.380447860819643</v>
      </c>
      <c r="AJT25" s="90">
        <f t="shared" ca="1" si="967"/>
        <v>55.92400060088773</v>
      </c>
      <c r="AJU25" s="90">
        <f t="shared" ca="1" si="968"/>
        <v>15.095469423094638</v>
      </c>
      <c r="AJV25" s="90">
        <f t="shared" ca="1" si="969"/>
        <v>144.68185678347521</v>
      </c>
      <c r="AJW25" s="90">
        <f t="shared" ca="1" si="970"/>
        <v>120.50860630023689</v>
      </c>
      <c r="AJX25" s="90">
        <f t="shared" ca="1" si="971"/>
        <v>28.987182541621053</v>
      </c>
      <c r="AJY25" s="90">
        <f t="shared" ca="1" si="972"/>
        <v>7.3043340181160223</v>
      </c>
      <c r="AJZ25" s="90">
        <f t="shared" ca="1" si="973"/>
        <v>80.93772347669578</v>
      </c>
      <c r="AKA25" s="90">
        <f t="shared" ca="1" si="974"/>
        <v>43.567262554437228</v>
      </c>
      <c r="AKB25" s="90">
        <f t="shared" ca="1" si="975"/>
        <v>62.053190024177098</v>
      </c>
      <c r="AKC25" s="90">
        <f t="shared" ca="1" si="976"/>
        <v>104.77263539113665</v>
      </c>
      <c r="AKD25" s="90">
        <f t="shared" ca="1" si="977"/>
        <v>94.818392815026257</v>
      </c>
      <c r="AKE25" s="90">
        <f t="shared" ca="1" si="978"/>
        <v>30.121853791216505</v>
      </c>
      <c r="AKF25" s="90">
        <f t="shared" ca="1" si="979"/>
        <v>127.94552794888858</v>
      </c>
      <c r="AKG25" s="90">
        <f t="shared" ca="1" si="980"/>
        <v>13.757048748724063</v>
      </c>
      <c r="AKH25" s="90">
        <f t="shared" ca="1" si="981"/>
        <v>40.8306506272462</v>
      </c>
      <c r="AKI25" s="90">
        <f t="shared" ca="1" si="982"/>
        <v>314.69414774318471</v>
      </c>
      <c r="AKJ25" s="90">
        <f t="shared" ca="1" si="983"/>
        <v>54.674708090289997</v>
      </c>
      <c r="AKK25" s="90">
        <f t="shared" ca="1" si="984"/>
        <v>48.961155921038333</v>
      </c>
      <c r="AKL25" s="90">
        <f t="shared" ca="1" si="985"/>
        <v>25.325293597455143</v>
      </c>
      <c r="AKM25" s="90">
        <f t="shared" ca="1" si="986"/>
        <v>273.88992415722691</v>
      </c>
      <c r="AKN25" s="90">
        <f t="shared" ca="1" si="987"/>
        <v>107.75464784631743</v>
      </c>
      <c r="AKO25" s="90">
        <f t="shared" ca="1" si="988"/>
        <v>59.228544347829576</v>
      </c>
      <c r="AKP25" s="90">
        <f t="shared" ca="1" si="989"/>
        <v>23.87414668299898</v>
      </c>
      <c r="AKQ25" s="90">
        <f t="shared" ca="1" si="990"/>
        <v>33.95610138692814</v>
      </c>
      <c r="AKR25" s="90">
        <f t="shared" ca="1" si="991"/>
        <v>12.754113714811854</v>
      </c>
      <c r="AKS25" s="90">
        <f t="shared" ca="1" si="992"/>
        <v>203.14705420399494</v>
      </c>
      <c r="AKT25" s="90">
        <f t="shared" ca="1" si="993"/>
        <v>164.74626708240089</v>
      </c>
      <c r="AKU25" s="90">
        <f t="shared" ca="1" si="994"/>
        <v>52.371310528898697</v>
      </c>
      <c r="AKV25" s="90">
        <f t="shared" ca="1" si="995"/>
        <v>24.226236557835428</v>
      </c>
      <c r="AKW25" s="90">
        <f t="shared" ca="1" si="996"/>
        <v>98.163491779086471</v>
      </c>
      <c r="AKX25" s="90">
        <f t="shared" ca="1" si="997"/>
        <v>161.40846578769754</v>
      </c>
      <c r="AKY25" s="90">
        <f t="shared" ca="1" si="998"/>
        <v>14.285394105941904</v>
      </c>
      <c r="AKZ25" s="90">
        <f t="shared" ca="1" si="999"/>
        <v>1126.0919222944146</v>
      </c>
      <c r="ALA25" s="90">
        <f t="shared" ca="1" si="1000"/>
        <v>115.09768987570155</v>
      </c>
      <c r="ALB25" s="90">
        <f t="shared" ca="1" si="1001"/>
        <v>494.54591787661894</v>
      </c>
      <c r="ALC25" s="90">
        <f t="shared" ca="1" si="1002"/>
        <v>721.90894570759826</v>
      </c>
      <c r="ALD25" s="90">
        <f t="shared" ca="1" si="1003"/>
        <v>961.12248345531441</v>
      </c>
      <c r="ALE25" s="90">
        <f t="shared" ca="1" si="1004"/>
        <v>-9.7823000976139252</v>
      </c>
      <c r="ALF25" s="90">
        <f t="shared" ca="1" si="1005"/>
        <v>77.138390765337618</v>
      </c>
      <c r="ALG25" s="90">
        <f t="shared" ca="1" si="1006"/>
        <v>104.03269022407977</v>
      </c>
      <c r="ALH25" s="90">
        <f t="shared" ca="1" si="1007"/>
        <v>7.9888157580297152</v>
      </c>
      <c r="ALI25" s="90">
        <f t="shared" ca="1" si="1008"/>
        <v>14.885289466806785</v>
      </c>
      <c r="ALJ25" s="90">
        <f t="shared" ca="1" si="1009"/>
        <v>299.7154025966376</v>
      </c>
      <c r="ALK25" s="90">
        <f t="shared" ca="1" si="1010"/>
        <v>-0.31833532185108876</v>
      </c>
      <c r="ALL25" s="90">
        <f t="shared" ca="1" si="1011"/>
        <v>67.535542160774142</v>
      </c>
      <c r="ALM25" s="90">
        <f t="shared" ca="1" si="1012"/>
        <v>25.50975999434888</v>
      </c>
      <c r="ALN25" s="90">
        <f t="shared" ca="1" si="1013"/>
        <v>233.45366229892926</v>
      </c>
      <c r="ALO25" s="90">
        <f t="shared" ca="1" si="1014"/>
        <v>18.937657513610603</v>
      </c>
      <c r="ALP25" s="90">
        <f t="shared" ca="1" si="1015"/>
        <v>54.129451865427704</v>
      </c>
      <c r="ALQ25" s="90">
        <f t="shared" ca="1" si="1016"/>
        <v>68.723863138540025</v>
      </c>
    </row>
    <row r="26" spans="3:1005" x14ac:dyDescent="0.35">
      <c r="C26" s="61">
        <f t="shared" ca="1" si="17"/>
        <v>0.12069030951117266</v>
      </c>
      <c r="D26" s="90">
        <f t="shared" ca="1" si="0"/>
        <v>154.54344018263862</v>
      </c>
      <c r="E26">
        <v>9</v>
      </c>
      <c r="F26" s="90">
        <f t="shared" ca="1" si="1017"/>
        <v>2.2647884722237897</v>
      </c>
      <c r="G26" s="90">
        <f t="shared" ca="1" si="18"/>
        <v>249.53633281743768</v>
      </c>
      <c r="H26" s="90">
        <f t="shared" ca="1" si="19"/>
        <v>107.61197691893122</v>
      </c>
      <c r="I26" s="90">
        <f t="shared" ca="1" si="20"/>
        <v>196.76054595652289</v>
      </c>
      <c r="J26" s="90">
        <f t="shared" ca="1" si="21"/>
        <v>38.778370077477391</v>
      </c>
      <c r="K26" s="90">
        <f t="shared" ca="1" si="22"/>
        <v>205.31316903415097</v>
      </c>
      <c r="L26" s="90">
        <f t="shared" ca="1" si="23"/>
        <v>-32.602150966520774</v>
      </c>
      <c r="M26" s="90">
        <f t="shared" ca="1" si="24"/>
        <v>8.3288542282128635</v>
      </c>
      <c r="N26" s="90">
        <f t="shared" ca="1" si="25"/>
        <v>57.841670833896707</v>
      </c>
      <c r="O26" s="90">
        <f t="shared" ca="1" si="26"/>
        <v>62.903006621695184</v>
      </c>
      <c r="P26" s="90">
        <f t="shared" ca="1" si="27"/>
        <v>15.69349909108581</v>
      </c>
      <c r="Q26" s="90">
        <f t="shared" ca="1" si="28"/>
        <v>146.29339328010528</v>
      </c>
      <c r="R26" s="90">
        <f t="shared" ca="1" si="29"/>
        <v>15.189861765544942</v>
      </c>
      <c r="S26" s="90">
        <f t="shared" ca="1" si="30"/>
        <v>137.95759918490509</v>
      </c>
      <c r="T26" s="90">
        <f t="shared" ca="1" si="31"/>
        <v>61.181818298334498</v>
      </c>
      <c r="U26" s="90">
        <f t="shared" ca="1" si="32"/>
        <v>262.29690864669936</v>
      </c>
      <c r="V26" s="90">
        <f t="shared" ca="1" si="33"/>
        <v>185.63823256837361</v>
      </c>
      <c r="W26" s="90">
        <f t="shared" ca="1" si="34"/>
        <v>275.34187639518268</v>
      </c>
      <c r="X26" s="90">
        <f t="shared" ca="1" si="35"/>
        <v>380.18259077966144</v>
      </c>
      <c r="Y26" s="90">
        <f t="shared" ca="1" si="36"/>
        <v>970.39699660893291</v>
      </c>
      <c r="Z26" s="90">
        <f t="shared" ca="1" si="37"/>
        <v>416.32728425443725</v>
      </c>
      <c r="AA26" s="90">
        <f t="shared" ca="1" si="38"/>
        <v>95.552304361672228</v>
      </c>
      <c r="AB26" s="90">
        <f t="shared" ca="1" si="39"/>
        <v>170.85965998030497</v>
      </c>
      <c r="AC26" s="90">
        <f t="shared" ca="1" si="40"/>
        <v>29.50372905629542</v>
      </c>
      <c r="AD26" s="90">
        <f t="shared" ca="1" si="41"/>
        <v>366.80127122838252</v>
      </c>
      <c r="AE26" s="90">
        <f t="shared" ca="1" si="42"/>
        <v>82.009874891109376</v>
      </c>
      <c r="AF26" s="90">
        <f t="shared" ca="1" si="43"/>
        <v>765.63287900636692</v>
      </c>
      <c r="AG26" s="90">
        <f t="shared" ca="1" si="44"/>
        <v>41.202085759645996</v>
      </c>
      <c r="AH26" s="90">
        <f t="shared" ca="1" si="45"/>
        <v>8.0248831789473343</v>
      </c>
      <c r="AI26" s="90">
        <f t="shared" ca="1" si="46"/>
        <v>48.773072487970701</v>
      </c>
      <c r="AJ26" s="90">
        <f t="shared" ca="1" si="47"/>
        <v>587.28252958716405</v>
      </c>
      <c r="AK26" s="90">
        <f t="shared" ca="1" si="48"/>
        <v>-14.483236910617428</v>
      </c>
      <c r="AL26" s="90">
        <f t="shared" ca="1" si="49"/>
        <v>150.47805309504122</v>
      </c>
      <c r="AM26" s="90">
        <f t="shared" ca="1" si="50"/>
        <v>-0.14511001909826171</v>
      </c>
      <c r="AN26" s="90">
        <f t="shared" ca="1" si="51"/>
        <v>26.108428476667033</v>
      </c>
      <c r="AO26" s="90">
        <f t="shared" ca="1" si="52"/>
        <v>666.81226611315435</v>
      </c>
      <c r="AP26" s="90">
        <f t="shared" ca="1" si="53"/>
        <v>65.259124899594525</v>
      </c>
      <c r="AQ26" s="90">
        <f t="shared" ca="1" si="54"/>
        <v>23.286873706212656</v>
      </c>
      <c r="AR26" s="90">
        <f t="shared" ca="1" si="55"/>
        <v>35.544780509955629</v>
      </c>
      <c r="AS26" s="90">
        <f t="shared" ca="1" si="56"/>
        <v>1243.2503243509716</v>
      </c>
      <c r="AT26" s="90">
        <f t="shared" ca="1" si="57"/>
        <v>156.07345157182363</v>
      </c>
      <c r="AU26" s="90">
        <f t="shared" ca="1" si="58"/>
        <v>103.04186466457615</v>
      </c>
      <c r="AV26" s="90">
        <f t="shared" ca="1" si="59"/>
        <v>32.674707979809369</v>
      </c>
      <c r="AW26" s="90">
        <f t="shared" ca="1" si="60"/>
        <v>69.971907633305079</v>
      </c>
      <c r="AX26" s="90">
        <f t="shared" ca="1" si="61"/>
        <v>13.266602095943053</v>
      </c>
      <c r="AY26" s="90">
        <f t="shared" ca="1" si="62"/>
        <v>666.86657893714448</v>
      </c>
      <c r="AZ26" s="90">
        <f t="shared" ca="1" si="63"/>
        <v>177.42497629300172</v>
      </c>
      <c r="BA26" s="90">
        <f t="shared" ca="1" si="64"/>
        <v>168.02692867831303</v>
      </c>
      <c r="BB26" s="90">
        <f t="shared" ca="1" si="65"/>
        <v>33.099787522393065</v>
      </c>
      <c r="BC26" s="90">
        <f t="shared" ca="1" si="66"/>
        <v>176.86672363958044</v>
      </c>
      <c r="BD26" s="90">
        <f t="shared" ca="1" si="67"/>
        <v>86.208044379051046</v>
      </c>
      <c r="BE26" s="90">
        <f t="shared" ca="1" si="68"/>
        <v>2.7925622692908432</v>
      </c>
      <c r="BF26" s="90">
        <f t="shared" ca="1" si="69"/>
        <v>11.019787502801192</v>
      </c>
      <c r="BG26" s="90">
        <f t="shared" ca="1" si="70"/>
        <v>96.263088418040994</v>
      </c>
      <c r="BH26" s="90">
        <f t="shared" ca="1" si="71"/>
        <v>25.39477107866762</v>
      </c>
      <c r="BI26" s="90">
        <f t="shared" ca="1" si="72"/>
        <v>31.756708442422667</v>
      </c>
      <c r="BJ26" s="90">
        <f t="shared" ca="1" si="73"/>
        <v>40.396261405127902</v>
      </c>
      <c r="BK26" s="90">
        <f t="shared" ca="1" si="74"/>
        <v>2.9509037409542653</v>
      </c>
      <c r="BL26" s="90">
        <f t="shared" ca="1" si="75"/>
        <v>21.439826257043379</v>
      </c>
      <c r="BM26" s="90">
        <f t="shared" ca="1" si="76"/>
        <v>80.899375700578702</v>
      </c>
      <c r="BN26" s="90">
        <f t="shared" ca="1" si="77"/>
        <v>2.2709295026530114</v>
      </c>
      <c r="BO26" s="90">
        <f t="shared" ca="1" si="78"/>
        <v>299.94877584569082</v>
      </c>
      <c r="BP26" s="90">
        <f t="shared" ca="1" si="79"/>
        <v>122.98384968866779</v>
      </c>
      <c r="BQ26" s="90">
        <f t="shared" ca="1" si="80"/>
        <v>117.76581126630225</v>
      </c>
      <c r="BR26" s="90">
        <f t="shared" ca="1" si="81"/>
        <v>100.50377567497526</v>
      </c>
      <c r="BS26" s="90">
        <f t="shared" ca="1" si="82"/>
        <v>105.37320093290631</v>
      </c>
      <c r="BT26" s="90">
        <f t="shared" ca="1" si="83"/>
        <v>107.98722680390321</v>
      </c>
      <c r="BU26" s="90">
        <f t="shared" ca="1" si="84"/>
        <v>10.297000392317832</v>
      </c>
      <c r="BV26" s="90">
        <f t="shared" ca="1" si="85"/>
        <v>36.695497398175839</v>
      </c>
      <c r="BW26" s="90">
        <f t="shared" ca="1" si="86"/>
        <v>319.7616964063364</v>
      </c>
      <c r="BX26" s="90">
        <f t="shared" ca="1" si="87"/>
        <v>12.304171252176257</v>
      </c>
      <c r="BY26" s="90">
        <f t="shared" ca="1" si="88"/>
        <v>107.91208574678966</v>
      </c>
      <c r="BZ26" s="90">
        <f t="shared" ca="1" si="89"/>
        <v>63.837734175347201</v>
      </c>
      <c r="CA26" s="90">
        <f t="shared" ca="1" si="90"/>
        <v>21.073468912369336</v>
      </c>
      <c r="CB26" s="90">
        <f t="shared" ca="1" si="91"/>
        <v>54.477942229484327</v>
      </c>
      <c r="CC26" s="90">
        <f t="shared" ca="1" si="92"/>
        <v>67.461523336410806</v>
      </c>
      <c r="CD26" s="90">
        <f t="shared" ca="1" si="93"/>
        <v>215.96633467047593</v>
      </c>
      <c r="CE26" s="90">
        <f t="shared" ca="1" si="94"/>
        <v>1.0544978779766769</v>
      </c>
      <c r="CF26" s="90">
        <f t="shared" ca="1" si="95"/>
        <v>109.84711595025674</v>
      </c>
      <c r="CG26" s="90">
        <f t="shared" ca="1" si="96"/>
        <v>5.9041077072090067</v>
      </c>
      <c r="CH26" s="90">
        <f t="shared" ca="1" si="97"/>
        <v>47.547501371918145</v>
      </c>
      <c r="CI26" s="90">
        <f t="shared" ca="1" si="98"/>
        <v>147.16709091826101</v>
      </c>
      <c r="CJ26" s="90">
        <f t="shared" ca="1" si="99"/>
        <v>130.4772253065338</v>
      </c>
      <c r="CK26" s="90">
        <f t="shared" ca="1" si="100"/>
        <v>184.78062562321929</v>
      </c>
      <c r="CL26" s="90">
        <f t="shared" ca="1" si="101"/>
        <v>59.647623722549149</v>
      </c>
      <c r="CM26" s="90">
        <f t="shared" ca="1" si="102"/>
        <v>17.327920025604755</v>
      </c>
      <c r="CN26" s="90">
        <f t="shared" ca="1" si="103"/>
        <v>82.520592393020891</v>
      </c>
      <c r="CO26" s="90">
        <f t="shared" ca="1" si="104"/>
        <v>160.09955898037833</v>
      </c>
      <c r="CP26" s="90">
        <f t="shared" ca="1" si="105"/>
        <v>305.07642843106186</v>
      </c>
      <c r="CQ26" s="90">
        <f t="shared" ca="1" si="106"/>
        <v>31.976523401228295</v>
      </c>
      <c r="CR26" s="90">
        <f t="shared" ca="1" si="107"/>
        <v>43.355766500531054</v>
      </c>
      <c r="CS26" s="90">
        <f t="shared" ca="1" si="108"/>
        <v>32.642776272601949</v>
      </c>
      <c r="CT26" s="90">
        <f t="shared" ca="1" si="109"/>
        <v>18.553794372632478</v>
      </c>
      <c r="CU26" s="90">
        <f t="shared" ca="1" si="110"/>
        <v>34.563048263494061</v>
      </c>
      <c r="CV26" s="90">
        <f t="shared" ca="1" si="111"/>
        <v>1471.9710643783774</v>
      </c>
      <c r="CW26" s="90">
        <f t="shared" ca="1" si="112"/>
        <v>309.82076107516554</v>
      </c>
      <c r="CX26" s="90">
        <f t="shared" ca="1" si="113"/>
        <v>60.21908336394425</v>
      </c>
      <c r="CY26" s="90">
        <f t="shared" ca="1" si="114"/>
        <v>68.808323573072286</v>
      </c>
      <c r="CZ26" s="90">
        <f t="shared" ca="1" si="115"/>
        <v>981.66380592455903</v>
      </c>
      <c r="DA26" s="90">
        <f t="shared" ca="1" si="116"/>
        <v>14.330214893587854</v>
      </c>
      <c r="DB26" s="90">
        <f t="shared" ca="1" si="117"/>
        <v>509.45144853538204</v>
      </c>
      <c r="DC26" s="90">
        <f t="shared" ca="1" si="118"/>
        <v>14.108241304563707</v>
      </c>
      <c r="DD26" s="90">
        <f t="shared" ca="1" si="119"/>
        <v>780.16692675727313</v>
      </c>
      <c r="DE26" s="90">
        <f t="shared" ca="1" si="120"/>
        <v>187.31460254723612</v>
      </c>
      <c r="DF26" s="90">
        <f t="shared" ca="1" si="121"/>
        <v>26.951904225515925</v>
      </c>
      <c r="DG26" s="90">
        <f t="shared" ca="1" si="122"/>
        <v>50.215248271513801</v>
      </c>
      <c r="DH26" s="90">
        <f t="shared" ca="1" si="123"/>
        <v>127.45662707454967</v>
      </c>
      <c r="DI26" s="90">
        <f t="shared" ca="1" si="124"/>
        <v>20.603697260607163</v>
      </c>
      <c r="DJ26" s="90">
        <f t="shared" ca="1" si="125"/>
        <v>506.33014123754424</v>
      </c>
      <c r="DK26" s="90">
        <f t="shared" ca="1" si="126"/>
        <v>114.96203703786399</v>
      </c>
      <c r="DL26" s="90">
        <f t="shared" ca="1" si="127"/>
        <v>6.7769556832004323</v>
      </c>
      <c r="DM26" s="90">
        <f t="shared" ca="1" si="128"/>
        <v>5.9403971013482231</v>
      </c>
      <c r="DN26" s="90">
        <f t="shared" ca="1" si="129"/>
        <v>33.350927665820457</v>
      </c>
      <c r="DO26" s="90">
        <f t="shared" ca="1" si="130"/>
        <v>811.47396193057773</v>
      </c>
      <c r="DP26" s="90">
        <f t="shared" ca="1" si="131"/>
        <v>51.782007876405103</v>
      </c>
      <c r="DQ26" s="90">
        <f t="shared" ca="1" si="132"/>
        <v>352.62396720319032</v>
      </c>
      <c r="DR26" s="90">
        <f t="shared" ca="1" si="133"/>
        <v>28.913467306626615</v>
      </c>
      <c r="DS26" s="90">
        <f t="shared" ca="1" si="134"/>
        <v>8.1243138249309048</v>
      </c>
      <c r="DT26" s="90">
        <f t="shared" ca="1" si="135"/>
        <v>-0.284445253487765</v>
      </c>
      <c r="DU26" s="90">
        <f t="shared" ca="1" si="136"/>
        <v>106.22445758610647</v>
      </c>
      <c r="DV26" s="90">
        <f t="shared" ca="1" si="137"/>
        <v>359.1445083462487</v>
      </c>
      <c r="DW26" s="90">
        <f t="shared" ca="1" si="138"/>
        <v>1481.672632477658</v>
      </c>
      <c r="DX26" s="90">
        <f t="shared" ca="1" si="139"/>
        <v>295.57793873157613</v>
      </c>
      <c r="DY26" s="90">
        <f t="shared" ca="1" si="140"/>
        <v>32.535047360575319</v>
      </c>
      <c r="DZ26" s="90">
        <f t="shared" ca="1" si="141"/>
        <v>385.98383550200475</v>
      </c>
      <c r="EA26" s="90">
        <f t="shared" ca="1" si="142"/>
        <v>117.13136722600053</v>
      </c>
      <c r="EB26" s="90">
        <f t="shared" ca="1" si="143"/>
        <v>426.84257347463995</v>
      </c>
      <c r="EC26" s="90">
        <f t="shared" ca="1" si="144"/>
        <v>292.36113466994829</v>
      </c>
      <c r="ED26" s="90">
        <f t="shared" ca="1" si="145"/>
        <v>45.034934786581204</v>
      </c>
      <c r="EE26" s="90">
        <f t="shared" ca="1" si="146"/>
        <v>-7.5821524934699074</v>
      </c>
      <c r="EF26" s="90">
        <f t="shared" ca="1" si="147"/>
        <v>123.01704582505759</v>
      </c>
      <c r="EG26" s="90">
        <f t="shared" ca="1" si="148"/>
        <v>59.182034122570961</v>
      </c>
      <c r="EH26" s="90">
        <f t="shared" ca="1" si="149"/>
        <v>33.309512872914006</v>
      </c>
      <c r="EI26" s="90">
        <f t="shared" ca="1" si="150"/>
        <v>91.117468279502191</v>
      </c>
      <c r="EJ26" s="90">
        <f t="shared" ca="1" si="151"/>
        <v>151.13630414409576</v>
      </c>
      <c r="EK26" s="90">
        <f t="shared" ca="1" si="152"/>
        <v>40.967096187728117</v>
      </c>
      <c r="EL26" s="90">
        <f t="shared" ca="1" si="153"/>
        <v>231.92050135344269</v>
      </c>
      <c r="EM26" s="90">
        <f t="shared" ca="1" si="154"/>
        <v>25.677785171683418</v>
      </c>
      <c r="EN26" s="90">
        <f t="shared" ca="1" si="155"/>
        <v>130.58145166252851</v>
      </c>
      <c r="EO26" s="90">
        <f t="shared" ca="1" si="156"/>
        <v>317.1593586568203</v>
      </c>
      <c r="EP26" s="90">
        <f t="shared" ca="1" si="157"/>
        <v>150.50205768585894</v>
      </c>
      <c r="EQ26" s="90">
        <f t="shared" ca="1" si="158"/>
        <v>189.83545642491202</v>
      </c>
      <c r="ER26" s="90">
        <f t="shared" ca="1" si="159"/>
        <v>66.130446388856043</v>
      </c>
      <c r="ES26" s="90">
        <f t="shared" ca="1" si="160"/>
        <v>195.13899090506183</v>
      </c>
      <c r="ET26" s="90">
        <f t="shared" ca="1" si="161"/>
        <v>11.929419190139354</v>
      </c>
      <c r="EU26" s="90">
        <f t="shared" ca="1" si="162"/>
        <v>13.192924107527499</v>
      </c>
      <c r="EV26" s="90">
        <f t="shared" ca="1" si="163"/>
        <v>238.07890677244421</v>
      </c>
      <c r="EW26" s="90">
        <f t="shared" ca="1" si="164"/>
        <v>54.30168865609555</v>
      </c>
      <c r="EX26" s="90">
        <f t="shared" ca="1" si="165"/>
        <v>18.741525210778399</v>
      </c>
      <c r="EY26" s="90">
        <f t="shared" ca="1" si="166"/>
        <v>160.38820572028013</v>
      </c>
      <c r="EZ26" s="90">
        <f t="shared" ca="1" si="167"/>
        <v>97.736021001929004</v>
      </c>
      <c r="FA26" s="90">
        <f t="shared" ca="1" si="168"/>
        <v>161.79872411662959</v>
      </c>
      <c r="FB26" s="90">
        <f t="shared" ca="1" si="169"/>
        <v>53.759792769365326</v>
      </c>
      <c r="FC26" s="90">
        <f t="shared" ca="1" si="170"/>
        <v>389.57908658473167</v>
      </c>
      <c r="FD26" s="90">
        <f t="shared" ca="1" si="171"/>
        <v>5.9647328842026992</v>
      </c>
      <c r="FE26" s="90">
        <f t="shared" ca="1" si="172"/>
        <v>34.994047622182123</v>
      </c>
      <c r="FF26" s="90">
        <f t="shared" ca="1" si="173"/>
        <v>77.765663094629417</v>
      </c>
      <c r="FG26" s="90">
        <f t="shared" ca="1" si="174"/>
        <v>446.27956174069351</v>
      </c>
      <c r="FH26" s="90">
        <f t="shared" ca="1" si="175"/>
        <v>365.01954919624569</v>
      </c>
      <c r="FI26" s="90">
        <f t="shared" ca="1" si="176"/>
        <v>12.285432203762387</v>
      </c>
      <c r="FJ26" s="90">
        <f t="shared" ca="1" si="177"/>
        <v>294.64341126244136</v>
      </c>
      <c r="FK26" s="90">
        <f t="shared" ca="1" si="178"/>
        <v>55.799472174395376</v>
      </c>
      <c r="FL26" s="90">
        <f t="shared" ca="1" si="179"/>
        <v>860.67609348753706</v>
      </c>
      <c r="FM26" s="90">
        <f t="shared" ca="1" si="180"/>
        <v>91.894944609409279</v>
      </c>
      <c r="FN26" s="90">
        <f t="shared" ca="1" si="181"/>
        <v>111.8515336321897</v>
      </c>
      <c r="FO26" s="90">
        <f t="shared" ca="1" si="182"/>
        <v>497.70895504991501</v>
      </c>
      <c r="FP26" s="90">
        <f t="shared" ca="1" si="183"/>
        <v>19.929848452186512</v>
      </c>
      <c r="FQ26" s="90">
        <f t="shared" ca="1" si="184"/>
        <v>112.5830766432386</v>
      </c>
      <c r="FR26" s="90">
        <f t="shared" ca="1" si="185"/>
        <v>88.368780521666977</v>
      </c>
      <c r="FS26" s="90">
        <f t="shared" ca="1" si="186"/>
        <v>248.91146496101982</v>
      </c>
      <c r="FT26" s="90">
        <f t="shared" ca="1" si="187"/>
        <v>78.659296467210936</v>
      </c>
      <c r="FU26" s="90">
        <f t="shared" ca="1" si="188"/>
        <v>316.96446772648613</v>
      </c>
      <c r="FV26" s="90">
        <f t="shared" ca="1" si="189"/>
        <v>108.65692069518393</v>
      </c>
      <c r="FW26" s="90">
        <f t="shared" ca="1" si="190"/>
        <v>20.866226461288015</v>
      </c>
      <c r="FX26" s="90">
        <f t="shared" ca="1" si="191"/>
        <v>160.73052222621675</v>
      </c>
      <c r="FY26" s="90">
        <f t="shared" ca="1" si="192"/>
        <v>282.05866535471745</v>
      </c>
      <c r="FZ26" s="90">
        <f t="shared" ca="1" si="193"/>
        <v>61.570980294802816</v>
      </c>
      <c r="GA26" s="90">
        <f t="shared" ca="1" si="194"/>
        <v>6.4060158171158399</v>
      </c>
      <c r="GB26" s="90">
        <f t="shared" ca="1" si="195"/>
        <v>33.041071586578411</v>
      </c>
      <c r="GC26" s="90">
        <f t="shared" ca="1" si="196"/>
        <v>-5.1063685861214498</v>
      </c>
      <c r="GD26" s="90">
        <f t="shared" ca="1" si="197"/>
        <v>519.81706663610896</v>
      </c>
      <c r="GE26" s="90">
        <f t="shared" ca="1" si="198"/>
        <v>77.188737470294512</v>
      </c>
      <c r="GF26" s="90">
        <f t="shared" ca="1" si="199"/>
        <v>23.23588492658785</v>
      </c>
      <c r="GG26" s="90">
        <f t="shared" ca="1" si="200"/>
        <v>81.006087504595982</v>
      </c>
      <c r="GH26" s="90">
        <f t="shared" ca="1" si="201"/>
        <v>784.58741090002161</v>
      </c>
      <c r="GI26" s="90">
        <f t="shared" ca="1" si="202"/>
        <v>74.019404318473192</v>
      </c>
      <c r="GJ26" s="90">
        <f t="shared" ca="1" si="203"/>
        <v>21.853388969043923</v>
      </c>
      <c r="GK26" s="90">
        <f t="shared" ca="1" si="204"/>
        <v>1209.9785775078537</v>
      </c>
      <c r="GL26" s="90">
        <f t="shared" ca="1" si="205"/>
        <v>248.60134206449354</v>
      </c>
      <c r="GM26" s="90">
        <f t="shared" ca="1" si="206"/>
        <v>21.299287904087553</v>
      </c>
      <c r="GN26" s="90">
        <f t="shared" ca="1" si="207"/>
        <v>-2.0423504091381774</v>
      </c>
      <c r="GO26" s="90">
        <f t="shared" ca="1" si="208"/>
        <v>106.07657965631751</v>
      </c>
      <c r="GP26" s="90">
        <f t="shared" ca="1" si="209"/>
        <v>249.75531601803945</v>
      </c>
      <c r="GQ26" s="90">
        <f t="shared" ca="1" si="210"/>
        <v>83.355529880091311</v>
      </c>
      <c r="GR26" s="90">
        <f t="shared" ca="1" si="211"/>
        <v>960.37167335932804</v>
      </c>
      <c r="GS26" s="90">
        <f t="shared" ca="1" si="212"/>
        <v>14.698243381232045</v>
      </c>
      <c r="GT26" s="90">
        <f t="shared" ca="1" si="213"/>
        <v>20.523487241820767</v>
      </c>
      <c r="GU26" s="90">
        <f t="shared" ca="1" si="214"/>
        <v>148.59487520499471</v>
      </c>
      <c r="GV26" s="90">
        <f t="shared" ca="1" si="215"/>
        <v>333.17851527503234</v>
      </c>
      <c r="GW26" s="90">
        <f t="shared" ca="1" si="216"/>
        <v>129.88480050903092</v>
      </c>
      <c r="GX26" s="90">
        <f t="shared" ca="1" si="217"/>
        <v>321.48001652443457</v>
      </c>
      <c r="GY26" s="90">
        <f t="shared" ca="1" si="218"/>
        <v>290.93000767002042</v>
      </c>
      <c r="GZ26" s="90">
        <f t="shared" ca="1" si="219"/>
        <v>264.52284986085544</v>
      </c>
      <c r="HA26" s="90">
        <f t="shared" ca="1" si="220"/>
        <v>180.29936759062429</v>
      </c>
      <c r="HB26" s="90">
        <f t="shared" ca="1" si="221"/>
        <v>33.975982157690936</v>
      </c>
      <c r="HC26" s="90">
        <f t="shared" ca="1" si="222"/>
        <v>73.826914193199471</v>
      </c>
      <c r="HD26" s="90">
        <f t="shared" ca="1" si="223"/>
        <v>164.53911289817066</v>
      </c>
      <c r="HE26" s="90">
        <f t="shared" ca="1" si="224"/>
        <v>325.53844660862222</v>
      </c>
      <c r="HF26" s="90">
        <f t="shared" ca="1" si="225"/>
        <v>-1.6719051470688786</v>
      </c>
      <c r="HG26" s="90">
        <f t="shared" ca="1" si="226"/>
        <v>683.07255294656682</v>
      </c>
      <c r="HH26" s="90">
        <f t="shared" ca="1" si="227"/>
        <v>82.925491187181507</v>
      </c>
      <c r="HI26" s="90">
        <f t="shared" ca="1" si="228"/>
        <v>323.75429805481042</v>
      </c>
      <c r="HJ26" s="90">
        <f t="shared" ca="1" si="229"/>
        <v>264.05241107439696</v>
      </c>
      <c r="HK26" s="90">
        <f t="shared" ca="1" si="230"/>
        <v>25.949545694005515</v>
      </c>
      <c r="HL26" s="90">
        <f t="shared" ca="1" si="231"/>
        <v>129.54535243269299</v>
      </c>
      <c r="HM26" s="90">
        <f t="shared" ca="1" si="232"/>
        <v>45.140521560246206</v>
      </c>
      <c r="HN26" s="90">
        <f t="shared" ca="1" si="233"/>
        <v>43.376506251769968</v>
      </c>
      <c r="HO26" s="90">
        <f t="shared" ca="1" si="234"/>
        <v>140.14117615183591</v>
      </c>
      <c r="HP26" s="90">
        <f t="shared" ca="1" si="235"/>
        <v>252.9176154480819</v>
      </c>
      <c r="HQ26" s="90">
        <f t="shared" ca="1" si="236"/>
        <v>134.08637395858992</v>
      </c>
      <c r="HR26" s="90">
        <f t="shared" ca="1" si="237"/>
        <v>117.96500876543719</v>
      </c>
      <c r="HS26" s="90">
        <f t="shared" ca="1" si="238"/>
        <v>71.793642165423734</v>
      </c>
      <c r="HT26" s="90">
        <f t="shared" ca="1" si="239"/>
        <v>43.603984098141588</v>
      </c>
      <c r="HU26" s="90">
        <f t="shared" ca="1" si="240"/>
        <v>24.63729193628977</v>
      </c>
      <c r="HV26" s="90">
        <f t="shared" ca="1" si="241"/>
        <v>82.751230830329575</v>
      </c>
      <c r="HW26" s="90">
        <f t="shared" ca="1" si="242"/>
        <v>86.006184326483208</v>
      </c>
      <c r="HX26" s="90">
        <f t="shared" ca="1" si="243"/>
        <v>48.271712777532244</v>
      </c>
      <c r="HY26" s="90">
        <f t="shared" ca="1" si="244"/>
        <v>1971.386857057088</v>
      </c>
      <c r="HZ26" s="90">
        <f t="shared" ca="1" si="245"/>
        <v>145.94679523893535</v>
      </c>
      <c r="IA26" s="90">
        <f t="shared" ca="1" si="246"/>
        <v>76.553172523829062</v>
      </c>
      <c r="IB26" s="90">
        <f t="shared" ca="1" si="247"/>
        <v>47.550427657462812</v>
      </c>
      <c r="IC26" s="90">
        <f t="shared" ca="1" si="248"/>
        <v>41.452716439075495</v>
      </c>
      <c r="ID26" s="90">
        <f t="shared" ca="1" si="249"/>
        <v>12.945129559538824</v>
      </c>
      <c r="IE26" s="90">
        <f t="shared" ca="1" si="250"/>
        <v>26.473380283201323</v>
      </c>
      <c r="IF26" s="90">
        <f t="shared" ca="1" si="251"/>
        <v>3.1802032817116408</v>
      </c>
      <c r="IG26" s="90">
        <f t="shared" ca="1" si="252"/>
        <v>86.882720349993448</v>
      </c>
      <c r="IH26" s="90">
        <f t="shared" ca="1" si="253"/>
        <v>20.420848237969707</v>
      </c>
      <c r="II26" s="90">
        <f t="shared" ca="1" si="254"/>
        <v>19.145976677234593</v>
      </c>
      <c r="IJ26" s="90">
        <f t="shared" ca="1" si="255"/>
        <v>104.61069759452036</v>
      </c>
      <c r="IK26" s="90">
        <f t="shared" ca="1" si="256"/>
        <v>213.42879809585438</v>
      </c>
      <c r="IL26" s="90">
        <f t="shared" ca="1" si="257"/>
        <v>426.98032984353785</v>
      </c>
      <c r="IM26" s="90">
        <f t="shared" ca="1" si="258"/>
        <v>156.65041633150116</v>
      </c>
      <c r="IN26" s="90">
        <f t="shared" ca="1" si="259"/>
        <v>441.6563023521984</v>
      </c>
      <c r="IO26" s="90">
        <f t="shared" ca="1" si="260"/>
        <v>6.9528906909821497</v>
      </c>
      <c r="IP26" s="90">
        <f t="shared" ca="1" si="261"/>
        <v>88.98515773144986</v>
      </c>
      <c r="IQ26" s="90">
        <f t="shared" ca="1" si="262"/>
        <v>94.748232694203864</v>
      </c>
      <c r="IR26" s="90">
        <f t="shared" ca="1" si="263"/>
        <v>449.8338902566569</v>
      </c>
      <c r="IS26" s="90">
        <f t="shared" ca="1" si="264"/>
        <v>88.176997737580663</v>
      </c>
      <c r="IT26" s="90">
        <f t="shared" ca="1" si="265"/>
        <v>18.493705603864395</v>
      </c>
      <c r="IU26" s="90">
        <f t="shared" ca="1" si="266"/>
        <v>653.60582348295623</v>
      </c>
      <c r="IV26" s="90">
        <f t="shared" ca="1" si="267"/>
        <v>70.410835299968227</v>
      </c>
      <c r="IW26" s="90">
        <f t="shared" ca="1" si="268"/>
        <v>14.537596314411887</v>
      </c>
      <c r="IX26" s="90">
        <f t="shared" ca="1" si="269"/>
        <v>169.93362722995207</v>
      </c>
      <c r="IY26" s="90">
        <f t="shared" ca="1" si="270"/>
        <v>169.51468074242774</v>
      </c>
      <c r="IZ26" s="90">
        <f t="shared" ca="1" si="271"/>
        <v>302.03487531433655</v>
      </c>
      <c r="JA26" s="90">
        <f t="shared" ca="1" si="272"/>
        <v>59.356420111794122</v>
      </c>
      <c r="JB26" s="90">
        <f t="shared" ca="1" si="273"/>
        <v>4.5867518597125603</v>
      </c>
      <c r="JC26" s="90">
        <f t="shared" ca="1" si="274"/>
        <v>45.968450474253594</v>
      </c>
      <c r="JD26" s="90">
        <f t="shared" ca="1" si="275"/>
        <v>131.44892554231805</v>
      </c>
      <c r="JE26" s="90">
        <f t="shared" ca="1" si="276"/>
        <v>50.979275390495083</v>
      </c>
      <c r="JF26" s="90">
        <f t="shared" ca="1" si="277"/>
        <v>66.593978155333119</v>
      </c>
      <c r="JG26" s="90">
        <f t="shared" ca="1" si="278"/>
        <v>221.4342046291836</v>
      </c>
      <c r="JH26" s="90">
        <f t="shared" ca="1" si="279"/>
        <v>29.211317831342356</v>
      </c>
      <c r="JI26" s="90">
        <f t="shared" ca="1" si="280"/>
        <v>11.037116165070145</v>
      </c>
      <c r="JJ26" s="90">
        <f t="shared" ca="1" si="281"/>
        <v>7.5100431748392218</v>
      </c>
      <c r="JK26" s="90">
        <f t="shared" ca="1" si="282"/>
        <v>688.71606704133058</v>
      </c>
      <c r="JL26" s="90">
        <f t="shared" ca="1" si="283"/>
        <v>135.36153569650193</v>
      </c>
      <c r="JM26" s="90">
        <f t="shared" ca="1" si="284"/>
        <v>244.42534316274947</v>
      </c>
      <c r="JN26" s="90">
        <f t="shared" ca="1" si="285"/>
        <v>245.00052956271981</v>
      </c>
      <c r="JO26" s="90">
        <f t="shared" ca="1" si="286"/>
        <v>-0.82214002653506513</v>
      </c>
      <c r="JP26" s="90">
        <f t="shared" ca="1" si="287"/>
        <v>31.337960697117477</v>
      </c>
      <c r="JQ26" s="90">
        <f t="shared" ca="1" si="288"/>
        <v>20.295286679959112</v>
      </c>
      <c r="JR26" s="90">
        <f t="shared" ca="1" si="289"/>
        <v>58.727948474539019</v>
      </c>
      <c r="JS26" s="90">
        <f t="shared" ca="1" si="290"/>
        <v>161.22428295623661</v>
      </c>
      <c r="JT26" s="90">
        <f t="shared" ca="1" si="291"/>
        <v>79.302418639240784</v>
      </c>
      <c r="JU26" s="90">
        <f t="shared" ca="1" si="292"/>
        <v>184.83899974475978</v>
      </c>
      <c r="JV26" s="90">
        <f t="shared" ca="1" si="293"/>
        <v>211.29119923860938</v>
      </c>
      <c r="JW26" s="90">
        <f t="shared" ca="1" si="294"/>
        <v>15.556613397418213</v>
      </c>
      <c r="JX26" s="90">
        <f t="shared" ca="1" si="295"/>
        <v>1.402124806408765E-2</v>
      </c>
      <c r="JY26" s="90">
        <f t="shared" ca="1" si="296"/>
        <v>51.061007183287458</v>
      </c>
      <c r="JZ26" s="90">
        <f t="shared" ca="1" si="297"/>
        <v>31.127769633197307</v>
      </c>
      <c r="KA26" s="90">
        <f t="shared" ca="1" si="298"/>
        <v>8.7890476543220224</v>
      </c>
      <c r="KB26" s="90">
        <f t="shared" ca="1" si="299"/>
        <v>119.0227486163059</v>
      </c>
      <c r="KC26" s="90">
        <f t="shared" ca="1" si="300"/>
        <v>32.441498334971435</v>
      </c>
      <c r="KD26" s="90">
        <f t="shared" ca="1" si="301"/>
        <v>4.0554890680872964</v>
      </c>
      <c r="KE26" s="90">
        <f t="shared" ca="1" si="302"/>
        <v>26.382495924862553</v>
      </c>
      <c r="KF26" s="90">
        <f t="shared" ca="1" si="303"/>
        <v>35.63399599256973</v>
      </c>
      <c r="KG26" s="90">
        <f t="shared" ca="1" si="304"/>
        <v>141.43139787649085</v>
      </c>
      <c r="KH26" s="90">
        <f t="shared" ca="1" si="305"/>
        <v>679.34446614906437</v>
      </c>
      <c r="KI26" s="90">
        <f t="shared" ca="1" si="306"/>
        <v>30.7773213840577</v>
      </c>
      <c r="KJ26" s="90">
        <f t="shared" ca="1" si="307"/>
        <v>213.49615980811632</v>
      </c>
      <c r="KK26" s="90">
        <f t="shared" ca="1" si="308"/>
        <v>45.910291948985602</v>
      </c>
      <c r="KL26" s="90">
        <f t="shared" ca="1" si="309"/>
        <v>7.1834449061772663</v>
      </c>
      <c r="KM26" s="90">
        <f t="shared" ca="1" si="310"/>
        <v>42.852260947911283</v>
      </c>
      <c r="KN26" s="90">
        <f t="shared" ca="1" si="311"/>
        <v>464.69007904276975</v>
      </c>
      <c r="KO26" s="90">
        <f t="shared" ca="1" si="312"/>
        <v>127.11856486646867</v>
      </c>
      <c r="KP26" s="90">
        <f t="shared" ca="1" si="313"/>
        <v>224.22137931169124</v>
      </c>
      <c r="KQ26" s="90">
        <f t="shared" ca="1" si="314"/>
        <v>53.540514115138059</v>
      </c>
      <c r="KR26" s="90">
        <f t="shared" ca="1" si="315"/>
        <v>13.119759063408075</v>
      </c>
      <c r="KS26" s="90">
        <f t="shared" ca="1" si="316"/>
        <v>83.114855658074049</v>
      </c>
      <c r="KT26" s="90">
        <f t="shared" ca="1" si="317"/>
        <v>71.355626739053193</v>
      </c>
      <c r="KU26" s="90">
        <f t="shared" ca="1" si="318"/>
        <v>36.349926813819941</v>
      </c>
      <c r="KV26" s="90">
        <f t="shared" ca="1" si="319"/>
        <v>14.650977184451351</v>
      </c>
      <c r="KW26" s="90">
        <f t="shared" ca="1" si="320"/>
        <v>86.028905459347541</v>
      </c>
      <c r="KX26" s="90">
        <f t="shared" ca="1" si="321"/>
        <v>58.99395403392829</v>
      </c>
      <c r="KY26" s="90">
        <f t="shared" ca="1" si="322"/>
        <v>88.563701106652147</v>
      </c>
      <c r="KZ26" s="90">
        <f t="shared" ca="1" si="323"/>
        <v>18.332395519698796</v>
      </c>
      <c r="LA26" s="90">
        <f t="shared" ca="1" si="324"/>
        <v>172.15364432532448</v>
      </c>
      <c r="LB26" s="90">
        <f t="shared" ca="1" si="325"/>
        <v>55.317706560154377</v>
      </c>
      <c r="LC26" s="90">
        <f t="shared" ca="1" si="326"/>
        <v>-77.509310362771473</v>
      </c>
      <c r="LD26" s="90">
        <f t="shared" ca="1" si="327"/>
        <v>369.1846902740678</v>
      </c>
      <c r="LE26" s="90">
        <f t="shared" ca="1" si="328"/>
        <v>296.39201784847143</v>
      </c>
      <c r="LF26" s="90">
        <f t="shared" ca="1" si="329"/>
        <v>3.5271361490423376</v>
      </c>
      <c r="LG26" s="90">
        <f t="shared" ca="1" si="330"/>
        <v>176.31206421192616</v>
      </c>
      <c r="LH26" s="90">
        <f t="shared" ca="1" si="331"/>
        <v>92.274915659247227</v>
      </c>
      <c r="LI26" s="90">
        <f t="shared" ca="1" si="332"/>
        <v>200.71167565049194</v>
      </c>
      <c r="LJ26" s="90">
        <f t="shared" ca="1" si="333"/>
        <v>57.013257464388609</v>
      </c>
      <c r="LK26" s="90">
        <f t="shared" ca="1" si="334"/>
        <v>41.044865833178164</v>
      </c>
      <c r="LL26" s="90">
        <f t="shared" ca="1" si="335"/>
        <v>84.051743372389083</v>
      </c>
      <c r="LM26" s="90">
        <f t="shared" ca="1" si="336"/>
        <v>201.24967655365768</v>
      </c>
      <c r="LN26" s="90">
        <f t="shared" ca="1" si="337"/>
        <v>6.7281411422720439</v>
      </c>
      <c r="LO26" s="90">
        <f t="shared" ca="1" si="338"/>
        <v>49.971990128728095</v>
      </c>
      <c r="LP26" s="90">
        <f t="shared" ca="1" si="339"/>
        <v>6.4413179047094493</v>
      </c>
      <c r="LQ26" s="90">
        <f t="shared" ca="1" si="340"/>
        <v>127.9200649571134</v>
      </c>
      <c r="LR26" s="90">
        <f t="shared" ca="1" si="341"/>
        <v>52.089499777741665</v>
      </c>
      <c r="LS26" s="90">
        <f t="shared" ca="1" si="342"/>
        <v>169.84592745363605</v>
      </c>
      <c r="LT26" s="90">
        <f t="shared" ca="1" si="343"/>
        <v>38.671463515696182</v>
      </c>
      <c r="LU26" s="90">
        <f t="shared" ca="1" si="344"/>
        <v>693.34495927820808</v>
      </c>
      <c r="LV26" s="90">
        <f t="shared" ca="1" si="345"/>
        <v>214.09202458373846</v>
      </c>
      <c r="LW26" s="90">
        <f t="shared" ca="1" si="346"/>
        <v>278.87196381996705</v>
      </c>
      <c r="LX26" s="90">
        <f t="shared" ca="1" si="347"/>
        <v>55.409510586018904</v>
      </c>
      <c r="LY26" s="90">
        <f t="shared" ca="1" si="348"/>
        <v>52.824242861742647</v>
      </c>
      <c r="LZ26" s="90">
        <f t="shared" ca="1" si="349"/>
        <v>339.58283081343717</v>
      </c>
      <c r="MA26" s="90">
        <f t="shared" ca="1" si="350"/>
        <v>82.542401803893881</v>
      </c>
      <c r="MB26" s="90">
        <f t="shared" ca="1" si="351"/>
        <v>1.808907494908474</v>
      </c>
      <c r="MC26" s="90">
        <f t="shared" ca="1" si="352"/>
        <v>34.546002685534361</v>
      </c>
      <c r="MD26" s="90">
        <f t="shared" ca="1" si="353"/>
        <v>250.38430979264851</v>
      </c>
      <c r="ME26" s="90">
        <f t="shared" ca="1" si="354"/>
        <v>55.254585550036602</v>
      </c>
      <c r="MF26" s="90">
        <f t="shared" ca="1" si="355"/>
        <v>235.10417133264824</v>
      </c>
      <c r="MG26" s="90">
        <f t="shared" ca="1" si="356"/>
        <v>126.96948943452215</v>
      </c>
      <c r="MH26" s="90">
        <f t="shared" ca="1" si="357"/>
        <v>41.807197023679748</v>
      </c>
      <c r="MI26" s="90">
        <f t="shared" ca="1" si="358"/>
        <v>18.98013198600334</v>
      </c>
      <c r="MJ26" s="90">
        <f t="shared" ca="1" si="359"/>
        <v>63.430325817477659</v>
      </c>
      <c r="MK26" s="90">
        <f t="shared" ca="1" si="360"/>
        <v>84.388212443420869</v>
      </c>
      <c r="ML26" s="90">
        <f t="shared" ca="1" si="361"/>
        <v>510.10345944293255</v>
      </c>
      <c r="MM26" s="90">
        <f t="shared" ca="1" si="362"/>
        <v>186.48547495258197</v>
      </c>
      <c r="MN26" s="90">
        <f t="shared" ca="1" si="363"/>
        <v>387.25298825246534</v>
      </c>
      <c r="MO26" s="90">
        <f t="shared" ca="1" si="364"/>
        <v>500.32482268407296</v>
      </c>
      <c r="MP26" s="90">
        <f t="shared" ca="1" si="365"/>
        <v>128.39771235792847</v>
      </c>
      <c r="MQ26" s="90">
        <f t="shared" ca="1" si="366"/>
        <v>55.399011944067603</v>
      </c>
      <c r="MR26" s="90">
        <f t="shared" ca="1" si="367"/>
        <v>54.421772811559144</v>
      </c>
      <c r="MS26" s="90">
        <f t="shared" ca="1" si="368"/>
        <v>104.2861389027308</v>
      </c>
      <c r="MT26" s="90">
        <f t="shared" ca="1" si="369"/>
        <v>21.635990672280158</v>
      </c>
      <c r="MU26" s="90">
        <f t="shared" ca="1" si="370"/>
        <v>46.61817652617961</v>
      </c>
      <c r="MV26" s="90">
        <f t="shared" ca="1" si="371"/>
        <v>740.4896579337925</v>
      </c>
      <c r="MW26" s="90">
        <f t="shared" ca="1" si="372"/>
        <v>19.123758126175677</v>
      </c>
      <c r="MX26" s="90">
        <f t="shared" ca="1" si="373"/>
        <v>191.60797707024622</v>
      </c>
      <c r="MY26" s="90">
        <f t="shared" ca="1" si="374"/>
        <v>162.86529783653612</v>
      </c>
      <c r="MZ26" s="90">
        <f t="shared" ca="1" si="375"/>
        <v>176.74085537684138</v>
      </c>
      <c r="NA26" s="90">
        <f t="shared" ca="1" si="376"/>
        <v>662.25595943616065</v>
      </c>
      <c r="NB26" s="90">
        <f t="shared" ca="1" si="377"/>
        <v>52.297116761552964</v>
      </c>
      <c r="NC26" s="90">
        <f t="shared" ca="1" si="378"/>
        <v>18.907773273086679</v>
      </c>
      <c r="ND26" s="90">
        <f t="shared" ca="1" si="379"/>
        <v>235.56342805931337</v>
      </c>
      <c r="NE26" s="90">
        <f t="shared" ca="1" si="380"/>
        <v>218.65147428545509</v>
      </c>
      <c r="NF26" s="90">
        <f t="shared" ca="1" si="381"/>
        <v>38.211090087616341</v>
      </c>
      <c r="NG26" s="90">
        <f t="shared" ca="1" si="382"/>
        <v>20.48540733540176</v>
      </c>
      <c r="NH26" s="90">
        <f t="shared" ca="1" si="383"/>
        <v>39.25790273048721</v>
      </c>
      <c r="NI26" s="90">
        <f t="shared" ca="1" si="384"/>
        <v>143.45744168304356</v>
      </c>
      <c r="NJ26" s="90">
        <f t="shared" ca="1" si="385"/>
        <v>252.87385443611083</v>
      </c>
      <c r="NK26" s="90">
        <f t="shared" ca="1" si="386"/>
        <v>39.116218901569454</v>
      </c>
      <c r="NL26" s="90">
        <f t="shared" ca="1" si="387"/>
        <v>983.18067898559673</v>
      </c>
      <c r="NM26" s="90">
        <f t="shared" ca="1" si="388"/>
        <v>95.442758623326085</v>
      </c>
      <c r="NN26" s="90">
        <f t="shared" ca="1" si="389"/>
        <v>30.275931532647398</v>
      </c>
      <c r="NO26" s="90">
        <f t="shared" ca="1" si="390"/>
        <v>184.65798399662836</v>
      </c>
      <c r="NP26" s="90">
        <f t="shared" ca="1" si="391"/>
        <v>39.441158963019788</v>
      </c>
      <c r="NQ26" s="90">
        <f t="shared" ca="1" si="392"/>
        <v>10.601162724769203</v>
      </c>
      <c r="NR26" s="90">
        <f t="shared" ca="1" si="393"/>
        <v>316.18039210878453</v>
      </c>
      <c r="NS26" s="90">
        <f t="shared" ca="1" si="394"/>
        <v>-40.325240596585807</v>
      </c>
      <c r="NT26" s="90">
        <f t="shared" ca="1" si="395"/>
        <v>-3.0872747215783836</v>
      </c>
      <c r="NU26" s="90">
        <f t="shared" ca="1" si="396"/>
        <v>117.45800299273206</v>
      </c>
      <c r="NV26" s="90">
        <f t="shared" ca="1" si="397"/>
        <v>58.937620275018141</v>
      </c>
      <c r="NW26" s="90">
        <f t="shared" ca="1" si="398"/>
        <v>571.30596794849771</v>
      </c>
      <c r="NX26" s="90">
        <f t="shared" ca="1" si="399"/>
        <v>139.62122805197137</v>
      </c>
      <c r="NY26" s="90">
        <f t="shared" ca="1" si="400"/>
        <v>-16.634713943950363</v>
      </c>
      <c r="NZ26" s="90">
        <f t="shared" ca="1" si="401"/>
        <v>80.776186896507511</v>
      </c>
      <c r="OA26" s="90">
        <f t="shared" ca="1" si="402"/>
        <v>22.44546578922867</v>
      </c>
      <c r="OB26" s="90">
        <f t="shared" ca="1" si="403"/>
        <v>46.099191933993566</v>
      </c>
      <c r="OC26" s="90">
        <f t="shared" ca="1" si="404"/>
        <v>356.89914216739788</v>
      </c>
      <c r="OD26" s="90">
        <f t="shared" ca="1" si="405"/>
        <v>107.86836287628309</v>
      </c>
      <c r="OE26" s="90">
        <f t="shared" ca="1" si="406"/>
        <v>34.808372378740188</v>
      </c>
      <c r="OF26" s="90">
        <f t="shared" ca="1" si="407"/>
        <v>25.549896697803394</v>
      </c>
      <c r="OG26" s="90">
        <f t="shared" ca="1" si="408"/>
        <v>9.7561866688877839</v>
      </c>
      <c r="OH26" s="90">
        <f t="shared" ca="1" si="409"/>
        <v>110.43517982262389</v>
      </c>
      <c r="OI26" s="90">
        <f t="shared" ca="1" si="410"/>
        <v>21.723706618972031</v>
      </c>
      <c r="OJ26" s="90">
        <f t="shared" ca="1" si="411"/>
        <v>-3.537911140652013</v>
      </c>
      <c r="OK26" s="90">
        <f t="shared" ca="1" si="412"/>
        <v>14.533766975496237</v>
      </c>
      <c r="OL26" s="90">
        <f t="shared" ca="1" si="413"/>
        <v>197.37745650102573</v>
      </c>
      <c r="OM26" s="90">
        <f t="shared" ca="1" si="414"/>
        <v>6.5708829541399396</v>
      </c>
      <c r="ON26" s="90">
        <f t="shared" ca="1" si="415"/>
        <v>105.63861188196464</v>
      </c>
      <c r="OO26" s="90">
        <f t="shared" ca="1" si="416"/>
        <v>104.84965876871723</v>
      </c>
      <c r="OP26" s="90">
        <f t="shared" ca="1" si="417"/>
        <v>25.345624697077945</v>
      </c>
      <c r="OQ26" s="90">
        <f t="shared" ca="1" si="418"/>
        <v>72.45752212538757</v>
      </c>
      <c r="OR26" s="90">
        <f t="shared" ca="1" si="419"/>
        <v>129.26641713411394</v>
      </c>
      <c r="OS26" s="90">
        <f t="shared" ca="1" si="420"/>
        <v>280.74117250459847</v>
      </c>
      <c r="OT26" s="90">
        <f t="shared" ca="1" si="421"/>
        <v>14.508764222229592</v>
      </c>
      <c r="OU26" s="90">
        <f t="shared" ca="1" si="422"/>
        <v>278.25184484646917</v>
      </c>
      <c r="OV26" s="90">
        <f t="shared" ca="1" si="423"/>
        <v>317.97823941687381</v>
      </c>
      <c r="OW26" s="90">
        <f t="shared" ca="1" si="424"/>
        <v>130.35973026195316</v>
      </c>
      <c r="OX26" s="90">
        <f t="shared" ca="1" si="425"/>
        <v>24.209158121701272</v>
      </c>
      <c r="OY26" s="90">
        <f t="shared" ca="1" si="426"/>
        <v>70.032062191928475</v>
      </c>
      <c r="OZ26" s="90">
        <f t="shared" ca="1" si="427"/>
        <v>9.4613783761898684</v>
      </c>
      <c r="PA26" s="90">
        <f t="shared" ca="1" si="428"/>
        <v>542.37028777811838</v>
      </c>
      <c r="PB26" s="90">
        <f t="shared" ca="1" si="429"/>
        <v>56.790932644436772</v>
      </c>
      <c r="PC26" s="90">
        <f t="shared" ca="1" si="430"/>
        <v>5.2678461081448527</v>
      </c>
      <c r="PD26" s="90">
        <f t="shared" ca="1" si="431"/>
        <v>94.553203126820691</v>
      </c>
      <c r="PE26" s="90">
        <f t="shared" ca="1" si="432"/>
        <v>72.682598142198174</v>
      </c>
      <c r="PF26" s="90">
        <f t="shared" ca="1" si="433"/>
        <v>12.641886302344457</v>
      </c>
      <c r="PG26" s="90">
        <f t="shared" ca="1" si="434"/>
        <v>20.626530127103759</v>
      </c>
      <c r="PH26" s="90">
        <f t="shared" ca="1" si="435"/>
        <v>135.7630445883143</v>
      </c>
      <c r="PI26" s="90">
        <f t="shared" ca="1" si="436"/>
        <v>4.1350248498093443</v>
      </c>
      <c r="PJ26" s="90">
        <f t="shared" ca="1" si="437"/>
        <v>301.43861832678169</v>
      </c>
      <c r="PK26" s="90">
        <f t="shared" ca="1" si="438"/>
        <v>27.314413042473344</v>
      </c>
      <c r="PL26" s="90">
        <f t="shared" ca="1" si="439"/>
        <v>233.48240775961327</v>
      </c>
      <c r="PM26" s="90">
        <f t="shared" ca="1" si="440"/>
        <v>334.42131169579358</v>
      </c>
      <c r="PN26" s="90">
        <f t="shared" ca="1" si="441"/>
        <v>27.237417779739918</v>
      </c>
      <c r="PO26" s="90">
        <f t="shared" ca="1" si="442"/>
        <v>75.049957891051349</v>
      </c>
      <c r="PP26" s="90">
        <f t="shared" ca="1" si="443"/>
        <v>57.848624832195874</v>
      </c>
      <c r="PQ26" s="90">
        <f t="shared" ca="1" si="444"/>
        <v>236.75374298437387</v>
      </c>
      <c r="PR26" s="90">
        <f t="shared" ca="1" si="445"/>
        <v>194.50877765579773</v>
      </c>
      <c r="PS26" s="90">
        <f t="shared" ca="1" si="446"/>
        <v>16.763111551846453</v>
      </c>
      <c r="PT26" s="90">
        <f t="shared" ca="1" si="447"/>
        <v>144.22355593112474</v>
      </c>
      <c r="PU26" s="90">
        <f t="shared" ca="1" si="448"/>
        <v>33.343314969763135</v>
      </c>
      <c r="PV26" s="90">
        <f t="shared" ca="1" si="449"/>
        <v>90.05273562994438</v>
      </c>
      <c r="PW26" s="90">
        <f t="shared" ca="1" si="450"/>
        <v>653.5382404026908</v>
      </c>
      <c r="PX26" s="90">
        <f t="shared" ca="1" si="451"/>
        <v>30.455132230364299</v>
      </c>
      <c r="PY26" s="90">
        <f t="shared" ca="1" si="452"/>
        <v>141.25105648040702</v>
      </c>
      <c r="PZ26" s="90">
        <f t="shared" ca="1" si="453"/>
        <v>88.944677221873803</v>
      </c>
      <c r="QA26" s="90">
        <f t="shared" ca="1" si="454"/>
        <v>164.35891265391516</v>
      </c>
      <c r="QB26" s="90">
        <f t="shared" ca="1" si="455"/>
        <v>88.160630257512494</v>
      </c>
      <c r="QC26" s="90">
        <f t="shared" ca="1" si="456"/>
        <v>43.22890563228254</v>
      </c>
      <c r="QD26" s="90">
        <f t="shared" ca="1" si="457"/>
        <v>89.860947778170981</v>
      </c>
      <c r="QE26" s="90">
        <f t="shared" ca="1" si="458"/>
        <v>45.748404292543775</v>
      </c>
      <c r="QF26" s="90">
        <f t="shared" ca="1" si="459"/>
        <v>44.169170969204409</v>
      </c>
      <c r="QG26" s="90">
        <f t="shared" ca="1" si="460"/>
        <v>53.832738006251972</v>
      </c>
      <c r="QH26" s="90">
        <f t="shared" ca="1" si="461"/>
        <v>88.532109217292216</v>
      </c>
      <c r="QI26" s="90">
        <f t="shared" ca="1" si="462"/>
        <v>165.13793925950895</v>
      </c>
      <c r="QJ26" s="90">
        <f t="shared" ca="1" si="463"/>
        <v>128.51539346620831</v>
      </c>
      <c r="QK26" s="90">
        <f t="shared" ca="1" si="464"/>
        <v>508.36069182059617</v>
      </c>
      <c r="QL26" s="90">
        <f t="shared" ca="1" si="465"/>
        <v>531.48182035637637</v>
      </c>
      <c r="QM26" s="90">
        <f t="shared" ca="1" si="466"/>
        <v>44.392950941921157</v>
      </c>
      <c r="QN26" s="90">
        <f t="shared" ca="1" si="467"/>
        <v>20.260997823887713</v>
      </c>
      <c r="QO26" s="90">
        <f t="shared" ca="1" si="468"/>
        <v>54.860744173877329</v>
      </c>
      <c r="QP26" s="90">
        <f t="shared" ca="1" si="469"/>
        <v>170.99431168818046</v>
      </c>
      <c r="QQ26" s="90">
        <f t="shared" ca="1" si="470"/>
        <v>81.303250258733357</v>
      </c>
      <c r="QR26" s="90">
        <f t="shared" ca="1" si="471"/>
        <v>714.16453994436392</v>
      </c>
      <c r="QS26" s="90">
        <f t="shared" ca="1" si="472"/>
        <v>113.28696850148658</v>
      </c>
      <c r="QT26" s="90">
        <f t="shared" ca="1" si="473"/>
        <v>208.00951353934477</v>
      </c>
      <c r="QU26" s="90">
        <f t="shared" ca="1" si="474"/>
        <v>538.09003573435587</v>
      </c>
      <c r="QV26" s="90">
        <f t="shared" ca="1" si="475"/>
        <v>173.67437584378595</v>
      </c>
      <c r="QW26" s="90">
        <f t="shared" ca="1" si="476"/>
        <v>-33.319547221984507</v>
      </c>
      <c r="QX26" s="90">
        <f t="shared" ca="1" si="477"/>
        <v>154.7919876206239</v>
      </c>
      <c r="QY26" s="90">
        <f t="shared" ca="1" si="478"/>
        <v>123.41518221023996</v>
      </c>
      <c r="QZ26" s="90">
        <f t="shared" ca="1" si="479"/>
        <v>108.65211905257263</v>
      </c>
      <c r="RA26" s="90">
        <f t="shared" ca="1" si="480"/>
        <v>565.4983695325493</v>
      </c>
      <c r="RB26" s="90">
        <f t="shared" ca="1" si="481"/>
        <v>183.35667288164927</v>
      </c>
      <c r="RC26" s="90">
        <f t="shared" ca="1" si="482"/>
        <v>0.12976879326230081</v>
      </c>
      <c r="RD26" s="90">
        <f t="shared" ca="1" si="483"/>
        <v>-31.110974008912052</v>
      </c>
      <c r="RE26" s="90">
        <f t="shared" ca="1" si="484"/>
        <v>171.0398020467934</v>
      </c>
      <c r="RF26" s="90">
        <f t="shared" ca="1" si="485"/>
        <v>721.72927095159946</v>
      </c>
      <c r="RG26" s="90">
        <f t="shared" ca="1" si="486"/>
        <v>135.23730434482948</v>
      </c>
      <c r="RH26" s="90">
        <f t="shared" ca="1" si="487"/>
        <v>131.74140956411458</v>
      </c>
      <c r="RI26" s="90">
        <f t="shared" ca="1" si="488"/>
        <v>121.12106103516862</v>
      </c>
      <c r="RJ26" s="90">
        <f t="shared" ca="1" si="489"/>
        <v>127.68322144627989</v>
      </c>
      <c r="RK26" s="90">
        <f t="shared" ca="1" si="490"/>
        <v>7.5219467842559515</v>
      </c>
      <c r="RL26" s="90">
        <f t="shared" ca="1" si="491"/>
        <v>4.0905200163731728</v>
      </c>
      <c r="RM26" s="90">
        <f t="shared" ca="1" si="492"/>
        <v>24.129344849970565</v>
      </c>
      <c r="RN26" s="90">
        <f t="shared" ca="1" si="493"/>
        <v>54.993826515805978</v>
      </c>
      <c r="RO26" s="90">
        <f t="shared" ca="1" si="494"/>
        <v>15.718991537124692</v>
      </c>
      <c r="RP26" s="90">
        <f t="shared" ca="1" si="495"/>
        <v>353.9821090971746</v>
      </c>
      <c r="RQ26" s="90">
        <f t="shared" ca="1" si="496"/>
        <v>287.11319190763408</v>
      </c>
      <c r="RR26" s="90">
        <f t="shared" ca="1" si="497"/>
        <v>18.769317727589918</v>
      </c>
      <c r="RS26" s="90">
        <f t="shared" ca="1" si="498"/>
        <v>0.29322681192332967</v>
      </c>
      <c r="RT26" s="90">
        <f t="shared" ca="1" si="499"/>
        <v>51.214273096329137</v>
      </c>
      <c r="RU26" s="90">
        <f t="shared" ca="1" si="500"/>
        <v>95.256271617321786</v>
      </c>
      <c r="RV26" s="90">
        <f t="shared" ca="1" si="501"/>
        <v>36.503551809373946</v>
      </c>
      <c r="RW26" s="90">
        <f t="shared" ca="1" si="502"/>
        <v>99.131043410376321</v>
      </c>
      <c r="RX26" s="90">
        <f t="shared" ca="1" si="503"/>
        <v>48.59588075384314</v>
      </c>
      <c r="RY26" s="90">
        <f t="shared" ca="1" si="504"/>
        <v>121.58760680080843</v>
      </c>
      <c r="RZ26" s="90">
        <f t="shared" ca="1" si="505"/>
        <v>54.118568676472535</v>
      </c>
      <c r="SA26" s="90">
        <f t="shared" ca="1" si="506"/>
        <v>228.55639397369197</v>
      </c>
      <c r="SB26" s="90">
        <f t="shared" ca="1" si="507"/>
        <v>80.577853506954511</v>
      </c>
      <c r="SC26" s="90">
        <f t="shared" ca="1" si="508"/>
        <v>40.704727928565582</v>
      </c>
      <c r="SD26" s="90">
        <f t="shared" ca="1" si="509"/>
        <v>5.9703994077662195</v>
      </c>
      <c r="SE26" s="90">
        <f t="shared" ca="1" si="510"/>
        <v>-0.65906040425042844</v>
      </c>
      <c r="SF26" s="90">
        <f t="shared" ca="1" si="511"/>
        <v>66.533553318067106</v>
      </c>
      <c r="SG26" s="90">
        <f t="shared" ca="1" si="512"/>
        <v>388.91547014630095</v>
      </c>
      <c r="SH26" s="90">
        <f t="shared" ca="1" si="513"/>
        <v>390.63454269098889</v>
      </c>
      <c r="SI26" s="90">
        <f t="shared" ca="1" si="514"/>
        <v>5.3092051252004531</v>
      </c>
      <c r="SJ26" s="90">
        <f t="shared" ca="1" si="515"/>
        <v>36.221523261066132</v>
      </c>
      <c r="SK26" s="90">
        <f t="shared" ca="1" si="516"/>
        <v>229.5443384368341</v>
      </c>
      <c r="SL26" s="90">
        <f t="shared" ca="1" si="517"/>
        <v>23.930614818854259</v>
      </c>
      <c r="SM26" s="90">
        <f t="shared" ca="1" si="518"/>
        <v>16.647060515443087</v>
      </c>
      <c r="SN26" s="90">
        <f t="shared" ca="1" si="519"/>
        <v>34.153752920135446</v>
      </c>
      <c r="SO26" s="90">
        <f t="shared" ca="1" si="520"/>
        <v>113.80424470738301</v>
      </c>
      <c r="SP26" s="90">
        <f t="shared" ca="1" si="521"/>
        <v>222.03002439594127</v>
      </c>
      <c r="SQ26" s="90">
        <f t="shared" ca="1" si="522"/>
        <v>509.18391422747442</v>
      </c>
      <c r="SR26" s="90">
        <f t="shared" ca="1" si="523"/>
        <v>48.905202024767625</v>
      </c>
      <c r="SS26" s="90">
        <f t="shared" ca="1" si="524"/>
        <v>20.384006056443347</v>
      </c>
      <c r="ST26" s="90">
        <f t="shared" ca="1" si="525"/>
        <v>97.319356764158272</v>
      </c>
      <c r="SU26" s="90">
        <f t="shared" ca="1" si="526"/>
        <v>549.7871795761215</v>
      </c>
      <c r="SV26" s="90">
        <f t="shared" ca="1" si="527"/>
        <v>12.992299683302186</v>
      </c>
      <c r="SW26" s="90">
        <f t="shared" ca="1" si="528"/>
        <v>379.11132532916429</v>
      </c>
      <c r="SX26" s="90">
        <f t="shared" ca="1" si="529"/>
        <v>23.095522039629998</v>
      </c>
      <c r="SY26" s="90">
        <f t="shared" ca="1" si="530"/>
        <v>193.48458014990973</v>
      </c>
      <c r="SZ26" s="90">
        <f t="shared" ca="1" si="531"/>
        <v>29.093835822931286</v>
      </c>
      <c r="TA26" s="90">
        <f t="shared" ca="1" si="532"/>
        <v>156.12907506942213</v>
      </c>
      <c r="TB26" s="90">
        <f t="shared" ca="1" si="533"/>
        <v>190.6557592002529</v>
      </c>
      <c r="TC26" s="90">
        <f t="shared" ca="1" si="534"/>
        <v>199.421754208463</v>
      </c>
      <c r="TD26" s="90">
        <f t="shared" ca="1" si="535"/>
        <v>761.21685260136178</v>
      </c>
      <c r="TE26" s="90">
        <f t="shared" ca="1" si="536"/>
        <v>69.269400843527592</v>
      </c>
      <c r="TF26" s="90">
        <f t="shared" ca="1" si="537"/>
        <v>1.0797493282728237</v>
      </c>
      <c r="TG26" s="90">
        <f t="shared" ca="1" si="538"/>
        <v>25.133221070899321</v>
      </c>
      <c r="TH26" s="90">
        <f t="shared" ca="1" si="539"/>
        <v>7.5877533481818435</v>
      </c>
      <c r="TI26" s="90">
        <f t="shared" ca="1" si="540"/>
        <v>150.58528738133771</v>
      </c>
      <c r="TJ26" s="90">
        <f t="shared" ca="1" si="541"/>
        <v>133.70297573998559</v>
      </c>
      <c r="TK26" s="90">
        <f t="shared" ca="1" si="542"/>
        <v>3.5686972752230997</v>
      </c>
      <c r="TL26" s="90">
        <f t="shared" ca="1" si="543"/>
        <v>14.108162719929597</v>
      </c>
      <c r="TM26" s="90">
        <f t="shared" ca="1" si="544"/>
        <v>-17.391204003443427</v>
      </c>
      <c r="TN26" s="90">
        <f t="shared" ca="1" si="545"/>
        <v>2.8097006364701698</v>
      </c>
      <c r="TO26" s="90">
        <f t="shared" ca="1" si="546"/>
        <v>62.609473499137188</v>
      </c>
      <c r="TP26" s="90">
        <f t="shared" ca="1" si="547"/>
        <v>102.77282763294201</v>
      </c>
      <c r="TQ26" s="90">
        <f t="shared" ca="1" si="548"/>
        <v>76.191818675184138</v>
      </c>
      <c r="TR26" s="90">
        <f t="shared" ca="1" si="549"/>
        <v>95.725180856201774</v>
      </c>
      <c r="TS26" s="90">
        <f t="shared" ca="1" si="550"/>
        <v>48.234051509092929</v>
      </c>
      <c r="TT26" s="90">
        <f t="shared" ca="1" si="551"/>
        <v>108.73169674815655</v>
      </c>
      <c r="TU26" s="90">
        <f t="shared" ca="1" si="552"/>
        <v>139.62784493562719</v>
      </c>
      <c r="TV26" s="90">
        <f t="shared" ca="1" si="553"/>
        <v>77.540159049204149</v>
      </c>
      <c r="TW26" s="90">
        <f t="shared" ca="1" si="554"/>
        <v>39.150165213784419</v>
      </c>
      <c r="TX26" s="90">
        <f t="shared" ca="1" si="555"/>
        <v>15.746327655950843</v>
      </c>
      <c r="TY26" s="90">
        <f t="shared" ca="1" si="556"/>
        <v>234.5217763165081</v>
      </c>
      <c r="TZ26" s="90">
        <f t="shared" ca="1" si="557"/>
        <v>-1.4980591292273937</v>
      </c>
      <c r="UA26" s="90">
        <f t="shared" ca="1" si="558"/>
        <v>38.729593988343197</v>
      </c>
      <c r="UB26" s="90">
        <f t="shared" ca="1" si="559"/>
        <v>19.705992718837283</v>
      </c>
      <c r="UC26" s="90">
        <f t="shared" ca="1" si="560"/>
        <v>124.14348922327325</v>
      </c>
      <c r="UD26" s="90">
        <f t="shared" ca="1" si="561"/>
        <v>502.12038084679284</v>
      </c>
      <c r="UE26" s="90">
        <f t="shared" ca="1" si="562"/>
        <v>144.59211480798561</v>
      </c>
      <c r="UF26" s="90">
        <f t="shared" ca="1" si="563"/>
        <v>52.911468226843056</v>
      </c>
      <c r="UG26" s="90">
        <f t="shared" ca="1" si="564"/>
        <v>188.4248372019554</v>
      </c>
      <c r="UH26" s="90">
        <f t="shared" ca="1" si="565"/>
        <v>38.244245039260598</v>
      </c>
      <c r="UI26" s="90">
        <f t="shared" ca="1" si="566"/>
        <v>692.82395729878954</v>
      </c>
      <c r="UJ26" s="90">
        <f t="shared" ca="1" si="567"/>
        <v>57.261985502074623</v>
      </c>
      <c r="UK26" s="90">
        <f t="shared" ca="1" si="568"/>
        <v>8.169772712497064</v>
      </c>
      <c r="UL26" s="90">
        <f t="shared" ca="1" si="569"/>
        <v>14.681779405374613</v>
      </c>
      <c r="UM26" s="90">
        <f t="shared" ca="1" si="570"/>
        <v>15.199845881331525</v>
      </c>
      <c r="UN26" s="90">
        <f t="shared" ca="1" si="571"/>
        <v>94.310104311076145</v>
      </c>
      <c r="UO26" s="90">
        <f t="shared" ca="1" si="572"/>
        <v>150.26401915424105</v>
      </c>
      <c r="UP26" s="90">
        <f t="shared" ca="1" si="573"/>
        <v>232.97173852837093</v>
      </c>
      <c r="UQ26" s="90">
        <f t="shared" ca="1" si="574"/>
        <v>231.41161549387033</v>
      </c>
      <c r="UR26" s="90">
        <f t="shared" ca="1" si="575"/>
        <v>229.2049720012439</v>
      </c>
      <c r="US26" s="90">
        <f t="shared" ca="1" si="576"/>
        <v>232.37403716369425</v>
      </c>
      <c r="UT26" s="90">
        <f t="shared" ca="1" si="577"/>
        <v>103.62348317690726</v>
      </c>
      <c r="UU26" s="90">
        <f t="shared" ca="1" si="578"/>
        <v>1.2319899128732652</v>
      </c>
      <c r="UV26" s="90">
        <f t="shared" ca="1" si="579"/>
        <v>44.041845819048234</v>
      </c>
      <c r="UW26" s="90">
        <f t="shared" ca="1" si="580"/>
        <v>24.534552402331506</v>
      </c>
      <c r="UX26" s="90">
        <f t="shared" ca="1" si="581"/>
        <v>186.2688717339243</v>
      </c>
      <c r="UY26" s="90">
        <f t="shared" ca="1" si="582"/>
        <v>693.1958814389136</v>
      </c>
      <c r="UZ26" s="90">
        <f t="shared" ca="1" si="583"/>
        <v>577.33384786140118</v>
      </c>
      <c r="VA26" s="90">
        <f t="shared" ca="1" si="584"/>
        <v>286.95128128602443</v>
      </c>
      <c r="VB26" s="90">
        <f t="shared" ca="1" si="585"/>
        <v>146.87386548070901</v>
      </c>
      <c r="VC26" s="90">
        <f t="shared" ca="1" si="586"/>
        <v>530.89794799599326</v>
      </c>
      <c r="VD26" s="90">
        <f t="shared" ca="1" si="587"/>
        <v>9.9182711537471526</v>
      </c>
      <c r="VE26" s="90">
        <f t="shared" ca="1" si="588"/>
        <v>135.30691128008942</v>
      </c>
      <c r="VF26" s="90">
        <f t="shared" ca="1" si="589"/>
        <v>2.5237084622660992</v>
      </c>
      <c r="VG26" s="90">
        <f t="shared" ca="1" si="590"/>
        <v>189.94440288498845</v>
      </c>
      <c r="VH26" s="90">
        <f t="shared" ca="1" si="591"/>
        <v>3.2999150347704345</v>
      </c>
      <c r="VI26" s="90">
        <f t="shared" ca="1" si="592"/>
        <v>33.686865718132637</v>
      </c>
      <c r="VJ26" s="90">
        <f t="shared" ca="1" si="593"/>
        <v>18.734813537867893</v>
      </c>
      <c r="VK26" s="90">
        <f t="shared" ca="1" si="594"/>
        <v>11.278132363615795</v>
      </c>
      <c r="VL26" s="90">
        <f t="shared" ca="1" si="595"/>
        <v>114.93008952654618</v>
      </c>
      <c r="VM26" s="90">
        <f t="shared" ca="1" si="596"/>
        <v>229.72390960056879</v>
      </c>
      <c r="VN26" s="90">
        <f t="shared" ca="1" si="597"/>
        <v>847.86735073600289</v>
      </c>
      <c r="VO26" s="90">
        <f t="shared" ca="1" si="598"/>
        <v>20.747832365120562</v>
      </c>
      <c r="VP26" s="90">
        <f t="shared" ca="1" si="599"/>
        <v>7.1654586676848906</v>
      </c>
      <c r="VQ26" s="90">
        <f t="shared" ca="1" si="600"/>
        <v>84.306625576496231</v>
      </c>
      <c r="VR26" s="90">
        <f t="shared" ca="1" si="601"/>
        <v>15.64215851000394</v>
      </c>
      <c r="VS26" s="90">
        <f t="shared" ca="1" si="602"/>
        <v>15.455597768555398</v>
      </c>
      <c r="VT26" s="90">
        <f t="shared" ca="1" si="603"/>
        <v>23.756496916125826</v>
      </c>
      <c r="VU26" s="90">
        <f t="shared" ca="1" si="604"/>
        <v>-7.2332827190799147</v>
      </c>
      <c r="VV26" s="90">
        <f t="shared" ca="1" si="605"/>
        <v>15.167813573206708</v>
      </c>
      <c r="VW26" s="90">
        <f t="shared" ca="1" si="606"/>
        <v>57.375112751519545</v>
      </c>
      <c r="VX26" s="90">
        <f t="shared" ca="1" si="607"/>
        <v>242.16293283491962</v>
      </c>
      <c r="VY26" s="90">
        <f t="shared" ca="1" si="608"/>
        <v>19.805731625805787</v>
      </c>
      <c r="VZ26" s="90">
        <f t="shared" ca="1" si="609"/>
        <v>151.03919913028324</v>
      </c>
      <c r="WA26" s="90">
        <f t="shared" ca="1" si="610"/>
        <v>169.92671983381794</v>
      </c>
      <c r="WB26" s="90">
        <f t="shared" ca="1" si="611"/>
        <v>167.19263494609535</v>
      </c>
      <c r="WC26" s="90">
        <f t="shared" ca="1" si="612"/>
        <v>497.97951036104189</v>
      </c>
      <c r="WD26" s="90">
        <f t="shared" ca="1" si="613"/>
        <v>253.09988638698275</v>
      </c>
      <c r="WE26" s="90">
        <f t="shared" ca="1" si="614"/>
        <v>276.05779745151511</v>
      </c>
      <c r="WF26" s="90">
        <f t="shared" ca="1" si="615"/>
        <v>9.7882614740361475</v>
      </c>
      <c r="WG26" s="90">
        <f t="shared" ca="1" si="616"/>
        <v>335.4754585844895</v>
      </c>
      <c r="WH26" s="90">
        <f t="shared" ca="1" si="617"/>
        <v>65.732900944979093</v>
      </c>
      <c r="WI26" s="90">
        <f t="shared" ca="1" si="618"/>
        <v>2.7275483245641654</v>
      </c>
      <c r="WJ26" s="90">
        <f t="shared" ca="1" si="619"/>
        <v>205.12872296089719</v>
      </c>
      <c r="WK26" s="90">
        <f t="shared" ca="1" si="620"/>
        <v>80.290034657291486</v>
      </c>
      <c r="WL26" s="90">
        <f t="shared" ca="1" si="621"/>
        <v>37.699900905704382</v>
      </c>
      <c r="WM26" s="90">
        <f t="shared" ca="1" si="622"/>
        <v>64.946753670044586</v>
      </c>
      <c r="WN26" s="90">
        <f t="shared" ca="1" si="623"/>
        <v>26.897431417958785</v>
      </c>
      <c r="WO26" s="90">
        <f t="shared" ca="1" si="624"/>
        <v>79.582814321988252</v>
      </c>
      <c r="WP26" s="90">
        <f t="shared" ca="1" si="625"/>
        <v>149.97087649282318</v>
      </c>
      <c r="WQ26" s="90">
        <f t="shared" ca="1" si="626"/>
        <v>99.172529790632865</v>
      </c>
      <c r="WR26" s="90">
        <f t="shared" ca="1" si="627"/>
        <v>48.123199052945537</v>
      </c>
      <c r="WS26" s="90">
        <f t="shared" ca="1" si="628"/>
        <v>0.72982523035445335</v>
      </c>
      <c r="WT26" s="90">
        <f t="shared" ca="1" si="629"/>
        <v>49.137478775799849</v>
      </c>
      <c r="WU26" s="90">
        <f t="shared" ca="1" si="630"/>
        <v>14.454674959731406</v>
      </c>
      <c r="WV26" s="90">
        <f t="shared" ca="1" si="631"/>
        <v>777.77448394795613</v>
      </c>
      <c r="WW26" s="90">
        <f t="shared" ca="1" si="632"/>
        <v>144.19066459998771</v>
      </c>
      <c r="WX26" s="90">
        <f t="shared" ca="1" si="633"/>
        <v>791.26489068286708</v>
      </c>
      <c r="WY26" s="90">
        <f t="shared" ca="1" si="634"/>
        <v>569.13079374975064</v>
      </c>
      <c r="WZ26" s="90">
        <f t="shared" ca="1" si="635"/>
        <v>26.09065936965391</v>
      </c>
      <c r="XA26" s="90">
        <f t="shared" ca="1" si="636"/>
        <v>538.89817320880957</v>
      </c>
      <c r="XB26" s="90">
        <f t="shared" ca="1" si="637"/>
        <v>5.7184386579817712</v>
      </c>
      <c r="XC26" s="90">
        <f t="shared" ca="1" si="638"/>
        <v>90.586205072127413</v>
      </c>
      <c r="XD26" s="90">
        <f t="shared" ca="1" si="639"/>
        <v>47.265540960938466</v>
      </c>
      <c r="XE26" s="90">
        <f t="shared" ca="1" si="640"/>
        <v>231.9489048494751</v>
      </c>
      <c r="XF26" s="90">
        <f t="shared" ca="1" si="641"/>
        <v>7.9242475900862583</v>
      </c>
      <c r="XG26" s="90">
        <f t="shared" ca="1" si="642"/>
        <v>470.95912111349918</v>
      </c>
      <c r="XH26" s="90">
        <f t="shared" ca="1" si="643"/>
        <v>61.049659415415562</v>
      </c>
      <c r="XI26" s="90">
        <f t="shared" ca="1" si="644"/>
        <v>22.510128549148433</v>
      </c>
      <c r="XJ26" s="90">
        <f t="shared" ca="1" si="645"/>
        <v>2.2962374775751502</v>
      </c>
      <c r="XK26" s="90">
        <f t="shared" ca="1" si="646"/>
        <v>41.335058543683296</v>
      </c>
      <c r="XL26" s="90">
        <f t="shared" ca="1" si="647"/>
        <v>108.0158057486353</v>
      </c>
      <c r="XM26" s="90">
        <f t="shared" ca="1" si="648"/>
        <v>5.4192112390589404</v>
      </c>
      <c r="XN26" s="90">
        <f t="shared" ca="1" si="649"/>
        <v>153.47498770992999</v>
      </c>
      <c r="XO26" s="90">
        <f t="shared" ca="1" si="650"/>
        <v>45.110799251130977</v>
      </c>
      <c r="XP26" s="90">
        <f t="shared" ca="1" si="651"/>
        <v>8.043209631646949</v>
      </c>
      <c r="XQ26" s="90">
        <f t="shared" ca="1" si="652"/>
        <v>213.77028893565631</v>
      </c>
      <c r="XR26" s="90">
        <f t="shared" ca="1" si="653"/>
        <v>22.474381819266199</v>
      </c>
      <c r="XS26" s="90">
        <f t="shared" ca="1" si="654"/>
        <v>97.226231196067843</v>
      </c>
      <c r="XT26" s="90">
        <f t="shared" ca="1" si="655"/>
        <v>142.57137313091243</v>
      </c>
      <c r="XU26" s="90">
        <f t="shared" ca="1" si="656"/>
        <v>243.90838224479239</v>
      </c>
      <c r="XV26" s="90">
        <f t="shared" ca="1" si="657"/>
        <v>0.182628696761482</v>
      </c>
      <c r="XW26" s="90">
        <f t="shared" ca="1" si="658"/>
        <v>152.75160859909789</v>
      </c>
      <c r="XX26" s="90">
        <f t="shared" ca="1" si="659"/>
        <v>7.4158717061356692</v>
      </c>
      <c r="XY26" s="90">
        <f t="shared" ca="1" si="660"/>
        <v>137.76048239185255</v>
      </c>
      <c r="XZ26" s="90">
        <f t="shared" ca="1" si="661"/>
        <v>99.66882932454304</v>
      </c>
      <c r="YA26" s="90">
        <f t="shared" ca="1" si="662"/>
        <v>155.31712519161664</v>
      </c>
      <c r="YB26" s="90">
        <f t="shared" ca="1" si="663"/>
        <v>454.74544523367632</v>
      </c>
      <c r="YC26" s="90">
        <f t="shared" ca="1" si="664"/>
        <v>97.807972294699994</v>
      </c>
      <c r="YD26" s="90">
        <f t="shared" ca="1" si="665"/>
        <v>-1.949212783076256</v>
      </c>
      <c r="YE26" s="90">
        <f t="shared" ca="1" si="666"/>
        <v>343.19046930810646</v>
      </c>
      <c r="YF26" s="90">
        <f t="shared" ca="1" si="667"/>
        <v>3.3730543428358302</v>
      </c>
      <c r="YG26" s="90">
        <f t="shared" ca="1" si="668"/>
        <v>66.059562259381451</v>
      </c>
      <c r="YH26" s="90">
        <f t="shared" ca="1" si="669"/>
        <v>222.16154235678849</v>
      </c>
      <c r="YI26" s="90">
        <f t="shared" ca="1" si="670"/>
        <v>49.024091568759921</v>
      </c>
      <c r="YJ26" s="90">
        <f t="shared" ca="1" si="671"/>
        <v>13.574073240188206</v>
      </c>
      <c r="YK26" s="90">
        <f t="shared" ca="1" si="672"/>
        <v>261.48780771588645</v>
      </c>
      <c r="YL26" s="90">
        <f t="shared" ca="1" si="673"/>
        <v>93.553903138779006</v>
      </c>
      <c r="YM26" s="90">
        <f t="shared" ca="1" si="674"/>
        <v>19.521006485657747</v>
      </c>
      <c r="YN26" s="90">
        <f t="shared" ca="1" si="675"/>
        <v>59.379264944286611</v>
      </c>
      <c r="YO26" s="90">
        <f t="shared" ca="1" si="676"/>
        <v>11.191416767174635</v>
      </c>
      <c r="YP26" s="90">
        <f t="shared" ca="1" si="677"/>
        <v>319.96695709687765</v>
      </c>
      <c r="YQ26" s="90">
        <f t="shared" ca="1" si="678"/>
        <v>275.11062166905259</v>
      </c>
      <c r="YR26" s="90">
        <f t="shared" ca="1" si="679"/>
        <v>2.714055282430158</v>
      </c>
      <c r="YS26" s="90">
        <f t="shared" ca="1" si="680"/>
        <v>348.46440341338865</v>
      </c>
      <c r="YT26" s="90">
        <f t="shared" ca="1" si="681"/>
        <v>138.76784507939783</v>
      </c>
      <c r="YU26" s="90">
        <f t="shared" ca="1" si="682"/>
        <v>411.59817891343181</v>
      </c>
      <c r="YV26" s="90">
        <f t="shared" ca="1" si="683"/>
        <v>29.77679908304064</v>
      </c>
      <c r="YW26" s="90">
        <f t="shared" ca="1" si="684"/>
        <v>33.58695594308977</v>
      </c>
      <c r="YX26" s="90">
        <f t="shared" ca="1" si="685"/>
        <v>81.488221412216305</v>
      </c>
      <c r="YY26" s="90">
        <f t="shared" ca="1" si="686"/>
        <v>26.091141062225905</v>
      </c>
      <c r="YZ26" s="90">
        <f t="shared" ca="1" si="687"/>
        <v>21.928017910171029</v>
      </c>
      <c r="ZA26" s="90">
        <f t="shared" ca="1" si="688"/>
        <v>25.989221862726005</v>
      </c>
      <c r="ZB26" s="90">
        <f t="shared" ca="1" si="689"/>
        <v>651.53659944174956</v>
      </c>
      <c r="ZC26" s="90">
        <f t="shared" ca="1" si="690"/>
        <v>60.634608366922265</v>
      </c>
      <c r="ZD26" s="90">
        <f t="shared" ca="1" si="691"/>
        <v>132.76518562242214</v>
      </c>
      <c r="ZE26" s="90">
        <f t="shared" ca="1" si="692"/>
        <v>16.319907443395671</v>
      </c>
      <c r="ZF26" s="90">
        <f t="shared" ca="1" si="693"/>
        <v>45.337141207786274</v>
      </c>
      <c r="ZG26" s="90">
        <f t="shared" ca="1" si="694"/>
        <v>222.51411858068795</v>
      </c>
      <c r="ZH26" s="90">
        <f t="shared" ca="1" si="695"/>
        <v>1299.3535740523837</v>
      </c>
      <c r="ZI26" s="90">
        <f t="shared" ca="1" si="696"/>
        <v>78.262328592011343</v>
      </c>
      <c r="ZJ26" s="90">
        <f t="shared" ca="1" si="697"/>
        <v>15.632242131435582</v>
      </c>
      <c r="ZK26" s="90">
        <f t="shared" ca="1" si="698"/>
        <v>70.350997995311218</v>
      </c>
      <c r="ZL26" s="90">
        <f t="shared" ca="1" si="699"/>
        <v>7.4700918997228269</v>
      </c>
      <c r="ZM26" s="90">
        <f t="shared" ca="1" si="700"/>
        <v>525.31167682743899</v>
      </c>
      <c r="ZN26" s="90">
        <f t="shared" ca="1" si="701"/>
        <v>32.585700278009945</v>
      </c>
      <c r="ZO26" s="90">
        <f t="shared" ca="1" si="702"/>
        <v>62.336031640881025</v>
      </c>
      <c r="ZP26" s="90">
        <f t="shared" ca="1" si="703"/>
        <v>44.20438135115549</v>
      </c>
      <c r="ZQ26" s="90">
        <f t="shared" ca="1" si="704"/>
        <v>58.185460353142176</v>
      </c>
      <c r="ZR26" s="90">
        <f t="shared" ca="1" si="705"/>
        <v>25.638558488116107</v>
      </c>
      <c r="ZS26" s="90">
        <f t="shared" ca="1" si="706"/>
        <v>39.326671984866231</v>
      </c>
      <c r="ZT26" s="90">
        <f t="shared" ca="1" si="707"/>
        <v>17.996149157375793</v>
      </c>
      <c r="ZU26" s="90">
        <f t="shared" ca="1" si="708"/>
        <v>9.4263375807583856</v>
      </c>
      <c r="ZV26" s="90">
        <f t="shared" ca="1" si="709"/>
        <v>2153.5425836450945</v>
      </c>
      <c r="ZW26" s="90">
        <f t="shared" ca="1" si="710"/>
        <v>70.698671964344172</v>
      </c>
      <c r="ZX26" s="90">
        <f t="shared" ca="1" si="711"/>
        <v>194.61827247897097</v>
      </c>
      <c r="ZY26" s="90">
        <f t="shared" ca="1" si="712"/>
        <v>70.181125965309718</v>
      </c>
      <c r="ZZ26" s="90">
        <f t="shared" ca="1" si="713"/>
        <v>165.61072823369412</v>
      </c>
      <c r="AAA26" s="90">
        <f t="shared" ca="1" si="714"/>
        <v>157.50201822085671</v>
      </c>
      <c r="AAB26" s="90">
        <f t="shared" ca="1" si="715"/>
        <v>2.6804075682780266</v>
      </c>
      <c r="AAC26" s="90">
        <f t="shared" ca="1" si="716"/>
        <v>126.53808984886537</v>
      </c>
      <c r="AAD26" s="90">
        <f t="shared" ca="1" si="717"/>
        <v>9.935229356677219</v>
      </c>
      <c r="AAE26" s="90">
        <f t="shared" ca="1" si="718"/>
        <v>87.080161677873036</v>
      </c>
      <c r="AAF26" s="90">
        <f t="shared" ca="1" si="719"/>
        <v>3.5682791341087978</v>
      </c>
      <c r="AAG26" s="90">
        <f t="shared" ca="1" si="720"/>
        <v>58.167944451618091</v>
      </c>
      <c r="AAH26" s="90">
        <f t="shared" ca="1" si="721"/>
        <v>41.938372309819819</v>
      </c>
      <c r="AAI26" s="90">
        <f t="shared" ca="1" si="722"/>
        <v>-1.1717153083188545</v>
      </c>
      <c r="AAJ26" s="90">
        <f t="shared" ca="1" si="723"/>
        <v>92.119012857033866</v>
      </c>
      <c r="AAK26" s="90">
        <f t="shared" ca="1" si="724"/>
        <v>329.60566518151319</v>
      </c>
      <c r="AAL26" s="90">
        <f t="shared" ca="1" si="725"/>
        <v>303.58533628458531</v>
      </c>
      <c r="AAM26" s="90">
        <f t="shared" ca="1" si="726"/>
        <v>529.30371647187474</v>
      </c>
      <c r="AAN26" s="90">
        <f t="shared" ca="1" si="727"/>
        <v>90.794345606879617</v>
      </c>
      <c r="AAO26" s="90">
        <f t="shared" ca="1" si="728"/>
        <v>69.044801089746571</v>
      </c>
      <c r="AAP26" s="90">
        <f t="shared" ca="1" si="729"/>
        <v>692.938417990228</v>
      </c>
      <c r="AAQ26" s="90">
        <f t="shared" ca="1" si="730"/>
        <v>73.273572520109624</v>
      </c>
      <c r="AAR26" s="90">
        <f t="shared" ca="1" si="731"/>
        <v>8.7885383424106251</v>
      </c>
      <c r="AAS26" s="90">
        <f t="shared" ca="1" si="732"/>
        <v>55.097719713174484</v>
      </c>
      <c r="AAT26" s="90">
        <f t="shared" ca="1" si="733"/>
        <v>487.19083860191012</v>
      </c>
      <c r="AAU26" s="90">
        <f t="shared" ca="1" si="734"/>
        <v>47.784188922739197</v>
      </c>
      <c r="AAV26" s="90">
        <f t="shared" ca="1" si="735"/>
        <v>99.425126207554328</v>
      </c>
      <c r="AAW26" s="90">
        <f t="shared" ca="1" si="736"/>
        <v>400.70704647361845</v>
      </c>
      <c r="AAX26" s="90">
        <f t="shared" ca="1" si="737"/>
        <v>213.94460179115742</v>
      </c>
      <c r="AAY26" s="90">
        <f t="shared" ca="1" si="738"/>
        <v>89.71507058714289</v>
      </c>
      <c r="AAZ26" s="90">
        <f t="shared" ca="1" si="739"/>
        <v>23.004419117529014</v>
      </c>
      <c r="ABA26" s="90">
        <f t="shared" ca="1" si="740"/>
        <v>109.83659597645961</v>
      </c>
      <c r="ABB26" s="90">
        <f t="shared" ca="1" si="741"/>
        <v>42.441428690761256</v>
      </c>
      <c r="ABC26" s="90">
        <f t="shared" ca="1" si="742"/>
        <v>402.0759907970122</v>
      </c>
      <c r="ABD26" s="90">
        <f t="shared" ca="1" si="743"/>
        <v>203.57315175403153</v>
      </c>
      <c r="ABE26" s="90">
        <f t="shared" ca="1" si="744"/>
        <v>340.8636969578763</v>
      </c>
      <c r="ABF26" s="90">
        <f t="shared" ca="1" si="745"/>
        <v>34.300684258824326</v>
      </c>
      <c r="ABG26" s="90">
        <f t="shared" ca="1" si="746"/>
        <v>26.883016985811185</v>
      </c>
      <c r="ABH26" s="90">
        <f t="shared" ca="1" si="747"/>
        <v>142.88736329351036</v>
      </c>
      <c r="ABI26" s="90">
        <f t="shared" ca="1" si="748"/>
        <v>23.404116596520893</v>
      </c>
      <c r="ABJ26" s="90">
        <f t="shared" ca="1" si="749"/>
        <v>77.475199209886839</v>
      </c>
      <c r="ABK26" s="90">
        <f t="shared" ca="1" si="750"/>
        <v>27.864751744957342</v>
      </c>
      <c r="ABL26" s="90">
        <f t="shared" ca="1" si="751"/>
        <v>268.43463180106846</v>
      </c>
      <c r="ABM26" s="90">
        <f t="shared" ca="1" si="752"/>
        <v>101.82774013792243</v>
      </c>
      <c r="ABN26" s="90">
        <f t="shared" ca="1" si="753"/>
        <v>41.465314116073323</v>
      </c>
      <c r="ABO26" s="90">
        <f t="shared" ca="1" si="754"/>
        <v>51.308870073542742</v>
      </c>
      <c r="ABP26" s="90">
        <f t="shared" ca="1" si="755"/>
        <v>40.201393206539834</v>
      </c>
      <c r="ABQ26" s="90">
        <f t="shared" ca="1" si="756"/>
        <v>16.904696085407895</v>
      </c>
      <c r="ABR26" s="90">
        <f t="shared" ca="1" si="757"/>
        <v>95.322361808722249</v>
      </c>
      <c r="ABS26" s="90">
        <f t="shared" ca="1" si="758"/>
        <v>274.06636116203674</v>
      </c>
      <c r="ABT26" s="90">
        <f t="shared" ca="1" si="759"/>
        <v>4.760205072436297</v>
      </c>
      <c r="ABU26" s="90">
        <f t="shared" ca="1" si="760"/>
        <v>29.181042838771997</v>
      </c>
      <c r="ABV26" s="90">
        <f t="shared" ca="1" si="761"/>
        <v>40.545003140054817</v>
      </c>
      <c r="ABW26" s="90">
        <f t="shared" ca="1" si="762"/>
        <v>8.3245101383831894</v>
      </c>
      <c r="ABX26" s="90">
        <f t="shared" ca="1" si="763"/>
        <v>29.265496363761649</v>
      </c>
      <c r="ABY26" s="90">
        <f t="shared" ca="1" si="764"/>
        <v>103.91334264317339</v>
      </c>
      <c r="ABZ26" s="90">
        <f t="shared" ca="1" si="765"/>
        <v>118.87725472454738</v>
      </c>
      <c r="ACA26" s="90">
        <f t="shared" ca="1" si="766"/>
        <v>84.172683614059125</v>
      </c>
      <c r="ACB26" s="90">
        <f t="shared" ca="1" si="767"/>
        <v>15.254862513645474</v>
      </c>
      <c r="ACC26" s="90">
        <f t="shared" ca="1" si="768"/>
        <v>77.508872978493471</v>
      </c>
      <c r="ACD26" s="90">
        <f t="shared" ca="1" si="769"/>
        <v>239.61642381299566</v>
      </c>
      <c r="ACE26" s="90">
        <f t="shared" ca="1" si="770"/>
        <v>188.63767092964667</v>
      </c>
      <c r="ACF26" s="90">
        <f t="shared" ca="1" si="771"/>
        <v>8.7273014062913852</v>
      </c>
      <c r="ACG26" s="90">
        <f t="shared" ca="1" si="772"/>
        <v>146.68956971714559</v>
      </c>
      <c r="ACH26" s="90">
        <f t="shared" ca="1" si="773"/>
        <v>437.52970210443175</v>
      </c>
      <c r="ACI26" s="90">
        <f t="shared" ca="1" si="774"/>
        <v>8.6309805508877879</v>
      </c>
      <c r="ACJ26" s="90">
        <f t="shared" ca="1" si="775"/>
        <v>35.737676305527536</v>
      </c>
      <c r="ACK26" s="90">
        <f t="shared" ca="1" si="776"/>
        <v>156.56378370026019</v>
      </c>
      <c r="ACL26" s="90">
        <f t="shared" ca="1" si="777"/>
        <v>452.12108401854931</v>
      </c>
      <c r="ACM26" s="90">
        <f t="shared" ca="1" si="778"/>
        <v>357.19862419193993</v>
      </c>
      <c r="ACN26" s="90">
        <f t="shared" ca="1" si="779"/>
        <v>-3.1519061661884558</v>
      </c>
      <c r="ACO26" s="90">
        <f t="shared" ca="1" si="780"/>
        <v>98.739263805613106</v>
      </c>
      <c r="ACP26" s="90">
        <f t="shared" ca="1" si="781"/>
        <v>172.14696823658616</v>
      </c>
      <c r="ACQ26" s="90">
        <f t="shared" ca="1" si="782"/>
        <v>30.697803925023567</v>
      </c>
      <c r="ACR26" s="90">
        <f t="shared" ca="1" si="783"/>
        <v>38.610078477400123</v>
      </c>
      <c r="ACS26" s="90">
        <f t="shared" ca="1" si="784"/>
        <v>31.750547993482382</v>
      </c>
      <c r="ACT26" s="90">
        <f t="shared" ca="1" si="785"/>
        <v>161.23285940924865</v>
      </c>
      <c r="ACU26" s="90">
        <f t="shared" ca="1" si="786"/>
        <v>145.80720767292178</v>
      </c>
      <c r="ACV26" s="90">
        <f t="shared" ca="1" si="787"/>
        <v>485.16211650181202</v>
      </c>
      <c r="ACW26" s="90">
        <f t="shared" ca="1" si="788"/>
        <v>188.70436602512061</v>
      </c>
      <c r="ACX26" s="90">
        <f t="shared" ca="1" si="789"/>
        <v>8.8107890664873896</v>
      </c>
      <c r="ACY26" s="90">
        <f t="shared" ca="1" si="790"/>
        <v>137.43515245791264</v>
      </c>
      <c r="ACZ26" s="90">
        <f t="shared" ca="1" si="791"/>
        <v>7.0205799406184006</v>
      </c>
      <c r="ADA26" s="90">
        <f t="shared" ca="1" si="792"/>
        <v>93.393635212573514</v>
      </c>
      <c r="ADB26" s="90">
        <f t="shared" ca="1" si="793"/>
        <v>441.16368948794189</v>
      </c>
      <c r="ADC26" s="90">
        <f t="shared" ca="1" si="794"/>
        <v>128.94985752022976</v>
      </c>
      <c r="ADD26" s="90">
        <f t="shared" ca="1" si="795"/>
        <v>133.43431732652496</v>
      </c>
      <c r="ADE26" s="90">
        <f t="shared" ca="1" si="796"/>
        <v>-0.16888112560771071</v>
      </c>
      <c r="ADF26" s="90">
        <f t="shared" ca="1" si="797"/>
        <v>116.62879348783295</v>
      </c>
      <c r="ADG26" s="90">
        <f t="shared" ca="1" si="798"/>
        <v>48.503669779359733</v>
      </c>
      <c r="ADH26" s="90">
        <f t="shared" ca="1" si="799"/>
        <v>124.66154325463579</v>
      </c>
      <c r="ADI26" s="90">
        <f t="shared" ca="1" si="800"/>
        <v>81.97293671114565</v>
      </c>
      <c r="ADJ26" s="90">
        <f t="shared" ca="1" si="801"/>
        <v>25.928772022017966</v>
      </c>
      <c r="ADK26" s="90">
        <f t="shared" ca="1" si="802"/>
        <v>405.08188782535109</v>
      </c>
      <c r="ADL26" s="90">
        <f t="shared" ca="1" si="803"/>
        <v>24.97320756767007</v>
      </c>
      <c r="ADM26" s="90">
        <f t="shared" ca="1" si="804"/>
        <v>30.860768184673681</v>
      </c>
      <c r="ADN26" s="90">
        <f t="shared" ca="1" si="805"/>
        <v>18.769011551167413</v>
      </c>
      <c r="ADO26" s="90">
        <f t="shared" ca="1" si="806"/>
        <v>72.846097054487814</v>
      </c>
      <c r="ADP26" s="90">
        <f t="shared" ca="1" si="807"/>
        <v>247.36176144702722</v>
      </c>
      <c r="ADQ26" s="90">
        <f t="shared" ca="1" si="808"/>
        <v>604.54381086226078</v>
      </c>
      <c r="ADR26" s="90">
        <f t="shared" ca="1" si="809"/>
        <v>1031.2004010849716</v>
      </c>
      <c r="ADS26" s="90">
        <f t="shared" ca="1" si="810"/>
        <v>153.51828812895897</v>
      </c>
      <c r="ADT26" s="90">
        <f t="shared" ca="1" si="811"/>
        <v>35.845140326430851</v>
      </c>
      <c r="ADU26" s="90">
        <f t="shared" ca="1" si="812"/>
        <v>26.061249639184158</v>
      </c>
      <c r="ADV26" s="90">
        <f t="shared" ca="1" si="813"/>
        <v>25.641365434033542</v>
      </c>
      <c r="ADW26" s="90">
        <f t="shared" ca="1" si="814"/>
        <v>-3.1832554125806336</v>
      </c>
      <c r="ADX26" s="90">
        <f t="shared" ca="1" si="815"/>
        <v>133.10809688013731</v>
      </c>
      <c r="ADY26" s="90">
        <f t="shared" ca="1" si="816"/>
        <v>4.6154775682817881</v>
      </c>
      <c r="ADZ26" s="90">
        <f t="shared" ca="1" si="817"/>
        <v>131.33711232881782</v>
      </c>
      <c r="AEA26" s="90">
        <f t="shared" ca="1" si="818"/>
        <v>49.675775058650032</v>
      </c>
      <c r="AEB26" s="90">
        <f t="shared" ca="1" si="819"/>
        <v>6.0262749358975123</v>
      </c>
      <c r="AEC26" s="90">
        <f t="shared" ca="1" si="820"/>
        <v>380.45913279007516</v>
      </c>
      <c r="AED26" s="90">
        <f t="shared" ca="1" si="821"/>
        <v>29.690886814815528</v>
      </c>
      <c r="AEE26" s="90">
        <f t="shared" ca="1" si="822"/>
        <v>205.97840760420038</v>
      </c>
      <c r="AEF26" s="90">
        <f t="shared" ca="1" si="823"/>
        <v>14.035287021970626</v>
      </c>
      <c r="AEG26" s="90">
        <f t="shared" ca="1" si="824"/>
        <v>265.29175997765321</v>
      </c>
      <c r="AEH26" s="90">
        <f t="shared" ca="1" si="825"/>
        <v>525.2053381592159</v>
      </c>
      <c r="AEI26" s="90">
        <f t="shared" ca="1" si="826"/>
        <v>12.667473624581483</v>
      </c>
      <c r="AEJ26" s="90">
        <f t="shared" ca="1" si="827"/>
        <v>71.825972374764703</v>
      </c>
      <c r="AEK26" s="90">
        <f t="shared" ca="1" si="828"/>
        <v>47.628896647547712</v>
      </c>
      <c r="AEL26" s="90">
        <f t="shared" ca="1" si="829"/>
        <v>13.912036473993313</v>
      </c>
      <c r="AEM26" s="90">
        <f t="shared" ca="1" si="830"/>
        <v>155.89858787377807</v>
      </c>
      <c r="AEN26" s="90">
        <f t="shared" ca="1" si="831"/>
        <v>65.362725387118189</v>
      </c>
      <c r="AEO26" s="90">
        <f t="shared" ca="1" si="832"/>
        <v>182.57983707352506</v>
      </c>
      <c r="AEP26" s="90">
        <f t="shared" ca="1" si="833"/>
        <v>10.137078487807049</v>
      </c>
      <c r="AEQ26" s="90">
        <f t="shared" ca="1" si="834"/>
        <v>-0.78803761790182414</v>
      </c>
      <c r="AER26" s="90">
        <f t="shared" ca="1" si="835"/>
        <v>84.484991361263511</v>
      </c>
      <c r="AES26" s="90">
        <f t="shared" ca="1" si="836"/>
        <v>748.88829552194125</v>
      </c>
      <c r="AET26" s="90">
        <f t="shared" ca="1" si="837"/>
        <v>385.94895641985102</v>
      </c>
      <c r="AEU26" s="90">
        <f t="shared" ca="1" si="838"/>
        <v>311.64540197453425</v>
      </c>
      <c r="AEV26" s="90">
        <f t="shared" ca="1" si="839"/>
        <v>44.306789910017542</v>
      </c>
      <c r="AEW26" s="90">
        <f t="shared" ca="1" si="840"/>
        <v>124.13097419395609</v>
      </c>
      <c r="AEX26" s="90">
        <f t="shared" ca="1" si="841"/>
        <v>179.84184062664926</v>
      </c>
      <c r="AEY26" s="90">
        <f t="shared" ca="1" si="842"/>
        <v>332.11247377899696</v>
      </c>
      <c r="AEZ26" s="90">
        <f t="shared" ca="1" si="843"/>
        <v>35.337090259989687</v>
      </c>
      <c r="AFA26" s="90">
        <f t="shared" ca="1" si="844"/>
        <v>119.62814022627029</v>
      </c>
      <c r="AFB26" s="90">
        <f t="shared" ca="1" si="845"/>
        <v>219.79017801612838</v>
      </c>
      <c r="AFC26" s="90">
        <f t="shared" ca="1" si="846"/>
        <v>31.324511951868988</v>
      </c>
      <c r="AFD26" s="90">
        <f t="shared" ca="1" si="847"/>
        <v>6.3155285709434716</v>
      </c>
      <c r="AFE26" s="90">
        <f t="shared" ca="1" si="848"/>
        <v>166.60759648728737</v>
      </c>
      <c r="AFF26" s="90">
        <f t="shared" ca="1" si="849"/>
        <v>80.704203947494776</v>
      </c>
      <c r="AFG26" s="90">
        <f t="shared" ca="1" si="850"/>
        <v>36.754470723646079</v>
      </c>
      <c r="AFH26" s="90">
        <f t="shared" ca="1" si="851"/>
        <v>221.59357116135331</v>
      </c>
      <c r="AFI26" s="90">
        <f t="shared" ca="1" si="852"/>
        <v>66.208067660483479</v>
      </c>
      <c r="AFJ26" s="90">
        <f t="shared" ca="1" si="853"/>
        <v>117.1090436103165</v>
      </c>
      <c r="AFK26" s="90">
        <f t="shared" ca="1" si="854"/>
        <v>17.035700716960068</v>
      </c>
      <c r="AFL26" s="90">
        <f t="shared" ca="1" si="855"/>
        <v>24.137779254418767</v>
      </c>
      <c r="AFM26" s="90">
        <f t="shared" ca="1" si="856"/>
        <v>203.22164628130668</v>
      </c>
      <c r="AFN26" s="90">
        <f t="shared" ca="1" si="857"/>
        <v>19.558187345067097</v>
      </c>
      <c r="AFO26" s="90">
        <f t="shared" ca="1" si="858"/>
        <v>127.03339296597863</v>
      </c>
      <c r="AFP26" s="90">
        <f t="shared" ca="1" si="859"/>
        <v>85.024369803835356</v>
      </c>
      <c r="AFQ26" s="90">
        <f t="shared" ca="1" si="860"/>
        <v>248.55079736062407</v>
      </c>
      <c r="AFR26" s="90">
        <f t="shared" ca="1" si="861"/>
        <v>23.011067523751226</v>
      </c>
      <c r="AFS26" s="90">
        <f t="shared" ca="1" si="862"/>
        <v>249.91772870377929</v>
      </c>
      <c r="AFT26" s="90">
        <f t="shared" ca="1" si="863"/>
        <v>73.383622884462312</v>
      </c>
      <c r="AFU26" s="90">
        <f t="shared" ca="1" si="864"/>
        <v>-12.160426543906466</v>
      </c>
      <c r="AFV26" s="90">
        <f t="shared" ca="1" si="865"/>
        <v>28.503187296428109</v>
      </c>
      <c r="AFW26" s="90">
        <f t="shared" ca="1" si="866"/>
        <v>512.29479950064751</v>
      </c>
      <c r="AFX26" s="90">
        <f t="shared" ca="1" si="867"/>
        <v>283.76138884073924</v>
      </c>
      <c r="AFY26" s="90">
        <f t="shared" ca="1" si="868"/>
        <v>6.3056968745288806</v>
      </c>
      <c r="AFZ26" s="90">
        <f t="shared" ca="1" si="869"/>
        <v>29.692706193161815</v>
      </c>
      <c r="AGA26" s="90">
        <f t="shared" ca="1" si="870"/>
        <v>76.349465667579167</v>
      </c>
      <c r="AGB26" s="90">
        <f t="shared" ca="1" si="871"/>
        <v>61.319462781037387</v>
      </c>
      <c r="AGC26" s="90">
        <f t="shared" ca="1" si="872"/>
        <v>-5.2872404892398679</v>
      </c>
      <c r="AGD26" s="90">
        <f t="shared" ca="1" si="873"/>
        <v>35.865329507646472</v>
      </c>
      <c r="AGE26" s="90">
        <f t="shared" ca="1" si="874"/>
        <v>12.559326204249682</v>
      </c>
      <c r="AGF26" s="90">
        <f t="shared" ca="1" si="875"/>
        <v>68.663466523679233</v>
      </c>
      <c r="AGG26" s="90">
        <f t="shared" ca="1" si="876"/>
        <v>5.7509437249172786</v>
      </c>
      <c r="AGH26" s="90">
        <f t="shared" ca="1" si="877"/>
        <v>58.176607880423845</v>
      </c>
      <c r="AGI26" s="90">
        <f t="shared" ca="1" si="878"/>
        <v>43.939948781424512</v>
      </c>
      <c r="AGJ26" s="90">
        <f t="shared" ca="1" si="879"/>
        <v>117.2069613811106</v>
      </c>
      <c r="AGK26" s="90">
        <f t="shared" ca="1" si="880"/>
        <v>24.824377446212576</v>
      </c>
      <c r="AGL26" s="90">
        <f t="shared" ca="1" si="881"/>
        <v>311.42443738682454</v>
      </c>
      <c r="AGM26" s="90">
        <f t="shared" ca="1" si="882"/>
        <v>150.84142365019841</v>
      </c>
      <c r="AGN26" s="90">
        <f t="shared" ca="1" si="883"/>
        <v>68.000948119391282</v>
      </c>
      <c r="AGO26" s="90">
        <f t="shared" ca="1" si="884"/>
        <v>243.31068671104194</v>
      </c>
      <c r="AGP26" s="90">
        <f t="shared" ca="1" si="885"/>
        <v>12.097530736684064</v>
      </c>
      <c r="AGQ26" s="90">
        <f t="shared" ca="1" si="886"/>
        <v>137.59225355992373</v>
      </c>
      <c r="AGR26" s="90">
        <f t="shared" ca="1" si="887"/>
        <v>54.398599643501122</v>
      </c>
      <c r="AGS26" s="90">
        <f t="shared" ca="1" si="888"/>
        <v>119.24459317901919</v>
      </c>
      <c r="AGT26" s="90">
        <f t="shared" ca="1" si="889"/>
        <v>106.89142123633083</v>
      </c>
      <c r="AGU26" s="90">
        <f t="shared" ca="1" si="890"/>
        <v>76.820543636215746</v>
      </c>
      <c r="AGV26" s="90">
        <f t="shared" ca="1" si="891"/>
        <v>33.586452574210995</v>
      </c>
      <c r="AGW26" s="90">
        <f t="shared" ca="1" si="892"/>
        <v>650.7029837030625</v>
      </c>
      <c r="AGX26" s="90">
        <f t="shared" ca="1" si="893"/>
        <v>339.51098793390133</v>
      </c>
      <c r="AGY26" s="90">
        <f t="shared" ca="1" si="894"/>
        <v>26.668084787382437</v>
      </c>
      <c r="AGZ26" s="90">
        <f t="shared" ca="1" si="895"/>
        <v>42.118720007205219</v>
      </c>
      <c r="AHA26" s="90">
        <f t="shared" ca="1" si="896"/>
        <v>-51.024807091996109</v>
      </c>
      <c r="AHB26" s="90">
        <f t="shared" ca="1" si="897"/>
        <v>13.986206826688369</v>
      </c>
      <c r="AHC26" s="90">
        <f t="shared" ca="1" si="898"/>
        <v>281.65168900287233</v>
      </c>
      <c r="AHD26" s="90">
        <f t="shared" ca="1" si="899"/>
        <v>151.52005675990947</v>
      </c>
      <c r="AHE26" s="90">
        <f t="shared" ca="1" si="900"/>
        <v>76.597678446705274</v>
      </c>
      <c r="AHF26" s="90">
        <f t="shared" ca="1" si="901"/>
        <v>200.84692559169565</v>
      </c>
      <c r="AHG26" s="90">
        <f t="shared" ca="1" si="902"/>
        <v>152.18885385199351</v>
      </c>
      <c r="AHH26" s="90">
        <f t="shared" ca="1" si="903"/>
        <v>80.759569428968916</v>
      </c>
      <c r="AHI26" s="90">
        <f t="shared" ca="1" si="904"/>
        <v>11.209836031487542</v>
      </c>
      <c r="AHJ26" s="90">
        <f t="shared" ca="1" si="905"/>
        <v>474.71123342835767</v>
      </c>
      <c r="AHK26" s="90">
        <f t="shared" ca="1" si="906"/>
        <v>247.83807464590311</v>
      </c>
      <c r="AHL26" s="90">
        <f t="shared" ca="1" si="907"/>
        <v>14.606771930878626</v>
      </c>
      <c r="AHM26" s="90">
        <f t="shared" ca="1" si="908"/>
        <v>224.0026363032369</v>
      </c>
      <c r="AHN26" s="90">
        <f t="shared" ca="1" si="909"/>
        <v>280.63975128594177</v>
      </c>
      <c r="AHO26" s="90">
        <f t="shared" ca="1" si="910"/>
        <v>71.900879512040902</v>
      </c>
      <c r="AHP26" s="90">
        <f t="shared" ca="1" si="911"/>
        <v>29.90351487326657</v>
      </c>
      <c r="AHQ26" s="90">
        <f t="shared" ca="1" si="912"/>
        <v>199.17859441506985</v>
      </c>
      <c r="AHR26" s="90">
        <f t="shared" ca="1" si="913"/>
        <v>-2.4813858444500125</v>
      </c>
      <c r="AHS26" s="90">
        <f t="shared" ca="1" si="914"/>
        <v>7.0895103823699213</v>
      </c>
      <c r="AHT26" s="90">
        <f t="shared" ca="1" si="915"/>
        <v>64.272183232506862</v>
      </c>
      <c r="AHU26" s="90">
        <f t="shared" ca="1" si="916"/>
        <v>118.35786296497723</v>
      </c>
      <c r="AHV26" s="90">
        <f t="shared" ca="1" si="917"/>
        <v>64.06217406392193</v>
      </c>
      <c r="AHW26" s="90">
        <f t="shared" ca="1" si="918"/>
        <v>240.25729174805014</v>
      </c>
      <c r="AHX26" s="90">
        <f t="shared" ca="1" si="919"/>
        <v>34.627084972683313</v>
      </c>
      <c r="AHY26" s="90">
        <f t="shared" ca="1" si="920"/>
        <v>35.74811471959368</v>
      </c>
      <c r="AHZ26" s="90">
        <f t="shared" ca="1" si="921"/>
        <v>426.13686010765286</v>
      </c>
      <c r="AIA26" s="90">
        <f t="shared" ca="1" si="922"/>
        <v>35.233528070755192</v>
      </c>
      <c r="AIB26" s="90">
        <f t="shared" ca="1" si="923"/>
        <v>71.938980655522499</v>
      </c>
      <c r="AIC26" s="90">
        <f t="shared" ca="1" si="924"/>
        <v>487.09457328500343</v>
      </c>
      <c r="AID26" s="90">
        <f t="shared" ca="1" si="925"/>
        <v>242.18298603960793</v>
      </c>
      <c r="AIE26" s="90">
        <f t="shared" ca="1" si="926"/>
        <v>905.05553581238246</v>
      </c>
      <c r="AIF26" s="90">
        <f t="shared" ca="1" si="927"/>
        <v>191.01819772913464</v>
      </c>
      <c r="AIG26" s="90">
        <f t="shared" ca="1" si="928"/>
        <v>643.91057366163284</v>
      </c>
      <c r="AIH26" s="90">
        <f t="shared" ca="1" si="929"/>
        <v>122.67091776963329</v>
      </c>
      <c r="AII26" s="90">
        <f t="shared" ca="1" si="930"/>
        <v>54.404817868419656</v>
      </c>
      <c r="AIJ26" s="90">
        <f t="shared" ca="1" si="931"/>
        <v>21.612247794375968</v>
      </c>
      <c r="AIK26" s="90">
        <f t="shared" ca="1" si="932"/>
        <v>16.517908995827696</v>
      </c>
      <c r="AIL26" s="90">
        <f t="shared" ca="1" si="933"/>
        <v>57.068142939993507</v>
      </c>
      <c r="AIM26" s="90">
        <f t="shared" ca="1" si="934"/>
        <v>328.76575457979089</v>
      </c>
      <c r="AIN26" s="90">
        <f t="shared" ca="1" si="935"/>
        <v>42.946298424183503</v>
      </c>
      <c r="AIO26" s="90">
        <f t="shared" ca="1" si="936"/>
        <v>6.189130901952093</v>
      </c>
      <c r="AIP26" s="90">
        <f t="shared" ca="1" si="937"/>
        <v>60.680967819840106</v>
      </c>
      <c r="AIQ26" s="90">
        <f t="shared" ca="1" si="938"/>
        <v>-0.42115757519401464</v>
      </c>
      <c r="AIR26" s="90">
        <f t="shared" ca="1" si="939"/>
        <v>26.300387441388235</v>
      </c>
      <c r="AIS26" s="90">
        <f t="shared" ca="1" si="940"/>
        <v>6.279055453476996</v>
      </c>
      <c r="AIT26" s="90">
        <f t="shared" ca="1" si="941"/>
        <v>220.92861911136026</v>
      </c>
      <c r="AIU26" s="90">
        <f t="shared" ca="1" si="942"/>
        <v>40.757408968146159</v>
      </c>
      <c r="AIV26" s="90">
        <f t="shared" ca="1" si="943"/>
        <v>303.96469918472513</v>
      </c>
      <c r="AIW26" s="90">
        <f t="shared" ca="1" si="944"/>
        <v>279.73954018401372</v>
      </c>
      <c r="AIX26" s="90">
        <f t="shared" ca="1" si="945"/>
        <v>9.8073816397344959</v>
      </c>
      <c r="AIY26" s="90">
        <f t="shared" ca="1" si="946"/>
        <v>109.44208113232803</v>
      </c>
      <c r="AIZ26" s="90">
        <f t="shared" ca="1" si="947"/>
        <v>94.282057792232507</v>
      </c>
      <c r="AJA26" s="90">
        <f t="shared" ca="1" si="948"/>
        <v>741.38660924435101</v>
      </c>
      <c r="AJB26" s="90">
        <f t="shared" ca="1" si="949"/>
        <v>9.0531892726153433</v>
      </c>
      <c r="AJC26" s="90">
        <f t="shared" ca="1" si="950"/>
        <v>-0.97229089190097229</v>
      </c>
      <c r="AJD26" s="90">
        <f t="shared" ca="1" si="951"/>
        <v>68.308844077649113</v>
      </c>
      <c r="AJE26" s="90">
        <f t="shared" ca="1" si="952"/>
        <v>134.16620597957987</v>
      </c>
      <c r="AJF26" s="90">
        <f t="shared" ca="1" si="953"/>
        <v>48.050469339301138</v>
      </c>
      <c r="AJG26" s="90">
        <f t="shared" ca="1" si="954"/>
        <v>90.652472620106195</v>
      </c>
      <c r="AJH26" s="90">
        <f t="shared" ca="1" si="955"/>
        <v>19.804538017137553</v>
      </c>
      <c r="AJI26" s="90">
        <f t="shared" ca="1" si="956"/>
        <v>121.35333688609184</v>
      </c>
      <c r="AJJ26" s="90">
        <f t="shared" ca="1" si="957"/>
        <v>75.741656636043217</v>
      </c>
      <c r="AJK26" s="90">
        <f t="shared" ca="1" si="958"/>
        <v>31.103944382375541</v>
      </c>
      <c r="AJL26" s="90">
        <f t="shared" ca="1" si="959"/>
        <v>33.315583904650872</v>
      </c>
      <c r="AJM26" s="90">
        <f t="shared" ca="1" si="960"/>
        <v>697.71064535835876</v>
      </c>
      <c r="AJN26" s="90">
        <f t="shared" ca="1" si="961"/>
        <v>66.626370448197378</v>
      </c>
      <c r="AJO26" s="90">
        <f t="shared" ca="1" si="962"/>
        <v>31.267593179436009</v>
      </c>
      <c r="AJP26" s="90">
        <f t="shared" ca="1" si="963"/>
        <v>2559.0026329627299</v>
      </c>
      <c r="AJQ26" s="90">
        <f t="shared" ca="1" si="964"/>
        <v>74.406072990847662</v>
      </c>
      <c r="AJR26" s="90">
        <f t="shared" ca="1" si="965"/>
        <v>9.1945628616754824</v>
      </c>
      <c r="AJS26" s="90">
        <f t="shared" ca="1" si="966"/>
        <v>115.58038134733795</v>
      </c>
      <c r="AJT26" s="90">
        <f t="shared" ca="1" si="967"/>
        <v>101.75342582134621</v>
      </c>
      <c r="AJU26" s="90">
        <f t="shared" ca="1" si="968"/>
        <v>17.106663027732999</v>
      </c>
      <c r="AJV26" s="90">
        <f t="shared" ca="1" si="969"/>
        <v>193.54086313053352</v>
      </c>
      <c r="AJW26" s="90">
        <f t="shared" ca="1" si="970"/>
        <v>143.93874278188204</v>
      </c>
      <c r="AJX26" s="90">
        <f t="shared" ca="1" si="971"/>
        <v>44.980905092380368</v>
      </c>
      <c r="AJY26" s="90">
        <f t="shared" ca="1" si="972"/>
        <v>3.3029913388018937</v>
      </c>
      <c r="AJZ26" s="90">
        <f t="shared" ca="1" si="973"/>
        <v>67.958467111903119</v>
      </c>
      <c r="AKA26" s="90">
        <f t="shared" ca="1" si="974"/>
        <v>38.589187782604625</v>
      </c>
      <c r="AKB26" s="90">
        <f t="shared" ca="1" si="975"/>
        <v>98.168903627250259</v>
      </c>
      <c r="AKC26" s="90">
        <f t="shared" ca="1" si="976"/>
        <v>100.03122107207133</v>
      </c>
      <c r="AKD26" s="90">
        <f t="shared" ca="1" si="977"/>
        <v>130.81333255002357</v>
      </c>
      <c r="AKE26" s="90">
        <f t="shared" ca="1" si="978"/>
        <v>19.815281641812636</v>
      </c>
      <c r="AKF26" s="90">
        <f t="shared" ca="1" si="979"/>
        <v>220.83480409514769</v>
      </c>
      <c r="AKG26" s="90">
        <f t="shared" ca="1" si="980"/>
        <v>14.364988589485488</v>
      </c>
      <c r="AKH26" s="90">
        <f t="shared" ca="1" si="981"/>
        <v>26.086034609527964</v>
      </c>
      <c r="AKI26" s="90">
        <f t="shared" ca="1" si="982"/>
        <v>373.29201104317809</v>
      </c>
      <c r="AKJ26" s="90">
        <f t="shared" ca="1" si="983"/>
        <v>53.577173925439979</v>
      </c>
      <c r="AKK26" s="90">
        <f t="shared" ca="1" si="984"/>
        <v>50.321128879240334</v>
      </c>
      <c r="AKL26" s="90">
        <f t="shared" ca="1" si="985"/>
        <v>19.250636845646461</v>
      </c>
      <c r="AKM26" s="90">
        <f t="shared" ca="1" si="986"/>
        <v>292.56885671083626</v>
      </c>
      <c r="AKN26" s="90">
        <f t="shared" ca="1" si="987"/>
        <v>64.861592272563797</v>
      </c>
      <c r="AKO26" s="90">
        <f t="shared" ca="1" si="988"/>
        <v>55.385613099180354</v>
      </c>
      <c r="AKP26" s="90">
        <f t="shared" ca="1" si="989"/>
        <v>33.608799435944853</v>
      </c>
      <c r="AKQ26" s="90">
        <f t="shared" ca="1" si="990"/>
        <v>50.723524875487783</v>
      </c>
      <c r="AKR26" s="90">
        <f t="shared" ca="1" si="991"/>
        <v>9.1578002831206788</v>
      </c>
      <c r="AKS26" s="90">
        <f t="shared" ca="1" si="992"/>
        <v>284.48886719748623</v>
      </c>
      <c r="AKT26" s="90">
        <f t="shared" ca="1" si="993"/>
        <v>321.97015538163924</v>
      </c>
      <c r="AKU26" s="90">
        <f t="shared" ca="1" si="994"/>
        <v>38.84537335401879</v>
      </c>
      <c r="AKV26" s="90">
        <f t="shared" ca="1" si="995"/>
        <v>27.83292342990498</v>
      </c>
      <c r="AKW26" s="90">
        <f t="shared" ca="1" si="996"/>
        <v>104.87507809161306</v>
      </c>
      <c r="AKX26" s="90">
        <f t="shared" ca="1" si="997"/>
        <v>205.77111084021476</v>
      </c>
      <c r="AKY26" s="90">
        <f t="shared" ca="1" si="998"/>
        <v>17.472541732190418</v>
      </c>
      <c r="AKZ26" s="90">
        <f t="shared" ca="1" si="999"/>
        <v>985.27936421421782</v>
      </c>
      <c r="ALA26" s="90">
        <f t="shared" ca="1" si="1000"/>
        <v>124.08610459762302</v>
      </c>
      <c r="ALB26" s="90">
        <f t="shared" ca="1" si="1001"/>
        <v>689.33460192508187</v>
      </c>
      <c r="ALC26" s="90">
        <f t="shared" ca="1" si="1002"/>
        <v>608.12752982225686</v>
      </c>
      <c r="ALD26" s="90">
        <f t="shared" ca="1" si="1003"/>
        <v>870.26618027286804</v>
      </c>
      <c r="ALE26" s="90">
        <f t="shared" ca="1" si="1004"/>
        <v>-7.8680897232419991</v>
      </c>
      <c r="ALF26" s="90">
        <f t="shared" ca="1" si="1005"/>
        <v>80.46697601733473</v>
      </c>
      <c r="ALG26" s="90">
        <f t="shared" ca="1" si="1006"/>
        <v>120.4528452976555</v>
      </c>
      <c r="ALH26" s="90">
        <f t="shared" ca="1" si="1007"/>
        <v>10.608506083382979</v>
      </c>
      <c r="ALI26" s="90">
        <f t="shared" ca="1" si="1008"/>
        <v>6.7189032999642162</v>
      </c>
      <c r="ALJ26" s="90">
        <f t="shared" ca="1" si="1009"/>
        <v>249.47147728023268</v>
      </c>
      <c r="ALK26" s="90">
        <f t="shared" ca="1" si="1010"/>
        <v>-0.51170776614688795</v>
      </c>
      <c r="ALL26" s="90">
        <f t="shared" ca="1" si="1011"/>
        <v>88.719021401111448</v>
      </c>
      <c r="ALM26" s="90">
        <f t="shared" ca="1" si="1012"/>
        <v>28.912151226576889</v>
      </c>
      <c r="ALN26" s="90">
        <f t="shared" ca="1" si="1013"/>
        <v>64.113763198440012</v>
      </c>
      <c r="ALO26" s="90">
        <f t="shared" ca="1" si="1014"/>
        <v>21.774935885105013</v>
      </c>
      <c r="ALP26" s="90">
        <f t="shared" ca="1" si="1015"/>
        <v>72.955025099735252</v>
      </c>
      <c r="ALQ26" s="90">
        <f t="shared" ca="1" si="1016"/>
        <v>39.12777858879403</v>
      </c>
    </row>
    <row r="27" spans="3:1005" x14ac:dyDescent="0.35">
      <c r="C27" s="61">
        <f t="shared" ca="1" si="17"/>
        <v>9.528014701346188E-2</v>
      </c>
      <c r="D27" s="90">
        <f t="shared" ca="1" si="0"/>
        <v>169.26836188320658</v>
      </c>
      <c r="E27">
        <v>10</v>
      </c>
      <c r="F27" s="90">
        <f t="shared" ca="1" si="1017"/>
        <v>2.8316899722815925</v>
      </c>
      <c r="G27" s="90">
        <f t="shared" ca="1" si="18"/>
        <v>266.84231637515182</v>
      </c>
      <c r="H27" s="90">
        <f t="shared" ca="1" si="19"/>
        <v>179.06766443675198</v>
      </c>
      <c r="I27" s="90">
        <f t="shared" ca="1" si="20"/>
        <v>113.48329960401448</v>
      </c>
      <c r="J27" s="90">
        <f t="shared" ca="1" si="21"/>
        <v>19.863862665022005</v>
      </c>
      <c r="K27" s="90">
        <f t="shared" ca="1" si="22"/>
        <v>171.8525983704227</v>
      </c>
      <c r="L27" s="90">
        <f t="shared" ca="1" si="23"/>
        <v>-47.185171143845317</v>
      </c>
      <c r="M27" s="90">
        <f t="shared" ca="1" si="24"/>
        <v>9.6639047455064784</v>
      </c>
      <c r="N27" s="90">
        <f t="shared" ca="1" si="25"/>
        <v>33.161078764900125</v>
      </c>
      <c r="O27" s="90">
        <f t="shared" ca="1" si="26"/>
        <v>50.050180491274538</v>
      </c>
      <c r="P27" s="90">
        <f t="shared" ca="1" si="27"/>
        <v>24.287698395590979</v>
      </c>
      <c r="Q27" s="90">
        <f t="shared" ca="1" si="28"/>
        <v>145.85278541700598</v>
      </c>
      <c r="R27" s="90">
        <f t="shared" ca="1" si="29"/>
        <v>16.792190392083455</v>
      </c>
      <c r="S27" s="90">
        <f t="shared" ca="1" si="30"/>
        <v>226.57327548465241</v>
      </c>
      <c r="T27" s="90">
        <f t="shared" ca="1" si="31"/>
        <v>42.419135942183942</v>
      </c>
      <c r="U27" s="90">
        <f t="shared" ca="1" si="32"/>
        <v>363.79684756961518</v>
      </c>
      <c r="V27" s="90">
        <f t="shared" ca="1" si="33"/>
        <v>85.055427051458736</v>
      </c>
      <c r="W27" s="90">
        <f t="shared" ca="1" si="34"/>
        <v>171.10577518575209</v>
      </c>
      <c r="X27" s="90">
        <f t="shared" ca="1" si="35"/>
        <v>538.23296574820154</v>
      </c>
      <c r="Y27" s="90">
        <f t="shared" ca="1" si="36"/>
        <v>376.83219678136135</v>
      </c>
      <c r="Z27" s="90">
        <f t="shared" ca="1" si="37"/>
        <v>575.69480572131101</v>
      </c>
      <c r="AA27" s="90">
        <f t="shared" ca="1" si="38"/>
        <v>171.05027761986179</v>
      </c>
      <c r="AB27" s="90">
        <f t="shared" ca="1" si="39"/>
        <v>198.21767288922169</v>
      </c>
      <c r="AC27" s="90">
        <f t="shared" ca="1" si="40"/>
        <v>42.76956736507281</v>
      </c>
      <c r="AD27" s="90">
        <f t="shared" ca="1" si="41"/>
        <v>236.44367208594676</v>
      </c>
      <c r="AE27" s="90">
        <f t="shared" ca="1" si="42"/>
        <v>34.652216185195925</v>
      </c>
      <c r="AF27" s="90">
        <f t="shared" ca="1" si="43"/>
        <v>1479.989376335742</v>
      </c>
      <c r="AG27" s="90">
        <f t="shared" ca="1" si="44"/>
        <v>67.564944442120634</v>
      </c>
      <c r="AH27" s="90">
        <f t="shared" ca="1" si="45"/>
        <v>8.0002119725589544</v>
      </c>
      <c r="AI27" s="90">
        <f t="shared" ca="1" si="46"/>
        <v>64.535935307491982</v>
      </c>
      <c r="AJ27" s="90">
        <f t="shared" ca="1" si="47"/>
        <v>789.31347952246267</v>
      </c>
      <c r="AK27" s="90">
        <f t="shared" ca="1" si="48"/>
        <v>-24.692649247334625</v>
      </c>
      <c r="AL27" s="90">
        <f t="shared" ca="1" si="49"/>
        <v>262.31729238163257</v>
      </c>
      <c r="AM27" s="90">
        <f t="shared" ca="1" si="50"/>
        <v>-0.18194578166735911</v>
      </c>
      <c r="AN27" s="90">
        <f t="shared" ca="1" si="51"/>
        <v>10.406883868194074</v>
      </c>
      <c r="AO27" s="90">
        <f t="shared" ca="1" si="52"/>
        <v>131.49049933472435</v>
      </c>
      <c r="AP27" s="90">
        <f t="shared" ca="1" si="53"/>
        <v>47.140295309877565</v>
      </c>
      <c r="AQ27" s="90">
        <f t="shared" ca="1" si="54"/>
        <v>40.952067083821355</v>
      </c>
      <c r="AR27" s="90">
        <f t="shared" ca="1" si="55"/>
        <v>39.751544651759311</v>
      </c>
      <c r="AS27" s="90">
        <f t="shared" ca="1" si="56"/>
        <v>1340.5579468771293</v>
      </c>
      <c r="AT27" s="90">
        <f t="shared" ca="1" si="57"/>
        <v>203.15444500197472</v>
      </c>
      <c r="AU27" s="90">
        <f t="shared" ca="1" si="58"/>
        <v>106.06473227745518</v>
      </c>
      <c r="AV27" s="90">
        <f t="shared" ca="1" si="59"/>
        <v>53.397175777136617</v>
      </c>
      <c r="AW27" s="90">
        <f t="shared" ca="1" si="60"/>
        <v>100.02809123722896</v>
      </c>
      <c r="AX27" s="90">
        <f t="shared" ca="1" si="61"/>
        <v>15.294250073821628</v>
      </c>
      <c r="AY27" s="90">
        <f t="shared" ca="1" si="62"/>
        <v>802.35600179481128</v>
      </c>
      <c r="AZ27" s="90">
        <f t="shared" ca="1" si="63"/>
        <v>294.45502687533667</v>
      </c>
      <c r="BA27" s="90">
        <f t="shared" ca="1" si="64"/>
        <v>325.79929268179222</v>
      </c>
      <c r="BB27" s="90">
        <f t="shared" ca="1" si="65"/>
        <v>37.589651825715954</v>
      </c>
      <c r="BC27" s="90">
        <f t="shared" ca="1" si="66"/>
        <v>314.11870226091139</v>
      </c>
      <c r="BD27" s="90">
        <f t="shared" ca="1" si="67"/>
        <v>81.788403296434083</v>
      </c>
      <c r="BE27" s="90">
        <f t="shared" ca="1" si="68"/>
        <v>0.50606310124360487</v>
      </c>
      <c r="BF27" s="90">
        <f t="shared" ca="1" si="69"/>
        <v>12.919008425203703</v>
      </c>
      <c r="BG27" s="90">
        <f t="shared" ca="1" si="70"/>
        <v>93.063535445773368</v>
      </c>
      <c r="BH27" s="90">
        <f t="shared" ca="1" si="71"/>
        <v>21.005911985377438</v>
      </c>
      <c r="BI27" s="90">
        <f t="shared" ca="1" si="72"/>
        <v>49.053896196395208</v>
      </c>
      <c r="BJ27" s="90">
        <f t="shared" ca="1" si="73"/>
        <v>29.661329941460586</v>
      </c>
      <c r="BK27" s="90">
        <f t="shared" ca="1" si="74"/>
        <v>1.9275799985525395</v>
      </c>
      <c r="BL27" s="90">
        <f t="shared" ca="1" si="75"/>
        <v>37.789283055885448</v>
      </c>
      <c r="BM27" s="90">
        <f t="shared" ca="1" si="76"/>
        <v>99.820387192937943</v>
      </c>
      <c r="BN27" s="90">
        <f t="shared" ca="1" si="77"/>
        <v>2.5159120067486427</v>
      </c>
      <c r="BO27" s="90">
        <f t="shared" ca="1" si="78"/>
        <v>355.43391373818866</v>
      </c>
      <c r="BP27" s="90">
        <f t="shared" ca="1" si="79"/>
        <v>118.64360218977403</v>
      </c>
      <c r="BQ27" s="90">
        <f t="shared" ca="1" si="80"/>
        <v>146.19374634508407</v>
      </c>
      <c r="BR27" s="90">
        <f t="shared" ca="1" si="81"/>
        <v>154.76870655157663</v>
      </c>
      <c r="BS27" s="90">
        <f t="shared" ca="1" si="82"/>
        <v>154.80715536063857</v>
      </c>
      <c r="BT27" s="90">
        <f t="shared" ca="1" si="83"/>
        <v>139.94594155311896</v>
      </c>
      <c r="BU27" s="90">
        <f t="shared" ca="1" si="84"/>
        <v>9.617315050573028</v>
      </c>
      <c r="BV27" s="90">
        <f t="shared" ca="1" si="85"/>
        <v>28.612923560130579</v>
      </c>
      <c r="BW27" s="90">
        <f t="shared" ca="1" si="86"/>
        <v>329.8556420347233</v>
      </c>
      <c r="BX27" s="90">
        <f t="shared" ca="1" si="87"/>
        <v>15.328168199024567</v>
      </c>
      <c r="BY27" s="90">
        <f t="shared" ca="1" si="88"/>
        <v>149.41027810008319</v>
      </c>
      <c r="BZ27" s="90">
        <f t="shared" ca="1" si="89"/>
        <v>93.77724262285804</v>
      </c>
      <c r="CA27" s="90">
        <f t="shared" ca="1" si="90"/>
        <v>15.025176195482672</v>
      </c>
      <c r="CB27" s="90">
        <f t="shared" ca="1" si="91"/>
        <v>89.800494234370248</v>
      </c>
      <c r="CC27" s="90">
        <f t="shared" ca="1" si="92"/>
        <v>66.881652719944469</v>
      </c>
      <c r="CD27" s="90">
        <f t="shared" ca="1" si="93"/>
        <v>208.26801003882835</v>
      </c>
      <c r="CE27" s="90">
        <f t="shared" ca="1" si="94"/>
        <v>0.85800444578779433</v>
      </c>
      <c r="CF27" s="90">
        <f t="shared" ca="1" si="95"/>
        <v>122.15885936262646</v>
      </c>
      <c r="CG27" s="90">
        <f t="shared" ca="1" si="96"/>
        <v>4.2322495273931091</v>
      </c>
      <c r="CH27" s="90">
        <f t="shared" ca="1" si="97"/>
        <v>55.888823952196859</v>
      </c>
      <c r="CI27" s="90">
        <f t="shared" ca="1" si="98"/>
        <v>209.93104742072754</v>
      </c>
      <c r="CJ27" s="90">
        <f t="shared" ca="1" si="99"/>
        <v>160.73120583374521</v>
      </c>
      <c r="CK27" s="90">
        <f t="shared" ca="1" si="100"/>
        <v>161.3208664955589</v>
      </c>
      <c r="CL27" s="90">
        <f t="shared" ca="1" si="101"/>
        <v>31.253012406408999</v>
      </c>
      <c r="CM27" s="90">
        <f t="shared" ca="1" si="102"/>
        <v>28.369788077024435</v>
      </c>
      <c r="CN27" s="90">
        <f t="shared" ca="1" si="103"/>
        <v>60.067250059066758</v>
      </c>
      <c r="CO27" s="90">
        <f t="shared" ca="1" si="104"/>
        <v>286.92344402198398</v>
      </c>
      <c r="CP27" s="90">
        <f t="shared" ca="1" si="105"/>
        <v>65.516637731232834</v>
      </c>
      <c r="CQ27" s="90">
        <f t="shared" ca="1" si="106"/>
        <v>26.615685386193373</v>
      </c>
      <c r="CR27" s="90">
        <f t="shared" ca="1" si="107"/>
        <v>55.675024725946038</v>
      </c>
      <c r="CS27" s="90">
        <f t="shared" ca="1" si="108"/>
        <v>43.795356350885996</v>
      </c>
      <c r="CT27" s="90">
        <f t="shared" ca="1" si="109"/>
        <v>24.435653543541989</v>
      </c>
      <c r="CU27" s="90">
        <f t="shared" ca="1" si="110"/>
        <v>43.277958898293953</v>
      </c>
      <c r="CV27" s="90">
        <f t="shared" ca="1" si="111"/>
        <v>1799.4753495758528</v>
      </c>
      <c r="CW27" s="90">
        <f t="shared" ca="1" si="112"/>
        <v>417.62586558469076</v>
      </c>
      <c r="CX27" s="90">
        <f t="shared" ca="1" si="113"/>
        <v>97.467753379946302</v>
      </c>
      <c r="CY27" s="90">
        <f t="shared" ca="1" si="114"/>
        <v>92.792204203625744</v>
      </c>
      <c r="CZ27" s="90">
        <f t="shared" ca="1" si="115"/>
        <v>1669.2310329079016</v>
      </c>
      <c r="DA27" s="90">
        <f t="shared" ca="1" si="116"/>
        <v>9.5373063310959854</v>
      </c>
      <c r="DB27" s="90">
        <f t="shared" ca="1" si="117"/>
        <v>279.52703475652356</v>
      </c>
      <c r="DC27" s="90">
        <f t="shared" ca="1" si="118"/>
        <v>9.2108008713442082</v>
      </c>
      <c r="DD27" s="90">
        <f t="shared" ca="1" si="119"/>
        <v>1159.611985668136</v>
      </c>
      <c r="DE27" s="90">
        <f t="shared" ca="1" si="120"/>
        <v>54.466036407593926</v>
      </c>
      <c r="DF27" s="90">
        <f t="shared" ca="1" si="121"/>
        <v>22.121660622343249</v>
      </c>
      <c r="DG27" s="90">
        <f t="shared" ca="1" si="122"/>
        <v>56.601380908421781</v>
      </c>
      <c r="DH27" s="90">
        <f t="shared" ca="1" si="123"/>
        <v>110.72650467847382</v>
      </c>
      <c r="DI27" s="90">
        <f t="shared" ca="1" si="124"/>
        <v>33.920248349728929</v>
      </c>
      <c r="DJ27" s="90">
        <f t="shared" ca="1" si="125"/>
        <v>656.31300024967823</v>
      </c>
      <c r="DK27" s="90">
        <f t="shared" ca="1" si="126"/>
        <v>135.37442908824292</v>
      </c>
      <c r="DL27" s="90">
        <f t="shared" ca="1" si="127"/>
        <v>3.8842416295773541</v>
      </c>
      <c r="DM27" s="90">
        <f t="shared" ca="1" si="128"/>
        <v>7.0408573504010175</v>
      </c>
      <c r="DN27" s="90">
        <f t="shared" ca="1" si="129"/>
        <v>36.420608195766654</v>
      </c>
      <c r="DO27" s="90">
        <f t="shared" ca="1" si="130"/>
        <v>646.41267305137262</v>
      </c>
      <c r="DP27" s="90">
        <f t="shared" ca="1" si="131"/>
        <v>46.484132454185314</v>
      </c>
      <c r="DQ27" s="90">
        <f t="shared" ca="1" si="132"/>
        <v>439.30298744579437</v>
      </c>
      <c r="DR27" s="90">
        <f t="shared" ca="1" si="133"/>
        <v>26.76660725119406</v>
      </c>
      <c r="DS27" s="90">
        <f t="shared" ca="1" si="134"/>
        <v>12.355813683885513</v>
      </c>
      <c r="DT27" s="90">
        <f t="shared" ca="1" si="135"/>
        <v>-0.20364673202047398</v>
      </c>
      <c r="DU27" s="90">
        <f t="shared" ca="1" si="136"/>
        <v>102.91211859461592</v>
      </c>
      <c r="DV27" s="90">
        <f t="shared" ca="1" si="137"/>
        <v>131.7146472587491</v>
      </c>
      <c r="DW27" s="90">
        <f t="shared" ca="1" si="138"/>
        <v>2201.7683532985629</v>
      </c>
      <c r="DX27" s="90">
        <f t="shared" ca="1" si="139"/>
        <v>186.07156130530805</v>
      </c>
      <c r="DY27" s="90">
        <f t="shared" ca="1" si="140"/>
        <v>3.5661487084010122</v>
      </c>
      <c r="DZ27" s="90">
        <f t="shared" ca="1" si="141"/>
        <v>527.12375587163433</v>
      </c>
      <c r="EA27" s="90">
        <f t="shared" ca="1" si="142"/>
        <v>124.05846164328239</v>
      </c>
      <c r="EB27" s="90">
        <f t="shared" ca="1" si="143"/>
        <v>363.05291942117896</v>
      </c>
      <c r="EC27" s="90">
        <f t="shared" ca="1" si="144"/>
        <v>128.68808645169386</v>
      </c>
      <c r="ED27" s="90">
        <f t="shared" ca="1" si="145"/>
        <v>80.508629100057917</v>
      </c>
      <c r="EE27" s="90">
        <f t="shared" ca="1" si="146"/>
        <v>-5.9609491879696774</v>
      </c>
      <c r="EF27" s="90">
        <f t="shared" ca="1" si="147"/>
        <v>133.94771210827952</v>
      </c>
      <c r="EG27" s="90">
        <f t="shared" ca="1" si="148"/>
        <v>79.218920923091559</v>
      </c>
      <c r="EH27" s="90">
        <f t="shared" ca="1" si="149"/>
        <v>23.245329535965414</v>
      </c>
      <c r="EI27" s="90">
        <f t="shared" ca="1" si="150"/>
        <v>67.177820356065396</v>
      </c>
      <c r="EJ27" s="90">
        <f t="shared" ca="1" si="151"/>
        <v>196.94799859361564</v>
      </c>
      <c r="EK27" s="90">
        <f t="shared" ca="1" si="152"/>
        <v>43.822744928359278</v>
      </c>
      <c r="EL27" s="90">
        <f t="shared" ca="1" si="153"/>
        <v>268.25263001615372</v>
      </c>
      <c r="EM27" s="90">
        <f t="shared" ca="1" si="154"/>
        <v>17.738362020133852</v>
      </c>
      <c r="EN27" s="90">
        <f t="shared" ca="1" si="155"/>
        <v>191.8177849593196</v>
      </c>
      <c r="EO27" s="90">
        <f t="shared" ca="1" si="156"/>
        <v>414.69464652277026</v>
      </c>
      <c r="EP27" s="90">
        <f t="shared" ca="1" si="157"/>
        <v>195.60175373085494</v>
      </c>
      <c r="EQ27" s="90">
        <f t="shared" ca="1" si="158"/>
        <v>221.72064719688092</v>
      </c>
      <c r="ER27" s="90">
        <f t="shared" ca="1" si="159"/>
        <v>34.501190077450438</v>
      </c>
      <c r="ES27" s="90">
        <f t="shared" ca="1" si="160"/>
        <v>186.58702366557185</v>
      </c>
      <c r="ET27" s="90">
        <f t="shared" ca="1" si="161"/>
        <v>15.373032106427887</v>
      </c>
      <c r="EU27" s="90">
        <f t="shared" ca="1" si="162"/>
        <v>21.342383438761217</v>
      </c>
      <c r="EV27" s="90">
        <f t="shared" ca="1" si="163"/>
        <v>301.92296956074154</v>
      </c>
      <c r="EW27" s="90">
        <f t="shared" ca="1" si="164"/>
        <v>49.261229798631163</v>
      </c>
      <c r="EX27" s="90">
        <f t="shared" ca="1" si="165"/>
        <v>22.844974197820452</v>
      </c>
      <c r="EY27" s="90">
        <f t="shared" ca="1" si="166"/>
        <v>210.84915848551978</v>
      </c>
      <c r="EZ27" s="90">
        <f t="shared" ca="1" si="167"/>
        <v>136.96859261986009</v>
      </c>
      <c r="FA27" s="90">
        <f t="shared" ca="1" si="168"/>
        <v>96.288684828476917</v>
      </c>
      <c r="FB27" s="90">
        <f t="shared" ca="1" si="169"/>
        <v>70.316966542229437</v>
      </c>
      <c r="FC27" s="90">
        <f t="shared" ca="1" si="170"/>
        <v>468.75277364372238</v>
      </c>
      <c r="FD27" s="90">
        <f t="shared" ca="1" si="171"/>
        <v>8.2360649665153556</v>
      </c>
      <c r="FE27" s="90">
        <f t="shared" ca="1" si="172"/>
        <v>41.606160745851867</v>
      </c>
      <c r="FF27" s="90">
        <f t="shared" ca="1" si="173"/>
        <v>52.245217692694716</v>
      </c>
      <c r="FG27" s="90">
        <f t="shared" ca="1" si="174"/>
        <v>626.00651997645821</v>
      </c>
      <c r="FH27" s="90">
        <f t="shared" ca="1" si="175"/>
        <v>362.92090585989871</v>
      </c>
      <c r="FI27" s="90">
        <f t="shared" ca="1" si="176"/>
        <v>16.268659159424459</v>
      </c>
      <c r="FJ27" s="90">
        <f t="shared" ca="1" si="177"/>
        <v>297.61172575666325</v>
      </c>
      <c r="FK27" s="90">
        <f t="shared" ca="1" si="178"/>
        <v>18.821374167577346</v>
      </c>
      <c r="FL27" s="90">
        <f t="shared" ca="1" si="179"/>
        <v>870.51011617268523</v>
      </c>
      <c r="FM27" s="90">
        <f t="shared" ca="1" si="180"/>
        <v>74.089501053735674</v>
      </c>
      <c r="FN27" s="90">
        <f t="shared" ca="1" si="181"/>
        <v>202.65371055328092</v>
      </c>
      <c r="FO27" s="90">
        <f t="shared" ca="1" si="182"/>
        <v>391.28561926992751</v>
      </c>
      <c r="FP27" s="90">
        <f t="shared" ca="1" si="183"/>
        <v>39.432629182341174</v>
      </c>
      <c r="FQ27" s="90">
        <f t="shared" ca="1" si="184"/>
        <v>25.271963346594973</v>
      </c>
      <c r="FR27" s="90">
        <f t="shared" ca="1" si="185"/>
        <v>107.61197487880507</v>
      </c>
      <c r="FS27" s="90">
        <f t="shared" ca="1" si="186"/>
        <v>135.87552051251683</v>
      </c>
      <c r="FT27" s="90">
        <f t="shared" ca="1" si="187"/>
        <v>54.416657817874658</v>
      </c>
      <c r="FU27" s="90">
        <f t="shared" ca="1" si="188"/>
        <v>270.45561019873583</v>
      </c>
      <c r="FV27" s="90">
        <f t="shared" ca="1" si="189"/>
        <v>153.45412157408526</v>
      </c>
      <c r="FW27" s="90">
        <f t="shared" ca="1" si="190"/>
        <v>27.740080656055763</v>
      </c>
      <c r="FX27" s="90">
        <f t="shared" ca="1" si="191"/>
        <v>269.31712316724105</v>
      </c>
      <c r="FY27" s="90">
        <f t="shared" ca="1" si="192"/>
        <v>87.376332168296486</v>
      </c>
      <c r="FZ27" s="90">
        <f t="shared" ca="1" si="193"/>
        <v>49.774267699419056</v>
      </c>
      <c r="GA27" s="90">
        <f t="shared" ca="1" si="194"/>
        <v>7.3037291548949073</v>
      </c>
      <c r="GB27" s="90">
        <f t="shared" ca="1" si="195"/>
        <v>60.185706909686274</v>
      </c>
      <c r="GC27" s="90">
        <f t="shared" ca="1" si="196"/>
        <v>-8.2322733555154262</v>
      </c>
      <c r="GD27" s="90">
        <f t="shared" ca="1" si="197"/>
        <v>767.15878285110239</v>
      </c>
      <c r="GE27" s="90">
        <f t="shared" ca="1" si="198"/>
        <v>86.489243555642858</v>
      </c>
      <c r="GF27" s="90">
        <f t="shared" ca="1" si="199"/>
        <v>32.347245380918395</v>
      </c>
      <c r="GG27" s="90">
        <f t="shared" ca="1" si="200"/>
        <v>125.73682887449462</v>
      </c>
      <c r="GH27" s="90">
        <f t="shared" ca="1" si="201"/>
        <v>906.62247188647109</v>
      </c>
      <c r="GI27" s="90">
        <f t="shared" ca="1" si="202"/>
        <v>53.517930083210061</v>
      </c>
      <c r="GJ27" s="90">
        <f t="shared" ca="1" si="203"/>
        <v>37.948064807482332</v>
      </c>
      <c r="GK27" s="90">
        <f t="shared" ca="1" si="204"/>
        <v>2236.945778264801</v>
      </c>
      <c r="GL27" s="90">
        <f t="shared" ca="1" si="205"/>
        <v>247.50956335265474</v>
      </c>
      <c r="GM27" s="90">
        <f t="shared" ca="1" si="206"/>
        <v>22.232880068173014</v>
      </c>
      <c r="GN27" s="90">
        <f t="shared" ca="1" si="207"/>
        <v>-3.7012593729464167</v>
      </c>
      <c r="GO27" s="90">
        <f t="shared" ca="1" si="208"/>
        <v>86.728096247140471</v>
      </c>
      <c r="GP27" s="90">
        <f t="shared" ca="1" si="209"/>
        <v>176.40462185858277</v>
      </c>
      <c r="GQ27" s="90">
        <f t="shared" ca="1" si="210"/>
        <v>103.68373316297128</v>
      </c>
      <c r="GR27" s="90">
        <f t="shared" ca="1" si="211"/>
        <v>656.77574065340559</v>
      </c>
      <c r="GS27" s="90">
        <f t="shared" ca="1" si="212"/>
        <v>25.347185809950439</v>
      </c>
      <c r="GT27" s="90">
        <f t="shared" ca="1" si="213"/>
        <v>22.143786075571796</v>
      </c>
      <c r="GU27" s="90">
        <f t="shared" ca="1" si="214"/>
        <v>150.38384509242417</v>
      </c>
      <c r="GV27" s="90">
        <f t="shared" ca="1" si="215"/>
        <v>148.99571170369776</v>
      </c>
      <c r="GW27" s="90">
        <f t="shared" ca="1" si="216"/>
        <v>109.06256520510952</v>
      </c>
      <c r="GX27" s="90">
        <f t="shared" ca="1" si="217"/>
        <v>147.01368482103601</v>
      </c>
      <c r="GY27" s="90">
        <f t="shared" ca="1" si="218"/>
        <v>238.10556968576628</v>
      </c>
      <c r="GZ27" s="90">
        <f t="shared" ca="1" si="219"/>
        <v>141.31188520821198</v>
      </c>
      <c r="HA27" s="90">
        <f t="shared" ca="1" si="220"/>
        <v>237.61197929590767</v>
      </c>
      <c r="HB27" s="90">
        <f t="shared" ca="1" si="221"/>
        <v>22.691171293799961</v>
      </c>
      <c r="HC27" s="90">
        <f t="shared" ca="1" si="222"/>
        <v>64.601488336833555</v>
      </c>
      <c r="HD27" s="90">
        <f t="shared" ca="1" si="223"/>
        <v>120.58446481781175</v>
      </c>
      <c r="HE27" s="90">
        <f t="shared" ca="1" si="224"/>
        <v>324.35581541819585</v>
      </c>
      <c r="HF27" s="90">
        <f t="shared" ca="1" si="225"/>
        <v>-2.4594683854537083</v>
      </c>
      <c r="HG27" s="90">
        <f t="shared" ca="1" si="226"/>
        <v>1065.6975203312074</v>
      </c>
      <c r="HH27" s="90">
        <f t="shared" ca="1" si="227"/>
        <v>48.774551249919043</v>
      </c>
      <c r="HI27" s="90">
        <f t="shared" ca="1" si="228"/>
        <v>229.60833054374498</v>
      </c>
      <c r="HJ27" s="90">
        <f t="shared" ca="1" si="229"/>
        <v>525.08986559286006</v>
      </c>
      <c r="HK27" s="90">
        <f t="shared" ca="1" si="230"/>
        <v>13.632130976846394</v>
      </c>
      <c r="HL27" s="90">
        <f t="shared" ca="1" si="231"/>
        <v>97.784677086978832</v>
      </c>
      <c r="HM27" s="90">
        <f t="shared" ca="1" si="232"/>
        <v>56.876437992269828</v>
      </c>
      <c r="HN27" s="90">
        <f t="shared" ca="1" si="233"/>
        <v>51.734302828237318</v>
      </c>
      <c r="HO27" s="90">
        <f t="shared" ca="1" si="234"/>
        <v>94.14625702144059</v>
      </c>
      <c r="HP27" s="90">
        <f t="shared" ca="1" si="235"/>
        <v>289.42395826106684</v>
      </c>
      <c r="HQ27" s="90">
        <f t="shared" ca="1" si="236"/>
        <v>128.69762576064122</v>
      </c>
      <c r="HR27" s="90">
        <f t="shared" ca="1" si="237"/>
        <v>211.28442031189189</v>
      </c>
      <c r="HS27" s="90">
        <f t="shared" ca="1" si="238"/>
        <v>43.390464105849645</v>
      </c>
      <c r="HT27" s="90">
        <f t="shared" ca="1" si="239"/>
        <v>29.029468247742503</v>
      </c>
      <c r="HU27" s="90">
        <f t="shared" ca="1" si="240"/>
        <v>27.221946238886385</v>
      </c>
      <c r="HV27" s="90">
        <f t="shared" ca="1" si="241"/>
        <v>47.834358461197652</v>
      </c>
      <c r="HW27" s="90">
        <f t="shared" ca="1" si="242"/>
        <v>49.477670312832309</v>
      </c>
      <c r="HX27" s="90">
        <f t="shared" ca="1" si="243"/>
        <v>73.333505716628707</v>
      </c>
      <c r="HY27" s="90">
        <f t="shared" ca="1" si="244"/>
        <v>2771.6659670492068</v>
      </c>
      <c r="HZ27" s="90">
        <f t="shared" ca="1" si="245"/>
        <v>129.19711833895633</v>
      </c>
      <c r="IA27" s="90">
        <f t="shared" ca="1" si="246"/>
        <v>93.631020591743408</v>
      </c>
      <c r="IB27" s="90">
        <f t="shared" ca="1" si="247"/>
        <v>49.470957026970758</v>
      </c>
      <c r="IC27" s="90">
        <f t="shared" ca="1" si="248"/>
        <v>68.79411541443821</v>
      </c>
      <c r="ID27" s="90">
        <f t="shared" ca="1" si="249"/>
        <v>14.887482544909625</v>
      </c>
      <c r="IE27" s="90">
        <f t="shared" ca="1" si="250"/>
        <v>35.861293848901333</v>
      </c>
      <c r="IF27" s="90">
        <f t="shared" ca="1" si="251"/>
        <v>4.3729389469301596</v>
      </c>
      <c r="IG27" s="90">
        <f t="shared" ca="1" si="252"/>
        <v>88.195835971966403</v>
      </c>
      <c r="IH27" s="90">
        <f t="shared" ca="1" si="253"/>
        <v>29.165791077954729</v>
      </c>
      <c r="II27" s="90">
        <f t="shared" ca="1" si="254"/>
        <v>36.269639098647986</v>
      </c>
      <c r="IJ27" s="90">
        <f t="shared" ca="1" si="255"/>
        <v>147.05074036513227</v>
      </c>
      <c r="IK27" s="90">
        <f t="shared" ca="1" si="256"/>
        <v>171.88293936426464</v>
      </c>
      <c r="IL27" s="90">
        <f t="shared" ca="1" si="257"/>
        <v>414.3372773033372</v>
      </c>
      <c r="IM27" s="90">
        <f t="shared" ca="1" si="258"/>
        <v>144.05805612094437</v>
      </c>
      <c r="IN27" s="90">
        <f t="shared" ca="1" si="259"/>
        <v>356.95846546842751</v>
      </c>
      <c r="IO27" s="90">
        <f t="shared" ca="1" si="260"/>
        <v>8.3701788558661292</v>
      </c>
      <c r="IP27" s="90">
        <f t="shared" ca="1" si="261"/>
        <v>71.953933806742285</v>
      </c>
      <c r="IQ27" s="90">
        <f t="shared" ca="1" si="262"/>
        <v>113.90387173825444</v>
      </c>
      <c r="IR27" s="90">
        <f t="shared" ca="1" si="263"/>
        <v>805.18266590988185</v>
      </c>
      <c r="IS27" s="90">
        <f t="shared" ca="1" si="264"/>
        <v>91.019123547507689</v>
      </c>
      <c r="IT27" s="90">
        <f t="shared" ca="1" si="265"/>
        <v>11.53140120768218</v>
      </c>
      <c r="IU27" s="90">
        <f t="shared" ca="1" si="266"/>
        <v>781.72084599976597</v>
      </c>
      <c r="IV27" s="90">
        <f t="shared" ca="1" si="267"/>
        <v>78.816168633620734</v>
      </c>
      <c r="IW27" s="90">
        <f t="shared" ca="1" si="268"/>
        <v>14.327380618505147</v>
      </c>
      <c r="IX27" s="90">
        <f t="shared" ca="1" si="269"/>
        <v>203.66526602230743</v>
      </c>
      <c r="IY27" s="90">
        <f t="shared" ca="1" si="270"/>
        <v>216.21955900726189</v>
      </c>
      <c r="IZ27" s="90">
        <f t="shared" ca="1" si="271"/>
        <v>395.58981650081387</v>
      </c>
      <c r="JA27" s="90">
        <f t="shared" ca="1" si="272"/>
        <v>91.65766573634869</v>
      </c>
      <c r="JB27" s="90">
        <f t="shared" ca="1" si="273"/>
        <v>5.6202973871327675</v>
      </c>
      <c r="JC27" s="90">
        <f t="shared" ca="1" si="274"/>
        <v>81.515366138639834</v>
      </c>
      <c r="JD27" s="90">
        <f t="shared" ca="1" si="275"/>
        <v>166.02783385315431</v>
      </c>
      <c r="JE27" s="90">
        <f t="shared" ca="1" si="276"/>
        <v>61.046712454768503</v>
      </c>
      <c r="JF27" s="90">
        <f t="shared" ca="1" si="277"/>
        <v>99.645377828644371</v>
      </c>
      <c r="JG27" s="90">
        <f t="shared" ca="1" si="278"/>
        <v>184.32445023567587</v>
      </c>
      <c r="JH27" s="90">
        <f t="shared" ca="1" si="279"/>
        <v>29.774483271852318</v>
      </c>
      <c r="JI27" s="90">
        <f t="shared" ca="1" si="280"/>
        <v>14.980554071446813</v>
      </c>
      <c r="JJ27" s="90">
        <f t="shared" ca="1" si="281"/>
        <v>3.3650641836406083</v>
      </c>
      <c r="JK27" s="90">
        <f t="shared" ca="1" si="282"/>
        <v>1428.638337826827</v>
      </c>
      <c r="JL27" s="90">
        <f t="shared" ca="1" si="283"/>
        <v>196.98056228667258</v>
      </c>
      <c r="JM27" s="90">
        <f t="shared" ca="1" si="284"/>
        <v>245.95239734123049</v>
      </c>
      <c r="JN27" s="90">
        <f t="shared" ca="1" si="285"/>
        <v>359.96349574177754</v>
      </c>
      <c r="JO27" s="90">
        <f t="shared" ca="1" si="286"/>
        <v>-3.7685919302652762E-2</v>
      </c>
      <c r="JP27" s="90">
        <f t="shared" ca="1" si="287"/>
        <v>35.464520216853614</v>
      </c>
      <c r="JQ27" s="90">
        <f t="shared" ca="1" si="288"/>
        <v>24.555546937268645</v>
      </c>
      <c r="JR27" s="90">
        <f t="shared" ca="1" si="289"/>
        <v>80.909849816949219</v>
      </c>
      <c r="JS27" s="90">
        <f t="shared" ca="1" si="290"/>
        <v>150.7045891365251</v>
      </c>
      <c r="JT27" s="90">
        <f t="shared" ca="1" si="291"/>
        <v>88.847730022531849</v>
      </c>
      <c r="JU27" s="90">
        <f t="shared" ca="1" si="292"/>
        <v>144.66165322772633</v>
      </c>
      <c r="JV27" s="90">
        <f t="shared" ca="1" si="293"/>
        <v>41.759839776058449</v>
      </c>
      <c r="JW27" s="90">
        <f t="shared" ca="1" si="294"/>
        <v>9.3643120172966849</v>
      </c>
      <c r="JX27" s="90">
        <f t="shared" ca="1" si="295"/>
        <v>8.2467142376279074E-3</v>
      </c>
      <c r="JY27" s="90">
        <f t="shared" ca="1" si="296"/>
        <v>80.877302282391597</v>
      </c>
      <c r="JZ27" s="90">
        <f t="shared" ca="1" si="297"/>
        <v>34.474352956417079</v>
      </c>
      <c r="KA27" s="90">
        <f t="shared" ca="1" si="298"/>
        <v>10.045532132734678</v>
      </c>
      <c r="KB27" s="90">
        <f t="shared" ca="1" si="299"/>
        <v>202.33344361577738</v>
      </c>
      <c r="KC27" s="90">
        <f t="shared" ca="1" si="300"/>
        <v>17.994875273736131</v>
      </c>
      <c r="KD27" s="90">
        <f t="shared" ca="1" si="301"/>
        <v>3.9898698671494994</v>
      </c>
      <c r="KE27" s="90">
        <f t="shared" ca="1" si="302"/>
        <v>39.873877600376488</v>
      </c>
      <c r="KF27" s="90">
        <f t="shared" ca="1" si="303"/>
        <v>37.566520598375561</v>
      </c>
      <c r="KG27" s="90">
        <f t="shared" ca="1" si="304"/>
        <v>215.42623265597885</v>
      </c>
      <c r="KH27" s="90">
        <f t="shared" ca="1" si="305"/>
        <v>1237.6184507854928</v>
      </c>
      <c r="KI27" s="90">
        <f t="shared" ca="1" si="306"/>
        <v>32.376413274842754</v>
      </c>
      <c r="KJ27" s="90">
        <f t="shared" ca="1" si="307"/>
        <v>192.06407354007558</v>
      </c>
      <c r="KK27" s="90">
        <f t="shared" ca="1" si="308"/>
        <v>41.601771125508122</v>
      </c>
      <c r="KL27" s="90">
        <f t="shared" ca="1" si="309"/>
        <v>5.3360241789155811</v>
      </c>
      <c r="KM27" s="90">
        <f t="shared" ca="1" si="310"/>
        <v>96.727117503635085</v>
      </c>
      <c r="KN27" s="90">
        <f t="shared" ca="1" si="311"/>
        <v>686.50475347171835</v>
      </c>
      <c r="KO27" s="90">
        <f t="shared" ca="1" si="312"/>
        <v>158.84010736411574</v>
      </c>
      <c r="KP27" s="90">
        <f t="shared" ca="1" si="313"/>
        <v>154.83079903591516</v>
      </c>
      <c r="KQ27" s="90">
        <f t="shared" ca="1" si="314"/>
        <v>56.213849047719926</v>
      </c>
      <c r="KR27" s="90">
        <f t="shared" ca="1" si="315"/>
        <v>10.542852878548299</v>
      </c>
      <c r="KS27" s="90">
        <f t="shared" ca="1" si="316"/>
        <v>141.15120110948047</v>
      </c>
      <c r="KT27" s="90">
        <f t="shared" ca="1" si="317"/>
        <v>142.05022314023398</v>
      </c>
      <c r="KU27" s="90">
        <f t="shared" ca="1" si="318"/>
        <v>46.958512664649113</v>
      </c>
      <c r="KV27" s="90">
        <f t="shared" ca="1" si="319"/>
        <v>18.045418734619624</v>
      </c>
      <c r="KW27" s="90">
        <f t="shared" ca="1" si="320"/>
        <v>108.29032121856457</v>
      </c>
      <c r="KX27" s="90">
        <f t="shared" ca="1" si="321"/>
        <v>70.013048786000127</v>
      </c>
      <c r="KY27" s="90">
        <f t="shared" ca="1" si="322"/>
        <v>99.746492039867107</v>
      </c>
      <c r="KZ27" s="90">
        <f t="shared" ca="1" si="323"/>
        <v>23.034861544100526</v>
      </c>
      <c r="LA27" s="90">
        <f t="shared" ca="1" si="324"/>
        <v>189.90291276480508</v>
      </c>
      <c r="LB27" s="90">
        <f t="shared" ca="1" si="325"/>
        <v>52.288112102408149</v>
      </c>
      <c r="LC27" s="90">
        <f t="shared" ca="1" si="326"/>
        <v>-96.436291875538544</v>
      </c>
      <c r="LD27" s="90">
        <f t="shared" ca="1" si="327"/>
        <v>551.92165784724398</v>
      </c>
      <c r="LE27" s="90">
        <f t="shared" ca="1" si="328"/>
        <v>247.58718203766017</v>
      </c>
      <c r="LF27" s="90">
        <f t="shared" ca="1" si="329"/>
        <v>2.6362214545171931</v>
      </c>
      <c r="LG27" s="90">
        <f t="shared" ca="1" si="330"/>
        <v>139.19538040827075</v>
      </c>
      <c r="LH27" s="90">
        <f t="shared" ca="1" si="331"/>
        <v>78.988208336309768</v>
      </c>
      <c r="LI27" s="90">
        <f t="shared" ca="1" si="332"/>
        <v>110.23323745437089</v>
      </c>
      <c r="LJ27" s="90">
        <f t="shared" ca="1" si="333"/>
        <v>68.057025906713875</v>
      </c>
      <c r="LK27" s="90">
        <f t="shared" ca="1" si="334"/>
        <v>33.639520387353215</v>
      </c>
      <c r="LL27" s="90">
        <f t="shared" ca="1" si="335"/>
        <v>116.77384827151282</v>
      </c>
      <c r="LM27" s="90">
        <f t="shared" ca="1" si="336"/>
        <v>159.89848270433907</v>
      </c>
      <c r="LN27" s="90">
        <f t="shared" ca="1" si="337"/>
        <v>4.8792912169481664</v>
      </c>
      <c r="LO27" s="90">
        <f t="shared" ca="1" si="338"/>
        <v>50.796492905983683</v>
      </c>
      <c r="LP27" s="90">
        <f t="shared" ca="1" si="339"/>
        <v>5.9705439425355014</v>
      </c>
      <c r="LQ27" s="90">
        <f t="shared" ca="1" si="340"/>
        <v>35.672494339045031</v>
      </c>
      <c r="LR27" s="90">
        <f t="shared" ca="1" si="341"/>
        <v>46.897287204448794</v>
      </c>
      <c r="LS27" s="90">
        <f t="shared" ca="1" si="342"/>
        <v>193.18595104841418</v>
      </c>
      <c r="LT27" s="90">
        <f t="shared" ca="1" si="343"/>
        <v>48.553865754891206</v>
      </c>
      <c r="LU27" s="90">
        <f t="shared" ca="1" si="344"/>
        <v>893.84393504347975</v>
      </c>
      <c r="LV27" s="90">
        <f t="shared" ca="1" si="345"/>
        <v>345.3624415970192</v>
      </c>
      <c r="LW27" s="90">
        <f t="shared" ca="1" si="346"/>
        <v>181.02495904782015</v>
      </c>
      <c r="LX27" s="90">
        <f t="shared" ca="1" si="347"/>
        <v>42.138103888734214</v>
      </c>
      <c r="LY27" s="90">
        <f t="shared" ca="1" si="348"/>
        <v>67.28911455261445</v>
      </c>
      <c r="LZ27" s="90">
        <f t="shared" ca="1" si="349"/>
        <v>252.49818702025635</v>
      </c>
      <c r="MA27" s="90">
        <f t="shared" ca="1" si="350"/>
        <v>66.900965259916703</v>
      </c>
      <c r="MB27" s="90">
        <f t="shared" ca="1" si="351"/>
        <v>1.8388942788949982</v>
      </c>
      <c r="MC27" s="90">
        <f t="shared" ca="1" si="352"/>
        <v>52.2876235571458</v>
      </c>
      <c r="MD27" s="90">
        <f t="shared" ca="1" si="353"/>
        <v>315.93537977630541</v>
      </c>
      <c r="ME27" s="90">
        <f t="shared" ca="1" si="354"/>
        <v>47.028445655267085</v>
      </c>
      <c r="MF27" s="90">
        <f t="shared" ca="1" si="355"/>
        <v>383.00386810210011</v>
      </c>
      <c r="MG27" s="90">
        <f t="shared" ca="1" si="356"/>
        <v>179.31526843631733</v>
      </c>
      <c r="MH27" s="90">
        <f t="shared" ca="1" si="357"/>
        <v>48.341391961800255</v>
      </c>
      <c r="MI27" s="90">
        <f t="shared" ca="1" si="358"/>
        <v>15.241428077228967</v>
      </c>
      <c r="MJ27" s="90">
        <f t="shared" ca="1" si="359"/>
        <v>107.38908820700183</v>
      </c>
      <c r="MK27" s="90">
        <f t="shared" ca="1" si="360"/>
        <v>115.3799452649961</v>
      </c>
      <c r="ML27" s="90">
        <f t="shared" ca="1" si="361"/>
        <v>545.12926362921814</v>
      </c>
      <c r="MM27" s="90">
        <f t="shared" ca="1" si="362"/>
        <v>261.52662307338892</v>
      </c>
      <c r="MN27" s="90">
        <f t="shared" ca="1" si="363"/>
        <v>353.0082920475154</v>
      </c>
      <c r="MO27" s="90">
        <f t="shared" ca="1" si="364"/>
        <v>511.81293441521859</v>
      </c>
      <c r="MP27" s="90">
        <f t="shared" ca="1" si="365"/>
        <v>64.852099502299808</v>
      </c>
      <c r="MQ27" s="90">
        <f t="shared" ca="1" si="366"/>
        <v>96.611162208736033</v>
      </c>
      <c r="MR27" s="90">
        <f t="shared" ca="1" si="367"/>
        <v>96.50687426972911</v>
      </c>
      <c r="MS27" s="90">
        <f t="shared" ca="1" si="368"/>
        <v>164.88965425687559</v>
      </c>
      <c r="MT27" s="90">
        <f t="shared" ca="1" si="369"/>
        <v>14.697219073153391</v>
      </c>
      <c r="MU27" s="90">
        <f t="shared" ca="1" si="370"/>
        <v>16.179255372471083</v>
      </c>
      <c r="MV27" s="90">
        <f t="shared" ca="1" si="371"/>
        <v>853.58481368602281</v>
      </c>
      <c r="MW27" s="90">
        <f t="shared" ca="1" si="372"/>
        <v>12.913379455584773</v>
      </c>
      <c r="MX27" s="90">
        <f t="shared" ca="1" si="373"/>
        <v>181.45961558483427</v>
      </c>
      <c r="MY27" s="90">
        <f t="shared" ca="1" si="374"/>
        <v>163.79090161275531</v>
      </c>
      <c r="MZ27" s="90">
        <f t="shared" ca="1" si="375"/>
        <v>167.01625000226096</v>
      </c>
      <c r="NA27" s="90">
        <f t="shared" ca="1" si="376"/>
        <v>1010.9143825206196</v>
      </c>
      <c r="NB27" s="90">
        <f t="shared" ca="1" si="377"/>
        <v>46.714371146343048</v>
      </c>
      <c r="NC27" s="90">
        <f t="shared" ca="1" si="378"/>
        <v>19.242223059335615</v>
      </c>
      <c r="ND27" s="90">
        <f t="shared" ca="1" si="379"/>
        <v>351.57602113429954</v>
      </c>
      <c r="NE27" s="90">
        <f t="shared" ca="1" si="380"/>
        <v>357.87992356320149</v>
      </c>
      <c r="NF27" s="90">
        <f t="shared" ca="1" si="381"/>
        <v>34.004178910475012</v>
      </c>
      <c r="NG27" s="90">
        <f t="shared" ca="1" si="382"/>
        <v>13.086155405051471</v>
      </c>
      <c r="NH27" s="90">
        <f t="shared" ca="1" si="383"/>
        <v>21.64337760514335</v>
      </c>
      <c r="NI27" s="90">
        <f t="shared" ca="1" si="384"/>
        <v>214.07108155314089</v>
      </c>
      <c r="NJ27" s="90">
        <f t="shared" ca="1" si="385"/>
        <v>394.72284322509444</v>
      </c>
      <c r="NK27" s="90">
        <f t="shared" ca="1" si="386"/>
        <v>26.329006414775101</v>
      </c>
      <c r="NL27" s="90">
        <f t="shared" ca="1" si="387"/>
        <v>1660.0482372186443</v>
      </c>
      <c r="NM27" s="90">
        <f t="shared" ca="1" si="388"/>
        <v>94.228906755152025</v>
      </c>
      <c r="NN27" s="90">
        <f t="shared" ca="1" si="389"/>
        <v>23.680488782620404</v>
      </c>
      <c r="NO27" s="90">
        <f t="shared" ca="1" si="390"/>
        <v>160.20660694493679</v>
      </c>
      <c r="NP27" s="90">
        <f t="shared" ca="1" si="391"/>
        <v>36.346163480849654</v>
      </c>
      <c r="NQ27" s="90">
        <f t="shared" ca="1" si="392"/>
        <v>11.395540556224649</v>
      </c>
      <c r="NR27" s="90">
        <f t="shared" ca="1" si="393"/>
        <v>306.00569799353059</v>
      </c>
      <c r="NS27" s="90">
        <f t="shared" ca="1" si="394"/>
        <v>-29.961303862430356</v>
      </c>
      <c r="NT27" s="90">
        <f t="shared" ca="1" si="395"/>
        <v>-5.6504015320472138</v>
      </c>
      <c r="NU27" s="90">
        <f t="shared" ca="1" si="396"/>
        <v>148.4700165473499</v>
      </c>
      <c r="NV27" s="90">
        <f t="shared" ca="1" si="397"/>
        <v>51.770587833642125</v>
      </c>
      <c r="NW27" s="90">
        <f t="shared" ca="1" si="398"/>
        <v>592.14545522165042</v>
      </c>
      <c r="NX27" s="90">
        <f t="shared" ca="1" si="399"/>
        <v>182.00115356667274</v>
      </c>
      <c r="NY27" s="90">
        <f t="shared" ca="1" si="400"/>
        <v>-18.603641489529885</v>
      </c>
      <c r="NZ27" s="90">
        <f t="shared" ca="1" si="401"/>
        <v>104.09019974850332</v>
      </c>
      <c r="OA27" s="90">
        <f t="shared" ca="1" si="402"/>
        <v>12.317533606012116</v>
      </c>
      <c r="OB27" s="90">
        <f t="shared" ca="1" si="403"/>
        <v>8.9211051775044456</v>
      </c>
      <c r="OC27" s="90">
        <f t="shared" ca="1" si="404"/>
        <v>396.27842439155711</v>
      </c>
      <c r="OD27" s="90">
        <f t="shared" ca="1" si="405"/>
        <v>134.14398212380678</v>
      </c>
      <c r="OE27" s="90">
        <f t="shared" ca="1" si="406"/>
        <v>24.66905538256389</v>
      </c>
      <c r="OF27" s="90">
        <f t="shared" ca="1" si="407"/>
        <v>20.967902830748599</v>
      </c>
      <c r="OG27" s="90">
        <f t="shared" ca="1" si="408"/>
        <v>10.199977901277421</v>
      </c>
      <c r="OH27" s="90">
        <f t="shared" ca="1" si="409"/>
        <v>173.01095063330595</v>
      </c>
      <c r="OI27" s="90">
        <f t="shared" ca="1" si="410"/>
        <v>33.169335978286412</v>
      </c>
      <c r="OJ27" s="90">
        <f t="shared" ca="1" si="411"/>
        <v>-5.0285316499409891</v>
      </c>
      <c r="OK27" s="90">
        <f t="shared" ca="1" si="412"/>
        <v>16.360128481426226</v>
      </c>
      <c r="OL27" s="90">
        <f t="shared" ca="1" si="413"/>
        <v>181.24322219793765</v>
      </c>
      <c r="OM27" s="90">
        <f t="shared" ca="1" si="414"/>
        <v>5.458835450562507</v>
      </c>
      <c r="ON27" s="90">
        <f t="shared" ca="1" si="415"/>
        <v>80.181613637956531</v>
      </c>
      <c r="OO27" s="90">
        <f t="shared" ca="1" si="416"/>
        <v>128.83392355181545</v>
      </c>
      <c r="OP27" s="90">
        <f t="shared" ca="1" si="417"/>
        <v>46.303395077274878</v>
      </c>
      <c r="OQ27" s="90">
        <f t="shared" ca="1" si="418"/>
        <v>82.457982984904646</v>
      </c>
      <c r="OR27" s="90">
        <f t="shared" ca="1" si="419"/>
        <v>98.175448867375238</v>
      </c>
      <c r="OS27" s="90">
        <f t="shared" ca="1" si="420"/>
        <v>230.47642986554993</v>
      </c>
      <c r="OT27" s="90">
        <f t="shared" ca="1" si="421"/>
        <v>15.289325867726751</v>
      </c>
      <c r="OU27" s="90">
        <f t="shared" ca="1" si="422"/>
        <v>300.48635275778889</v>
      </c>
      <c r="OV27" s="90">
        <f t="shared" ca="1" si="423"/>
        <v>616.12214135275292</v>
      </c>
      <c r="OW27" s="90">
        <f t="shared" ca="1" si="424"/>
        <v>140.77290296410445</v>
      </c>
      <c r="OX27" s="90">
        <f t="shared" ca="1" si="425"/>
        <v>19.714723631038169</v>
      </c>
      <c r="OY27" s="90">
        <f t="shared" ca="1" si="426"/>
        <v>73.744610414632092</v>
      </c>
      <c r="OZ27" s="90">
        <f t="shared" ca="1" si="427"/>
        <v>7.6513495989111835</v>
      </c>
      <c r="PA27" s="90">
        <f t="shared" ca="1" si="428"/>
        <v>530.52471506950758</v>
      </c>
      <c r="PB27" s="90">
        <f t="shared" ca="1" si="429"/>
        <v>50.363275885704994</v>
      </c>
      <c r="PC27" s="90">
        <f t="shared" ca="1" si="430"/>
        <v>4.850065089521598</v>
      </c>
      <c r="PD27" s="90">
        <f t="shared" ca="1" si="431"/>
        <v>84.763247889636077</v>
      </c>
      <c r="PE27" s="90">
        <f t="shared" ca="1" si="432"/>
        <v>55.839322595948076</v>
      </c>
      <c r="PF27" s="90">
        <f t="shared" ca="1" si="433"/>
        <v>1.2736529015935245</v>
      </c>
      <c r="PG27" s="90">
        <f t="shared" ca="1" si="434"/>
        <v>19.077012075235203</v>
      </c>
      <c r="PH27" s="90">
        <f t="shared" ca="1" si="435"/>
        <v>163.42470083412368</v>
      </c>
      <c r="PI27" s="90">
        <f t="shared" ca="1" si="436"/>
        <v>5.7630644151012422</v>
      </c>
      <c r="PJ27" s="90">
        <f t="shared" ca="1" si="437"/>
        <v>254.26453635247202</v>
      </c>
      <c r="PK27" s="90">
        <f t="shared" ca="1" si="438"/>
        <v>4.9448268274622507</v>
      </c>
      <c r="PL27" s="90">
        <f t="shared" ca="1" si="439"/>
        <v>269.3242477952042</v>
      </c>
      <c r="PM27" s="90">
        <f t="shared" ca="1" si="440"/>
        <v>356.8739663651653</v>
      </c>
      <c r="PN27" s="90">
        <f t="shared" ca="1" si="441"/>
        <v>31.379944103529287</v>
      </c>
      <c r="PO27" s="90">
        <f t="shared" ca="1" si="442"/>
        <v>107.65119557059298</v>
      </c>
      <c r="PP27" s="90">
        <f t="shared" ca="1" si="443"/>
        <v>101.37272166399187</v>
      </c>
      <c r="PQ27" s="90">
        <f t="shared" ca="1" si="444"/>
        <v>189.86592274178435</v>
      </c>
      <c r="PR27" s="90">
        <f t="shared" ca="1" si="445"/>
        <v>139.04926153238281</v>
      </c>
      <c r="PS27" s="90">
        <f t="shared" ca="1" si="446"/>
        <v>10.785887616652671</v>
      </c>
      <c r="PT27" s="90">
        <f t="shared" ca="1" si="447"/>
        <v>284.54532870240769</v>
      </c>
      <c r="PU27" s="90">
        <f t="shared" ca="1" si="448"/>
        <v>28.193470147515097</v>
      </c>
      <c r="PV27" s="90">
        <f t="shared" ca="1" si="449"/>
        <v>100.88071894263285</v>
      </c>
      <c r="PW27" s="90">
        <f t="shared" ca="1" si="450"/>
        <v>595.89929139762614</v>
      </c>
      <c r="PX27" s="90">
        <f t="shared" ca="1" si="451"/>
        <v>43.158360169887111</v>
      </c>
      <c r="PY27" s="90">
        <f t="shared" ca="1" si="452"/>
        <v>171.2462856584944</v>
      </c>
      <c r="PZ27" s="90">
        <f t="shared" ca="1" si="453"/>
        <v>12.618723103885886</v>
      </c>
      <c r="QA27" s="90">
        <f t="shared" ca="1" si="454"/>
        <v>176.90338887566182</v>
      </c>
      <c r="QB27" s="90">
        <f t="shared" ca="1" si="455"/>
        <v>77.559082010149169</v>
      </c>
      <c r="QC27" s="90">
        <f t="shared" ca="1" si="456"/>
        <v>36.361075376025141</v>
      </c>
      <c r="QD27" s="90">
        <f t="shared" ca="1" si="457"/>
        <v>99.771529878726327</v>
      </c>
      <c r="QE27" s="90">
        <f t="shared" ca="1" si="458"/>
        <v>20.537222171529429</v>
      </c>
      <c r="QF27" s="90">
        <f t="shared" ca="1" si="459"/>
        <v>46.633106262791387</v>
      </c>
      <c r="QG27" s="90">
        <f t="shared" ca="1" si="460"/>
        <v>55.131346994403053</v>
      </c>
      <c r="QH27" s="90">
        <f t="shared" ca="1" si="461"/>
        <v>128.43766551489861</v>
      </c>
      <c r="QI27" s="90">
        <f t="shared" ca="1" si="462"/>
        <v>278.79014191620973</v>
      </c>
      <c r="QJ27" s="90">
        <f t="shared" ca="1" si="463"/>
        <v>60.781038772736643</v>
      </c>
      <c r="QK27" s="90">
        <f t="shared" ca="1" si="464"/>
        <v>751.83342785249215</v>
      </c>
      <c r="QL27" s="90">
        <f t="shared" ca="1" si="465"/>
        <v>626.4914731293353</v>
      </c>
      <c r="QM27" s="90">
        <f t="shared" ca="1" si="466"/>
        <v>58.200111163117505</v>
      </c>
      <c r="QN27" s="90">
        <f t="shared" ca="1" si="467"/>
        <v>34.669992379291173</v>
      </c>
      <c r="QO27" s="90">
        <f t="shared" ca="1" si="468"/>
        <v>6.4586948010336043</v>
      </c>
      <c r="QP27" s="90">
        <f t="shared" ca="1" si="469"/>
        <v>190.18494687974231</v>
      </c>
      <c r="QQ27" s="90">
        <f t="shared" ca="1" si="470"/>
        <v>41.457576635960599</v>
      </c>
      <c r="QR27" s="90">
        <f t="shared" ca="1" si="471"/>
        <v>671.1081397479843</v>
      </c>
      <c r="QS27" s="90">
        <f t="shared" ca="1" si="472"/>
        <v>88.615498752929028</v>
      </c>
      <c r="QT27" s="90">
        <f t="shared" ca="1" si="473"/>
        <v>111.18119356114541</v>
      </c>
      <c r="QU27" s="90">
        <f t="shared" ca="1" si="474"/>
        <v>158.90075373357161</v>
      </c>
      <c r="QV27" s="90">
        <f t="shared" ca="1" si="475"/>
        <v>241.84211544926268</v>
      </c>
      <c r="QW27" s="90">
        <f t="shared" ca="1" si="476"/>
        <v>-53.438302440267478</v>
      </c>
      <c r="QX27" s="90">
        <f t="shared" ca="1" si="477"/>
        <v>220.97895320752622</v>
      </c>
      <c r="QY27" s="90">
        <f t="shared" ca="1" si="478"/>
        <v>105.44245697625171</v>
      </c>
      <c r="QZ27" s="90">
        <f t="shared" ca="1" si="479"/>
        <v>130.41156980137626</v>
      </c>
      <c r="RA27" s="90">
        <f t="shared" ca="1" si="480"/>
        <v>1142.6538549983229</v>
      </c>
      <c r="RB27" s="90">
        <f t="shared" ca="1" si="481"/>
        <v>286.91407374716488</v>
      </c>
      <c r="RC27" s="90">
        <f t="shared" ca="1" si="482"/>
        <v>0.18319791057877396</v>
      </c>
      <c r="RD27" s="90">
        <f t="shared" ca="1" si="483"/>
        <v>-50.726945393389087</v>
      </c>
      <c r="RE27" s="90">
        <f t="shared" ca="1" si="484"/>
        <v>195.77794574166842</v>
      </c>
      <c r="RF27" s="90">
        <f t="shared" ca="1" si="485"/>
        <v>759.20471447968771</v>
      </c>
      <c r="RG27" s="90">
        <f t="shared" ca="1" si="486"/>
        <v>141.371696740668</v>
      </c>
      <c r="RH27" s="90">
        <f t="shared" ca="1" si="487"/>
        <v>254.25678146228424</v>
      </c>
      <c r="RI27" s="90">
        <f t="shared" ca="1" si="488"/>
        <v>99.852455493494986</v>
      </c>
      <c r="RJ27" s="90">
        <f t="shared" ca="1" si="489"/>
        <v>164.53869894471191</v>
      </c>
      <c r="RK27" s="90">
        <f t="shared" ca="1" si="490"/>
        <v>8.1338790936245982</v>
      </c>
      <c r="RL27" s="90">
        <f t="shared" ca="1" si="491"/>
        <v>2.0705652904227314</v>
      </c>
      <c r="RM27" s="90">
        <f t="shared" ca="1" si="492"/>
        <v>19.522313722533468</v>
      </c>
      <c r="RN27" s="90">
        <f t="shared" ca="1" si="493"/>
        <v>72.097683723581738</v>
      </c>
      <c r="RO27" s="90">
        <f t="shared" ca="1" si="494"/>
        <v>23.629889240283884</v>
      </c>
      <c r="RP27" s="90">
        <f t="shared" ca="1" si="495"/>
        <v>213.2879822008575</v>
      </c>
      <c r="RQ27" s="90">
        <f t="shared" ca="1" si="496"/>
        <v>462.58597220857348</v>
      </c>
      <c r="RR27" s="90">
        <f t="shared" ca="1" si="497"/>
        <v>12.184400049354553</v>
      </c>
      <c r="RS27" s="90">
        <f t="shared" ca="1" si="498"/>
        <v>0.13105712748612683</v>
      </c>
      <c r="RT27" s="90">
        <f t="shared" ca="1" si="499"/>
        <v>40.671471075610121</v>
      </c>
      <c r="RU27" s="90">
        <f t="shared" ca="1" si="500"/>
        <v>154.90690544064145</v>
      </c>
      <c r="RV27" s="90">
        <f t="shared" ca="1" si="501"/>
        <v>47.169823117461505</v>
      </c>
      <c r="RW27" s="90">
        <f t="shared" ca="1" si="502"/>
        <v>121.83817351784394</v>
      </c>
      <c r="RX27" s="90">
        <f t="shared" ca="1" si="503"/>
        <v>33.869273443081859</v>
      </c>
      <c r="RY27" s="90">
        <f t="shared" ca="1" si="504"/>
        <v>91.542460388545592</v>
      </c>
      <c r="RZ27" s="90">
        <f t="shared" ca="1" si="505"/>
        <v>90.204050900730067</v>
      </c>
      <c r="SA27" s="90">
        <f t="shared" ca="1" si="506"/>
        <v>84.294349883599111</v>
      </c>
      <c r="SB27" s="90">
        <f t="shared" ca="1" si="507"/>
        <v>6.4902195067791517</v>
      </c>
      <c r="SC27" s="90">
        <f t="shared" ca="1" si="508"/>
        <v>12.823541693536818</v>
      </c>
      <c r="SD27" s="90">
        <f t="shared" ca="1" si="509"/>
        <v>3.9591138491700084</v>
      </c>
      <c r="SE27" s="90">
        <f t="shared" ca="1" si="510"/>
        <v>-0.89057862535377763</v>
      </c>
      <c r="SF27" s="90">
        <f t="shared" ca="1" si="511"/>
        <v>50.769904231563331</v>
      </c>
      <c r="SG27" s="90">
        <f t="shared" ca="1" si="512"/>
        <v>453.87735590955521</v>
      </c>
      <c r="SH27" s="90">
        <f t="shared" ca="1" si="513"/>
        <v>467.71586938783639</v>
      </c>
      <c r="SI27" s="90">
        <f t="shared" ca="1" si="514"/>
        <v>8.0530826598462006</v>
      </c>
      <c r="SJ27" s="90">
        <f t="shared" ca="1" si="515"/>
        <v>27.312466606397354</v>
      </c>
      <c r="SK27" s="90">
        <f t="shared" ca="1" si="516"/>
        <v>510.0118157416394</v>
      </c>
      <c r="SL27" s="90">
        <f t="shared" ca="1" si="517"/>
        <v>28.818824852092995</v>
      </c>
      <c r="SM27" s="90">
        <f t="shared" ca="1" si="518"/>
        <v>29.143231721839964</v>
      </c>
      <c r="SN27" s="90">
        <f t="shared" ca="1" si="519"/>
        <v>39.547733322270069</v>
      </c>
      <c r="SO27" s="90">
        <f t="shared" ca="1" si="520"/>
        <v>140.48406578856512</v>
      </c>
      <c r="SP27" s="90">
        <f t="shared" ca="1" si="521"/>
        <v>166.16469985238606</v>
      </c>
      <c r="SQ27" s="90">
        <f t="shared" ca="1" si="522"/>
        <v>679.11060478455965</v>
      </c>
      <c r="SR27" s="90">
        <f t="shared" ca="1" si="523"/>
        <v>81.928727016861899</v>
      </c>
      <c r="SS27" s="90">
        <f t="shared" ca="1" si="524"/>
        <v>14.660528110650322</v>
      </c>
      <c r="ST27" s="90">
        <f t="shared" ca="1" si="525"/>
        <v>73.495327329989678</v>
      </c>
      <c r="SU27" s="90">
        <f t="shared" ca="1" si="526"/>
        <v>468.94913714737709</v>
      </c>
      <c r="SV27" s="90">
        <f t="shared" ca="1" si="527"/>
        <v>15.505000553391934</v>
      </c>
      <c r="SW27" s="90">
        <f t="shared" ca="1" si="528"/>
        <v>343.61282744902428</v>
      </c>
      <c r="SX27" s="90">
        <f t="shared" ca="1" si="529"/>
        <v>21.605250037257143</v>
      </c>
      <c r="SY27" s="90">
        <f t="shared" ca="1" si="530"/>
        <v>251.28261641021899</v>
      </c>
      <c r="SZ27" s="90">
        <f t="shared" ca="1" si="531"/>
        <v>41.875647643752409</v>
      </c>
      <c r="TA27" s="90">
        <f t="shared" ca="1" si="532"/>
        <v>199.63687355077556</v>
      </c>
      <c r="TB27" s="90">
        <f t="shared" ca="1" si="533"/>
        <v>104.94403961153436</v>
      </c>
      <c r="TC27" s="90">
        <f t="shared" ca="1" si="534"/>
        <v>59.971194287367545</v>
      </c>
      <c r="TD27" s="90">
        <f t="shared" ca="1" si="535"/>
        <v>1168.2693453843151</v>
      </c>
      <c r="TE27" s="90">
        <f t="shared" ca="1" si="536"/>
        <v>72.357370895975663</v>
      </c>
      <c r="TF27" s="90">
        <f t="shared" ca="1" si="537"/>
        <v>1.7392963618805635</v>
      </c>
      <c r="TG27" s="90">
        <f t="shared" ca="1" si="538"/>
        <v>24.977045961307635</v>
      </c>
      <c r="TH27" s="90">
        <f t="shared" ca="1" si="539"/>
        <v>10.796728525561823</v>
      </c>
      <c r="TI27" s="90">
        <f t="shared" ca="1" si="540"/>
        <v>171.91700326112789</v>
      </c>
      <c r="TJ27" s="90">
        <f t="shared" ca="1" si="541"/>
        <v>136.11229896468086</v>
      </c>
      <c r="TK27" s="90">
        <f t="shared" ca="1" si="542"/>
        <v>3.511349411201504</v>
      </c>
      <c r="TL27" s="90">
        <f t="shared" ca="1" si="543"/>
        <v>18.211002914356413</v>
      </c>
      <c r="TM27" s="90">
        <f t="shared" ca="1" si="544"/>
        <v>-14.490550485401419</v>
      </c>
      <c r="TN27" s="90">
        <f t="shared" ca="1" si="545"/>
        <v>3.3731577538139828</v>
      </c>
      <c r="TO27" s="90">
        <f t="shared" ca="1" si="546"/>
        <v>79.86891731314094</v>
      </c>
      <c r="TP27" s="90">
        <f t="shared" ca="1" si="547"/>
        <v>80.189965080949747</v>
      </c>
      <c r="TQ27" s="90">
        <f t="shared" ca="1" si="548"/>
        <v>70.71583243675839</v>
      </c>
      <c r="TR27" s="90">
        <f t="shared" ca="1" si="549"/>
        <v>60.493606342720561</v>
      </c>
      <c r="TS27" s="90">
        <f t="shared" ca="1" si="550"/>
        <v>72.740467974705851</v>
      </c>
      <c r="TT27" s="90">
        <f t="shared" ca="1" si="551"/>
        <v>170.01304752929832</v>
      </c>
      <c r="TU27" s="90">
        <f t="shared" ca="1" si="552"/>
        <v>182.71501112642366</v>
      </c>
      <c r="TV27" s="90">
        <f t="shared" ca="1" si="553"/>
        <v>68.058676623284484</v>
      </c>
      <c r="TW27" s="90">
        <f t="shared" ca="1" si="554"/>
        <v>60.869323185212302</v>
      </c>
      <c r="TX27" s="90">
        <f t="shared" ca="1" si="555"/>
        <v>24.867440406066592</v>
      </c>
      <c r="TY27" s="90">
        <f t="shared" ca="1" si="556"/>
        <v>93.736645320257907</v>
      </c>
      <c r="TZ27" s="90">
        <f t="shared" ca="1" si="557"/>
        <v>-1.7254650518447059</v>
      </c>
      <c r="UA27" s="90">
        <f t="shared" ca="1" si="558"/>
        <v>32.06431086601976</v>
      </c>
      <c r="UB27" s="90">
        <f t="shared" ca="1" si="559"/>
        <v>22.662149790545332</v>
      </c>
      <c r="UC27" s="90">
        <f t="shared" ca="1" si="560"/>
        <v>127.50114116398798</v>
      </c>
      <c r="UD27" s="90">
        <f t="shared" ca="1" si="561"/>
        <v>509.034023561911</v>
      </c>
      <c r="UE27" s="90">
        <f t="shared" ca="1" si="562"/>
        <v>233.53420075175538</v>
      </c>
      <c r="UF27" s="90">
        <f t="shared" ca="1" si="563"/>
        <v>51.001020756040198</v>
      </c>
      <c r="UG27" s="90">
        <f t="shared" ca="1" si="564"/>
        <v>140.16463862340879</v>
      </c>
      <c r="UH27" s="90">
        <f t="shared" ca="1" si="565"/>
        <v>52.44111972221431</v>
      </c>
      <c r="UI27" s="90">
        <f t="shared" ca="1" si="566"/>
        <v>1127.7677948788298</v>
      </c>
      <c r="UJ27" s="90">
        <f t="shared" ca="1" si="567"/>
        <v>80.911010833939827</v>
      </c>
      <c r="UK27" s="90">
        <f t="shared" ca="1" si="568"/>
        <v>1.7536383732211069</v>
      </c>
      <c r="UL27" s="90">
        <f t="shared" ca="1" si="569"/>
        <v>19.802401398953837</v>
      </c>
      <c r="UM27" s="90">
        <f t="shared" ca="1" si="570"/>
        <v>19.900833180573109</v>
      </c>
      <c r="UN27" s="90">
        <f t="shared" ca="1" si="571"/>
        <v>84.615286607652408</v>
      </c>
      <c r="UO27" s="90">
        <f t="shared" ca="1" si="572"/>
        <v>141.53436110681747</v>
      </c>
      <c r="UP27" s="90">
        <f t="shared" ca="1" si="573"/>
        <v>75.583027976613636</v>
      </c>
      <c r="UQ27" s="90">
        <f t="shared" ca="1" si="574"/>
        <v>405.86196732934019</v>
      </c>
      <c r="UR27" s="90">
        <f t="shared" ca="1" si="575"/>
        <v>266.69356451827258</v>
      </c>
      <c r="US27" s="90">
        <f t="shared" ca="1" si="576"/>
        <v>354.76733409096045</v>
      </c>
      <c r="UT27" s="90">
        <f t="shared" ca="1" si="577"/>
        <v>57.11573629941482</v>
      </c>
      <c r="UU27" s="90">
        <f t="shared" ca="1" si="578"/>
        <v>1.9141869463148058</v>
      </c>
      <c r="UV27" s="90">
        <f t="shared" ca="1" si="579"/>
        <v>25.906566707330118</v>
      </c>
      <c r="UW27" s="90">
        <f t="shared" ca="1" si="580"/>
        <v>16.88381669103277</v>
      </c>
      <c r="UX27" s="90">
        <f t="shared" ca="1" si="581"/>
        <v>268.91763906282603</v>
      </c>
      <c r="UY27" s="90">
        <f t="shared" ca="1" si="582"/>
        <v>798.86434114842643</v>
      </c>
      <c r="UZ27" s="90">
        <f t="shared" ca="1" si="583"/>
        <v>1130.5863503333355</v>
      </c>
      <c r="VA27" s="90">
        <f t="shared" ca="1" si="584"/>
        <v>326.57900925071164</v>
      </c>
      <c r="VB27" s="90">
        <f t="shared" ca="1" si="585"/>
        <v>195.32838910511217</v>
      </c>
      <c r="VC27" s="90">
        <f t="shared" ca="1" si="586"/>
        <v>651.59231266440293</v>
      </c>
      <c r="VD27" s="90">
        <f t="shared" ca="1" si="587"/>
        <v>19.598652876664559</v>
      </c>
      <c r="VE27" s="90">
        <f t="shared" ca="1" si="588"/>
        <v>159.83680714511044</v>
      </c>
      <c r="VF27" s="90">
        <f t="shared" ca="1" si="589"/>
        <v>0.15422978055318287</v>
      </c>
      <c r="VG27" s="90">
        <f t="shared" ca="1" si="590"/>
        <v>191.81177461118588</v>
      </c>
      <c r="VH27" s="90">
        <f t="shared" ca="1" si="591"/>
        <v>4.133667455482807</v>
      </c>
      <c r="VI27" s="90">
        <f t="shared" ca="1" si="592"/>
        <v>32.282471154351626</v>
      </c>
      <c r="VJ27" s="90">
        <f t="shared" ca="1" si="593"/>
        <v>31.064987120225709</v>
      </c>
      <c r="VK27" s="90">
        <f t="shared" ca="1" si="594"/>
        <v>14.410240557395301</v>
      </c>
      <c r="VL27" s="90">
        <f t="shared" ca="1" si="595"/>
        <v>97.551342651349159</v>
      </c>
      <c r="VM27" s="90">
        <f t="shared" ca="1" si="596"/>
        <v>250.73818952125109</v>
      </c>
      <c r="VN27" s="90">
        <f t="shared" ca="1" si="597"/>
        <v>1095.8876712983786</v>
      </c>
      <c r="VO27" s="90">
        <f t="shared" ca="1" si="598"/>
        <v>15.840750952646436</v>
      </c>
      <c r="VP27" s="90">
        <f t="shared" ca="1" si="599"/>
        <v>6.0404459956334549</v>
      </c>
      <c r="VQ27" s="90">
        <f t="shared" ca="1" si="600"/>
        <v>159.92068956374271</v>
      </c>
      <c r="VR27" s="90">
        <f t="shared" ca="1" si="601"/>
        <v>11.910526699694222</v>
      </c>
      <c r="VS27" s="90">
        <f t="shared" ca="1" si="602"/>
        <v>18.56727382573531</v>
      </c>
      <c r="VT27" s="90">
        <f t="shared" ca="1" si="603"/>
        <v>28.832130627817609</v>
      </c>
      <c r="VU27" s="90">
        <f t="shared" ca="1" si="604"/>
        <v>-1.8707749974924079</v>
      </c>
      <c r="VV27" s="90">
        <f t="shared" ca="1" si="605"/>
        <v>17.024677935601868</v>
      </c>
      <c r="VW27" s="90">
        <f t="shared" ca="1" si="606"/>
        <v>70.953321044925573</v>
      </c>
      <c r="VX27" s="90">
        <f t="shared" ca="1" si="607"/>
        <v>400.6859553155391</v>
      </c>
      <c r="VY27" s="90">
        <f t="shared" ca="1" si="608"/>
        <v>26.516193922973585</v>
      </c>
      <c r="VZ27" s="90">
        <f t="shared" ca="1" si="609"/>
        <v>97.081078672096055</v>
      </c>
      <c r="WA27" s="90">
        <f t="shared" ca="1" si="610"/>
        <v>225.55678529520603</v>
      </c>
      <c r="WB27" s="90">
        <f t="shared" ca="1" si="611"/>
        <v>124.39846819948174</v>
      </c>
      <c r="WC27" s="90">
        <f t="shared" ca="1" si="612"/>
        <v>486.33310099845096</v>
      </c>
      <c r="WD27" s="90">
        <f t="shared" ca="1" si="613"/>
        <v>351.77190930620282</v>
      </c>
      <c r="WE27" s="90">
        <f t="shared" ca="1" si="614"/>
        <v>453.25027946046362</v>
      </c>
      <c r="WF27" s="90">
        <f t="shared" ca="1" si="615"/>
        <v>14.455308924666189</v>
      </c>
      <c r="WG27" s="90">
        <f t="shared" ca="1" si="616"/>
        <v>250.98328808572344</v>
      </c>
      <c r="WH27" s="90">
        <f t="shared" ca="1" si="617"/>
        <v>70.419707444081013</v>
      </c>
      <c r="WI27" s="90">
        <f t="shared" ca="1" si="618"/>
        <v>3.5338277598197294</v>
      </c>
      <c r="WJ27" s="90">
        <f t="shared" ca="1" si="619"/>
        <v>399.10005197287825</v>
      </c>
      <c r="WK27" s="90">
        <f t="shared" ca="1" si="620"/>
        <v>74.861430898527331</v>
      </c>
      <c r="WL27" s="90">
        <f t="shared" ca="1" si="621"/>
        <v>47.097939953695523</v>
      </c>
      <c r="WM27" s="90">
        <f t="shared" ca="1" si="622"/>
        <v>31.074418100259564</v>
      </c>
      <c r="WN27" s="90">
        <f t="shared" ca="1" si="623"/>
        <v>35.471167093142597</v>
      </c>
      <c r="WO27" s="90">
        <f t="shared" ca="1" si="624"/>
        <v>74.858453336780883</v>
      </c>
      <c r="WP27" s="90">
        <f t="shared" ca="1" si="625"/>
        <v>180.2642726263943</v>
      </c>
      <c r="WQ27" s="90">
        <f t="shared" ca="1" si="626"/>
        <v>36.709966511227286</v>
      </c>
      <c r="WR27" s="90">
        <f t="shared" ca="1" si="627"/>
        <v>35.591170098356827</v>
      </c>
      <c r="WS27" s="90">
        <f t="shared" ca="1" si="628"/>
        <v>0.91795473279221518</v>
      </c>
      <c r="WT27" s="90">
        <f t="shared" ca="1" si="629"/>
        <v>33.949431917873326</v>
      </c>
      <c r="WU27" s="90">
        <f t="shared" ca="1" si="630"/>
        <v>29.244720203355197</v>
      </c>
      <c r="WV27" s="90">
        <f t="shared" ca="1" si="631"/>
        <v>855.98554839623273</v>
      </c>
      <c r="WW27" s="90">
        <f t="shared" ca="1" si="632"/>
        <v>129.86838149786337</v>
      </c>
      <c r="WX27" s="90">
        <f t="shared" ca="1" si="633"/>
        <v>555.09281046815772</v>
      </c>
      <c r="WY27" s="90">
        <f t="shared" ca="1" si="634"/>
        <v>623.62103750367612</v>
      </c>
      <c r="WZ27" s="90">
        <f t="shared" ca="1" si="635"/>
        <v>28.89894693147642</v>
      </c>
      <c r="XA27" s="90">
        <f t="shared" ca="1" si="636"/>
        <v>403.21828955307853</v>
      </c>
      <c r="XB27" s="90">
        <f t="shared" ca="1" si="637"/>
        <v>7.729294091858848</v>
      </c>
      <c r="XC27" s="90">
        <f t="shared" ca="1" si="638"/>
        <v>124.76211989553433</v>
      </c>
      <c r="XD27" s="90">
        <f t="shared" ca="1" si="639"/>
        <v>42.29561475901366</v>
      </c>
      <c r="XE27" s="90">
        <f t="shared" ca="1" si="640"/>
        <v>172.5895856283359</v>
      </c>
      <c r="XF27" s="90">
        <f t="shared" ca="1" si="641"/>
        <v>11.277820581600379</v>
      </c>
      <c r="XG27" s="90">
        <f t="shared" ca="1" si="642"/>
        <v>722.78349076758934</v>
      </c>
      <c r="XH27" s="90">
        <f t="shared" ca="1" si="643"/>
        <v>78.457961660343969</v>
      </c>
      <c r="XI27" s="90">
        <f t="shared" ca="1" si="644"/>
        <v>30.288744508503182</v>
      </c>
      <c r="XJ27" s="90">
        <f t="shared" ca="1" si="645"/>
        <v>2.4917955525942683</v>
      </c>
      <c r="XK27" s="90">
        <f t="shared" ca="1" si="646"/>
        <v>49.298749137129356</v>
      </c>
      <c r="XL27" s="90">
        <f t="shared" ca="1" si="647"/>
        <v>98.165368647080257</v>
      </c>
      <c r="XM27" s="90">
        <f t="shared" ca="1" si="648"/>
        <v>5.0621645392141366</v>
      </c>
      <c r="XN27" s="90">
        <f t="shared" ca="1" si="649"/>
        <v>115.20096291495759</v>
      </c>
      <c r="XO27" s="90">
        <f t="shared" ca="1" si="650"/>
        <v>43.47505876984782</v>
      </c>
      <c r="XP27" s="90">
        <f t="shared" ca="1" si="651"/>
        <v>8.6446175664138831</v>
      </c>
      <c r="XQ27" s="90">
        <f t="shared" ca="1" si="652"/>
        <v>317.79987501838696</v>
      </c>
      <c r="XR27" s="90">
        <f t="shared" ca="1" si="653"/>
        <v>25.509511497597558</v>
      </c>
      <c r="XS27" s="90">
        <f t="shared" ca="1" si="654"/>
        <v>69.166604311027754</v>
      </c>
      <c r="XT27" s="90">
        <f t="shared" ca="1" si="655"/>
        <v>165.29653507532103</v>
      </c>
      <c r="XU27" s="90">
        <f t="shared" ca="1" si="656"/>
        <v>-15.552614119931492</v>
      </c>
      <c r="XV27" s="90">
        <f t="shared" ca="1" si="657"/>
        <v>0.11663253048220969</v>
      </c>
      <c r="XW27" s="90">
        <f t="shared" ca="1" si="658"/>
        <v>109.38665265107294</v>
      </c>
      <c r="XX27" s="90">
        <f t="shared" ca="1" si="659"/>
        <v>15.053398261225766</v>
      </c>
      <c r="XY27" s="90">
        <f t="shared" ca="1" si="660"/>
        <v>199.28418532664583</v>
      </c>
      <c r="XZ27" s="90">
        <f t="shared" ca="1" si="661"/>
        <v>91.148372371235041</v>
      </c>
      <c r="YA27" s="90">
        <f t="shared" ca="1" si="662"/>
        <v>175.89243168335992</v>
      </c>
      <c r="YB27" s="90">
        <f t="shared" ca="1" si="663"/>
        <v>415.10511175608298</v>
      </c>
      <c r="YC27" s="90">
        <f t="shared" ca="1" si="664"/>
        <v>117.3359369845915</v>
      </c>
      <c r="YD27" s="90">
        <f t="shared" ca="1" si="665"/>
        <v>-2.0394902507425368</v>
      </c>
      <c r="YE27" s="90">
        <f t="shared" ca="1" si="666"/>
        <v>308.51694888266871</v>
      </c>
      <c r="YF27" s="90">
        <f t="shared" ca="1" si="667"/>
        <v>4.0848804315489451</v>
      </c>
      <c r="YG27" s="90">
        <f t="shared" ca="1" si="668"/>
        <v>45.573974117118489</v>
      </c>
      <c r="YH27" s="90">
        <f t="shared" ca="1" si="669"/>
        <v>156.48673128772987</v>
      </c>
      <c r="YI27" s="90">
        <f t="shared" ca="1" si="670"/>
        <v>49.939647141326425</v>
      </c>
      <c r="YJ27" s="90">
        <f t="shared" ca="1" si="671"/>
        <v>22.418060192684369</v>
      </c>
      <c r="YK27" s="90">
        <f t="shared" ca="1" si="672"/>
        <v>263.94121081614975</v>
      </c>
      <c r="YL27" s="90">
        <f t="shared" ca="1" si="673"/>
        <v>172.75676082650855</v>
      </c>
      <c r="YM27" s="90">
        <f t="shared" ca="1" si="674"/>
        <v>17.787461978979049</v>
      </c>
      <c r="YN27" s="90">
        <f t="shared" ca="1" si="675"/>
        <v>57.517454795690107</v>
      </c>
      <c r="YO27" s="90">
        <f t="shared" ca="1" si="676"/>
        <v>14.055609780273475</v>
      </c>
      <c r="YP27" s="90">
        <f t="shared" ca="1" si="677"/>
        <v>269.46217280954642</v>
      </c>
      <c r="YQ27" s="90">
        <f t="shared" ca="1" si="678"/>
        <v>229.74862899088009</v>
      </c>
      <c r="YR27" s="90">
        <f t="shared" ca="1" si="679"/>
        <v>1.2803097505782299</v>
      </c>
      <c r="YS27" s="90">
        <f t="shared" ca="1" si="680"/>
        <v>362.34440789428442</v>
      </c>
      <c r="YT27" s="90">
        <f t="shared" ca="1" si="681"/>
        <v>124.7878061968438</v>
      </c>
      <c r="YU27" s="90">
        <f t="shared" ca="1" si="682"/>
        <v>252.98789195540903</v>
      </c>
      <c r="YV27" s="90">
        <f t="shared" ca="1" si="683"/>
        <v>46.516053698616858</v>
      </c>
      <c r="YW27" s="90">
        <f t="shared" ca="1" si="684"/>
        <v>23.086711803390557</v>
      </c>
      <c r="YX27" s="90">
        <f t="shared" ca="1" si="685"/>
        <v>32.592379369958117</v>
      </c>
      <c r="YY27" s="90">
        <f t="shared" ca="1" si="686"/>
        <v>19.462213379143847</v>
      </c>
      <c r="YZ27" s="90">
        <f t="shared" ca="1" si="687"/>
        <v>24.923742761081197</v>
      </c>
      <c r="ZA27" s="90">
        <f t="shared" ca="1" si="688"/>
        <v>33.337076439107243</v>
      </c>
      <c r="ZB27" s="90">
        <f t="shared" ca="1" si="689"/>
        <v>870.71461609294352</v>
      </c>
      <c r="ZC27" s="90">
        <f t="shared" ca="1" si="690"/>
        <v>99.137775449654043</v>
      </c>
      <c r="ZD27" s="90">
        <f t="shared" ca="1" si="691"/>
        <v>217.40475742741535</v>
      </c>
      <c r="ZE27" s="90">
        <f t="shared" ca="1" si="692"/>
        <v>4.7935099377516144</v>
      </c>
      <c r="ZF27" s="90">
        <f t="shared" ca="1" si="693"/>
        <v>24.328515400285585</v>
      </c>
      <c r="ZG27" s="90">
        <f t="shared" ca="1" si="694"/>
        <v>118.60469125289131</v>
      </c>
      <c r="ZH27" s="90">
        <f t="shared" ca="1" si="695"/>
        <v>1156.460443902846</v>
      </c>
      <c r="ZI27" s="90">
        <f t="shared" ca="1" si="696"/>
        <v>115.1713809122453</v>
      </c>
      <c r="ZJ27" s="90">
        <f t="shared" ca="1" si="697"/>
        <v>22.627033682907523</v>
      </c>
      <c r="ZK27" s="90">
        <f t="shared" ca="1" si="698"/>
        <v>52.945969711415501</v>
      </c>
      <c r="ZL27" s="90">
        <f t="shared" ca="1" si="699"/>
        <v>8.7286629535146822</v>
      </c>
      <c r="ZM27" s="90">
        <f t="shared" ca="1" si="700"/>
        <v>628.3945816965296</v>
      </c>
      <c r="ZN27" s="90">
        <f t="shared" ca="1" si="701"/>
        <v>10.306160079978602</v>
      </c>
      <c r="ZO27" s="90">
        <f t="shared" ca="1" si="702"/>
        <v>53.435125508901578</v>
      </c>
      <c r="ZP27" s="90">
        <f t="shared" ca="1" si="703"/>
        <v>42.492592692070275</v>
      </c>
      <c r="ZQ27" s="90">
        <f t="shared" ca="1" si="704"/>
        <v>20.994017353679798</v>
      </c>
      <c r="ZR27" s="90">
        <f t="shared" ca="1" si="705"/>
        <v>41.358153186985682</v>
      </c>
      <c r="ZS27" s="90">
        <f t="shared" ca="1" si="706"/>
        <v>62.479400939486176</v>
      </c>
      <c r="ZT27" s="90">
        <f t="shared" ca="1" si="707"/>
        <v>15.929775604581984</v>
      </c>
      <c r="ZU27" s="90">
        <f t="shared" ca="1" si="708"/>
        <v>16.112127525555426</v>
      </c>
      <c r="ZV27" s="90">
        <f t="shared" ca="1" si="709"/>
        <v>2155.2929702111542</v>
      </c>
      <c r="ZW27" s="90">
        <f t="shared" ca="1" si="710"/>
        <v>44.906062845502561</v>
      </c>
      <c r="ZX27" s="90">
        <f t="shared" ca="1" si="711"/>
        <v>149.7622918160086</v>
      </c>
      <c r="ZY27" s="90">
        <f t="shared" ca="1" si="712"/>
        <v>129.79736749964277</v>
      </c>
      <c r="ZZ27" s="90">
        <f t="shared" ca="1" si="713"/>
        <v>224.89620968493711</v>
      </c>
      <c r="AAA27" s="90">
        <f t="shared" ca="1" si="714"/>
        <v>158.17365662781262</v>
      </c>
      <c r="AAB27" s="90">
        <f t="shared" ca="1" si="715"/>
        <v>1.77801878505583</v>
      </c>
      <c r="AAC27" s="90">
        <f t="shared" ca="1" si="716"/>
        <v>81.760479640400177</v>
      </c>
      <c r="AAD27" s="90">
        <f t="shared" ca="1" si="717"/>
        <v>21.23293109894027</v>
      </c>
      <c r="AAE27" s="90">
        <f t="shared" ca="1" si="718"/>
        <v>69.666913070944844</v>
      </c>
      <c r="AAF27" s="90">
        <f t="shared" ca="1" si="719"/>
        <v>4.2207719608807945</v>
      </c>
      <c r="AAG27" s="90">
        <f t="shared" ca="1" si="720"/>
        <v>86.124042322002225</v>
      </c>
      <c r="AAH27" s="90">
        <f t="shared" ca="1" si="721"/>
        <v>38.140989075875012</v>
      </c>
      <c r="AAI27" s="90">
        <f t="shared" ca="1" si="722"/>
        <v>-0.86467337192689553</v>
      </c>
      <c r="AAJ27" s="90">
        <f t="shared" ca="1" si="723"/>
        <v>102.62643286014082</v>
      </c>
      <c r="AAK27" s="90">
        <f t="shared" ca="1" si="724"/>
        <v>438.41720574009645</v>
      </c>
      <c r="AAL27" s="90">
        <f t="shared" ca="1" si="725"/>
        <v>258.49445474597212</v>
      </c>
      <c r="AAM27" s="90">
        <f t="shared" ca="1" si="726"/>
        <v>286.48441521083447</v>
      </c>
      <c r="AAN27" s="90">
        <f t="shared" ca="1" si="727"/>
        <v>69.422122971704397</v>
      </c>
      <c r="AAO27" s="90">
        <f t="shared" ca="1" si="728"/>
        <v>90.037031399345906</v>
      </c>
      <c r="AAP27" s="90">
        <f t="shared" ca="1" si="729"/>
        <v>639.88097925697332</v>
      </c>
      <c r="AAQ27" s="90">
        <f t="shared" ca="1" si="730"/>
        <v>46.002615512831376</v>
      </c>
      <c r="AAR27" s="90">
        <f t="shared" ca="1" si="731"/>
        <v>12.178180155621927</v>
      </c>
      <c r="AAS27" s="90">
        <f t="shared" ca="1" si="732"/>
        <v>73.241466451998221</v>
      </c>
      <c r="AAT27" s="90">
        <f t="shared" ca="1" si="733"/>
        <v>597.60597182443485</v>
      </c>
      <c r="AAU27" s="90">
        <f t="shared" ca="1" si="734"/>
        <v>-5.2344248098114843</v>
      </c>
      <c r="AAV27" s="90">
        <f t="shared" ca="1" si="735"/>
        <v>154.88570765774443</v>
      </c>
      <c r="AAW27" s="90">
        <f t="shared" ca="1" si="736"/>
        <v>225.86364857034926</v>
      </c>
      <c r="AAX27" s="90">
        <f t="shared" ca="1" si="737"/>
        <v>318.9709293353921</v>
      </c>
      <c r="AAY27" s="90">
        <f t="shared" ca="1" si="738"/>
        <v>114.80515501607798</v>
      </c>
      <c r="AAZ27" s="90">
        <f t="shared" ca="1" si="739"/>
        <v>22.849810532990492</v>
      </c>
      <c r="ABA27" s="90">
        <f t="shared" ca="1" si="740"/>
        <v>70.249647085778335</v>
      </c>
      <c r="ABB27" s="90">
        <f t="shared" ca="1" si="741"/>
        <v>46.863959289593481</v>
      </c>
      <c r="ABC27" s="90">
        <f t="shared" ca="1" si="742"/>
        <v>647.74542765448734</v>
      </c>
      <c r="ABD27" s="90">
        <f t="shared" ca="1" si="743"/>
        <v>242.31743160639965</v>
      </c>
      <c r="ABE27" s="90">
        <f t="shared" ca="1" si="744"/>
        <v>349.96783301994748</v>
      </c>
      <c r="ABF27" s="90">
        <f t="shared" ca="1" si="745"/>
        <v>53.629963476620055</v>
      </c>
      <c r="ABG27" s="90">
        <f t="shared" ca="1" si="746"/>
        <v>22.506334777460012</v>
      </c>
      <c r="ABH27" s="90">
        <f t="shared" ca="1" si="747"/>
        <v>110.39446014788945</v>
      </c>
      <c r="ABI27" s="90">
        <f t="shared" ca="1" si="748"/>
        <v>35.026091032167848</v>
      </c>
      <c r="ABJ27" s="90">
        <f t="shared" ca="1" si="749"/>
        <v>57.825648836681204</v>
      </c>
      <c r="ABK27" s="90">
        <f t="shared" ca="1" si="750"/>
        <v>33.639952854870302</v>
      </c>
      <c r="ABL27" s="90">
        <f t="shared" ca="1" si="751"/>
        <v>592.10812628434974</v>
      </c>
      <c r="ABM27" s="90">
        <f t="shared" ca="1" si="752"/>
        <v>156.8538033540917</v>
      </c>
      <c r="ABN27" s="90">
        <f t="shared" ca="1" si="753"/>
        <v>49.079953254840774</v>
      </c>
      <c r="ABO27" s="90">
        <f t="shared" ca="1" si="754"/>
        <v>37.836146508856679</v>
      </c>
      <c r="ABP27" s="90">
        <f t="shared" ca="1" si="755"/>
        <v>87.801875305837015</v>
      </c>
      <c r="ABQ27" s="90">
        <f t="shared" ca="1" si="756"/>
        <v>16.986289543062515</v>
      </c>
      <c r="ABR27" s="90">
        <f t="shared" ca="1" si="757"/>
        <v>136.26632683108528</v>
      </c>
      <c r="ABS27" s="90">
        <f t="shared" ca="1" si="758"/>
        <v>171.01661403292698</v>
      </c>
      <c r="ABT27" s="90">
        <f t="shared" ca="1" si="759"/>
        <v>2.3287236213092899</v>
      </c>
      <c r="ABU27" s="90">
        <f t="shared" ca="1" si="760"/>
        <v>21.489812872982558</v>
      </c>
      <c r="ABV27" s="90">
        <f t="shared" ca="1" si="761"/>
        <v>55.963212889461786</v>
      </c>
      <c r="ABW27" s="90">
        <f t="shared" ca="1" si="762"/>
        <v>7.1217509008136961</v>
      </c>
      <c r="ABX27" s="90">
        <f t="shared" ca="1" si="763"/>
        <v>25.387449972553462</v>
      </c>
      <c r="ABY27" s="90">
        <f t="shared" ca="1" si="764"/>
        <v>59.542843869054643</v>
      </c>
      <c r="ABZ27" s="90">
        <f t="shared" ca="1" si="765"/>
        <v>91.929873450908431</v>
      </c>
      <c r="ACA27" s="90">
        <f t="shared" ca="1" si="766"/>
        <v>87.313240092147652</v>
      </c>
      <c r="ACB27" s="90">
        <f t="shared" ca="1" si="767"/>
        <v>13.446318518006795</v>
      </c>
      <c r="ACC27" s="90">
        <f t="shared" ca="1" si="768"/>
        <v>10.910601510513333</v>
      </c>
      <c r="ACD27" s="90">
        <f t="shared" ca="1" si="769"/>
        <v>618.50087883504489</v>
      </c>
      <c r="ACE27" s="90">
        <f t="shared" ca="1" si="770"/>
        <v>124.8503246685448</v>
      </c>
      <c r="ACF27" s="90">
        <f t="shared" ca="1" si="771"/>
        <v>8.1170666712196855</v>
      </c>
      <c r="ACG27" s="90">
        <f t="shared" ca="1" si="772"/>
        <v>235.43927782281384</v>
      </c>
      <c r="ACH27" s="90">
        <f t="shared" ca="1" si="773"/>
        <v>495.63491218571625</v>
      </c>
      <c r="ACI27" s="90">
        <f t="shared" ca="1" si="774"/>
        <v>8.744670292174483</v>
      </c>
      <c r="ACJ27" s="90">
        <f t="shared" ca="1" si="775"/>
        <v>47.519097372426181</v>
      </c>
      <c r="ACK27" s="90">
        <f t="shared" ca="1" si="776"/>
        <v>200.70197155302827</v>
      </c>
      <c r="ACL27" s="90">
        <f t="shared" ca="1" si="777"/>
        <v>591.47942947902629</v>
      </c>
      <c r="ACM27" s="90">
        <f t="shared" ca="1" si="778"/>
        <v>204.18368867810668</v>
      </c>
      <c r="ACN27" s="90">
        <f t="shared" ca="1" si="779"/>
        <v>-2.1370839228832068</v>
      </c>
      <c r="ACO27" s="90">
        <f t="shared" ca="1" si="780"/>
        <v>93.516757184080447</v>
      </c>
      <c r="ACP27" s="90">
        <f t="shared" ca="1" si="781"/>
        <v>294.17085401011741</v>
      </c>
      <c r="ACQ27" s="90">
        <f t="shared" ca="1" si="782"/>
        <v>48.853563282607361</v>
      </c>
      <c r="ACR27" s="90">
        <f t="shared" ca="1" si="783"/>
        <v>15.83723172399843</v>
      </c>
      <c r="ACS27" s="90">
        <f t="shared" ca="1" si="784"/>
        <v>61.969072909912647</v>
      </c>
      <c r="ACT27" s="90">
        <f t="shared" ca="1" si="785"/>
        <v>127.36252870104316</v>
      </c>
      <c r="ACU27" s="90">
        <f t="shared" ca="1" si="786"/>
        <v>84.001514019503077</v>
      </c>
      <c r="ACV27" s="90">
        <f t="shared" ca="1" si="787"/>
        <v>817.25003778584016</v>
      </c>
      <c r="ACW27" s="90">
        <f t="shared" ca="1" si="788"/>
        <v>202.74627570580583</v>
      </c>
      <c r="ACX27" s="90">
        <f t="shared" ca="1" si="789"/>
        <v>10.628580143203529</v>
      </c>
      <c r="ACY27" s="90">
        <f t="shared" ca="1" si="790"/>
        <v>127.62173007146247</v>
      </c>
      <c r="ACZ27" s="90">
        <f t="shared" ca="1" si="791"/>
        <v>9.805145617412272</v>
      </c>
      <c r="ADA27" s="90">
        <f t="shared" ca="1" si="792"/>
        <v>107.84920225325294</v>
      </c>
      <c r="ADB27" s="90">
        <f t="shared" ca="1" si="793"/>
        <v>465.54761587529583</v>
      </c>
      <c r="ADC27" s="90">
        <f t="shared" ca="1" si="794"/>
        <v>178.65938243266572</v>
      </c>
      <c r="ADD27" s="90">
        <f t="shared" ca="1" si="795"/>
        <v>134.51324040358</v>
      </c>
      <c r="ADE27" s="90">
        <f t="shared" ca="1" si="796"/>
        <v>-0.27192514069917711</v>
      </c>
      <c r="ADF27" s="90">
        <f t="shared" ca="1" si="797"/>
        <v>85.571563760884985</v>
      </c>
      <c r="ADG27" s="90">
        <f t="shared" ca="1" si="798"/>
        <v>40.246115744020884</v>
      </c>
      <c r="ADH27" s="90">
        <f t="shared" ca="1" si="799"/>
        <v>139.30689957274154</v>
      </c>
      <c r="ADI27" s="90">
        <f t="shared" ca="1" si="800"/>
        <v>129.60780385017119</v>
      </c>
      <c r="ADJ27" s="90">
        <f t="shared" ca="1" si="801"/>
        <v>46.241137273410615</v>
      </c>
      <c r="ADK27" s="90">
        <f t="shared" ca="1" si="802"/>
        <v>593.32733274176883</v>
      </c>
      <c r="ADL27" s="90">
        <f t="shared" ca="1" si="803"/>
        <v>40.76626472530215</v>
      </c>
      <c r="ADM27" s="90">
        <f t="shared" ca="1" si="804"/>
        <v>70.908012606942037</v>
      </c>
      <c r="ADN27" s="90">
        <f t="shared" ca="1" si="805"/>
        <v>14.456828664476733</v>
      </c>
      <c r="ADO27" s="90">
        <f t="shared" ca="1" si="806"/>
        <v>118.32492630759084</v>
      </c>
      <c r="ADP27" s="90">
        <f t="shared" ca="1" si="807"/>
        <v>233.25147126575183</v>
      </c>
      <c r="ADQ27" s="90">
        <f t="shared" ca="1" si="808"/>
        <v>699.06561015479588</v>
      </c>
      <c r="ADR27" s="90">
        <f t="shared" ca="1" si="809"/>
        <v>1567.6839069763198</v>
      </c>
      <c r="ADS27" s="90">
        <f t="shared" ca="1" si="810"/>
        <v>163.71612828905987</v>
      </c>
      <c r="ADT27" s="90">
        <f t="shared" ca="1" si="811"/>
        <v>66.76214254846839</v>
      </c>
      <c r="ADU27" s="90">
        <f t="shared" ca="1" si="812"/>
        <v>30.402333778783401</v>
      </c>
      <c r="ADV27" s="90">
        <f t="shared" ca="1" si="813"/>
        <v>8.7069943329432409</v>
      </c>
      <c r="ADW27" s="90">
        <f t="shared" ca="1" si="814"/>
        <v>-2.785542642523656</v>
      </c>
      <c r="ADX27" s="90">
        <f t="shared" ca="1" si="815"/>
        <v>162.00481914056289</v>
      </c>
      <c r="ADY27" s="90">
        <f t="shared" ca="1" si="816"/>
        <v>5.6884936444535361</v>
      </c>
      <c r="ADZ27" s="90">
        <f t="shared" ca="1" si="817"/>
        <v>129.26516045431518</v>
      </c>
      <c r="AEA27" s="90">
        <f t="shared" ca="1" si="818"/>
        <v>42.788645447875396</v>
      </c>
      <c r="AEB27" s="90">
        <f t="shared" ca="1" si="819"/>
        <v>2.2941299621435438</v>
      </c>
      <c r="AEC27" s="90">
        <f t="shared" ca="1" si="820"/>
        <v>572.92790530291347</v>
      </c>
      <c r="AED27" s="90">
        <f t="shared" ca="1" si="821"/>
        <v>17.156611216442229</v>
      </c>
      <c r="AEE27" s="90">
        <f t="shared" ca="1" si="822"/>
        <v>223.86229721317557</v>
      </c>
      <c r="AEF27" s="90">
        <f t="shared" ca="1" si="823"/>
        <v>24.739860790607999</v>
      </c>
      <c r="AEG27" s="90">
        <f t="shared" ca="1" si="824"/>
        <v>224.72499249455058</v>
      </c>
      <c r="AEH27" s="90">
        <f t="shared" ca="1" si="825"/>
        <v>500.29448842806312</v>
      </c>
      <c r="AEI27" s="90">
        <f t="shared" ca="1" si="826"/>
        <v>14.569081549440014</v>
      </c>
      <c r="AEJ27" s="90">
        <f t="shared" ca="1" si="827"/>
        <v>49.050972233355168</v>
      </c>
      <c r="AEK27" s="90">
        <f t="shared" ca="1" si="828"/>
        <v>36.187962330327963</v>
      </c>
      <c r="AEL27" s="90">
        <f t="shared" ca="1" si="829"/>
        <v>10.414694260970856</v>
      </c>
      <c r="AEM27" s="90">
        <f t="shared" ca="1" si="830"/>
        <v>178.72253928584425</v>
      </c>
      <c r="AEN27" s="90">
        <f t="shared" ca="1" si="831"/>
        <v>77.375083038078913</v>
      </c>
      <c r="AEO27" s="90">
        <f t="shared" ca="1" si="832"/>
        <v>187.72236280519627</v>
      </c>
      <c r="AEP27" s="90">
        <f t="shared" ca="1" si="833"/>
        <v>12.324426034291292</v>
      </c>
      <c r="AEQ27" s="90">
        <f t="shared" ca="1" si="834"/>
        <v>-0.73817691006006192</v>
      </c>
      <c r="AER27" s="90">
        <f t="shared" ca="1" si="835"/>
        <v>77.481208106515098</v>
      </c>
      <c r="AES27" s="90">
        <f t="shared" ca="1" si="836"/>
        <v>705.85013985499575</v>
      </c>
      <c r="AET27" s="90">
        <f t="shared" ca="1" si="837"/>
        <v>507.75339813555536</v>
      </c>
      <c r="AEU27" s="90">
        <f t="shared" ca="1" si="838"/>
        <v>94.024302315493728</v>
      </c>
      <c r="AEV27" s="90">
        <f t="shared" ca="1" si="839"/>
        <v>54.508935042834494</v>
      </c>
      <c r="AEW27" s="90">
        <f t="shared" ca="1" si="840"/>
        <v>177.69103480857856</v>
      </c>
      <c r="AEX27" s="90">
        <f t="shared" ca="1" si="841"/>
        <v>164.6643311237581</v>
      </c>
      <c r="AEY27" s="90">
        <f t="shared" ca="1" si="842"/>
        <v>368.83749838665113</v>
      </c>
      <c r="AEZ27" s="90">
        <f t="shared" ca="1" si="843"/>
        <v>40.851869269286418</v>
      </c>
      <c r="AFA27" s="90">
        <f t="shared" ca="1" si="844"/>
        <v>136.83904520745563</v>
      </c>
      <c r="AFB27" s="90">
        <f t="shared" ca="1" si="845"/>
        <v>183.41464486480558</v>
      </c>
      <c r="AFC27" s="90">
        <f t="shared" ca="1" si="846"/>
        <v>23.376625700301279</v>
      </c>
      <c r="AFD27" s="90">
        <f t="shared" ca="1" si="847"/>
        <v>7.3604288929342294</v>
      </c>
      <c r="AFE27" s="90">
        <f t="shared" ca="1" si="848"/>
        <v>157.00553572468206</v>
      </c>
      <c r="AFF27" s="90">
        <f t="shared" ca="1" si="849"/>
        <v>103.59719258479738</v>
      </c>
      <c r="AFG27" s="90">
        <f t="shared" ca="1" si="850"/>
        <v>54.033808220170165</v>
      </c>
      <c r="AFH27" s="90">
        <f t="shared" ca="1" si="851"/>
        <v>29.091596912640629</v>
      </c>
      <c r="AFI27" s="90">
        <f t="shared" ca="1" si="852"/>
        <v>71.329717323815998</v>
      </c>
      <c r="AFJ27" s="90">
        <f t="shared" ca="1" si="853"/>
        <v>177.36001941447208</v>
      </c>
      <c r="AFK27" s="90">
        <f t="shared" ca="1" si="854"/>
        <v>25.826895837922134</v>
      </c>
      <c r="AFL27" s="90">
        <f t="shared" ca="1" si="855"/>
        <v>14.850402168798706</v>
      </c>
      <c r="AFM27" s="90">
        <f t="shared" ca="1" si="856"/>
        <v>250.73610939379213</v>
      </c>
      <c r="AFN27" s="90">
        <f t="shared" ca="1" si="857"/>
        <v>32.89203363761991</v>
      </c>
      <c r="AFO27" s="90">
        <f t="shared" ca="1" si="858"/>
        <v>51.076656459767726</v>
      </c>
      <c r="AFP27" s="90">
        <f t="shared" ca="1" si="859"/>
        <v>60.393379750532972</v>
      </c>
      <c r="AFQ27" s="90">
        <f t="shared" ca="1" si="860"/>
        <v>282.2099310009728</v>
      </c>
      <c r="AFR27" s="90">
        <f t="shared" ca="1" si="861"/>
        <v>41.982513076141949</v>
      </c>
      <c r="AFS27" s="90">
        <f t="shared" ca="1" si="862"/>
        <v>172.11162659895814</v>
      </c>
      <c r="AFT27" s="90">
        <f t="shared" ca="1" si="863"/>
        <v>73.6833525022369</v>
      </c>
      <c r="AFU27" s="90">
        <f t="shared" ca="1" si="864"/>
        <v>-11.04832899541611</v>
      </c>
      <c r="AFV27" s="90">
        <f t="shared" ca="1" si="865"/>
        <v>34.5467185126641</v>
      </c>
      <c r="AFW27" s="90">
        <f t="shared" ca="1" si="866"/>
        <v>397.56888143225751</v>
      </c>
      <c r="AFX27" s="90">
        <f t="shared" ca="1" si="867"/>
        <v>247.86657194956646</v>
      </c>
      <c r="AFY27" s="90">
        <f t="shared" ca="1" si="868"/>
        <v>6.4092729119104996</v>
      </c>
      <c r="AFZ27" s="90">
        <f t="shared" ca="1" si="869"/>
        <v>54.719658404272408</v>
      </c>
      <c r="AGA27" s="90">
        <f t="shared" ca="1" si="870"/>
        <v>125.91064343285696</v>
      </c>
      <c r="AGB27" s="90">
        <f t="shared" ca="1" si="871"/>
        <v>73.332163512123685</v>
      </c>
      <c r="AGC27" s="90">
        <f t="shared" ca="1" si="872"/>
        <v>-5.7063930691215248</v>
      </c>
      <c r="AGD27" s="90">
        <f t="shared" ca="1" si="873"/>
        <v>61.12879683178582</v>
      </c>
      <c r="AGE27" s="90">
        <f t="shared" ca="1" si="874"/>
        <v>13.638395961172851</v>
      </c>
      <c r="AGF27" s="90">
        <f t="shared" ca="1" si="875"/>
        <v>98.326548908527897</v>
      </c>
      <c r="AGG27" s="90">
        <f t="shared" ca="1" si="876"/>
        <v>5.4037074865762804</v>
      </c>
      <c r="AGH27" s="90">
        <f t="shared" ca="1" si="877"/>
        <v>28.443865959089976</v>
      </c>
      <c r="AGI27" s="90">
        <f t="shared" ca="1" si="878"/>
        <v>65.90530845740993</v>
      </c>
      <c r="AGJ27" s="90">
        <f t="shared" ca="1" si="879"/>
        <v>79.579702449704428</v>
      </c>
      <c r="AGK27" s="90">
        <f t="shared" ca="1" si="880"/>
        <v>14.414117361302601</v>
      </c>
      <c r="AGL27" s="90">
        <f t="shared" ca="1" si="881"/>
        <v>301.7165259051223</v>
      </c>
      <c r="AGM27" s="90">
        <f t="shared" ca="1" si="882"/>
        <v>147.75242304896975</v>
      </c>
      <c r="AGN27" s="90">
        <f t="shared" ca="1" si="883"/>
        <v>72.385210301567781</v>
      </c>
      <c r="AGO27" s="90">
        <f t="shared" ca="1" si="884"/>
        <v>300.61559222782506</v>
      </c>
      <c r="AGP27" s="90">
        <f t="shared" ca="1" si="885"/>
        <v>13.142338522730743</v>
      </c>
      <c r="AGQ27" s="90">
        <f t="shared" ca="1" si="886"/>
        <v>186.56951995666785</v>
      </c>
      <c r="AGR27" s="90">
        <f t="shared" ca="1" si="887"/>
        <v>35.962368165312157</v>
      </c>
      <c r="AGS27" s="90">
        <f t="shared" ca="1" si="888"/>
        <v>190.49836385018008</v>
      </c>
      <c r="AGT27" s="90">
        <f t="shared" ca="1" si="889"/>
        <v>106.04755335206141</v>
      </c>
      <c r="AGU27" s="90">
        <f t="shared" ca="1" si="890"/>
        <v>83.837789841059262</v>
      </c>
      <c r="AGV27" s="90">
        <f t="shared" ca="1" si="891"/>
        <v>46.761566979066551</v>
      </c>
      <c r="AGW27" s="90">
        <f t="shared" ca="1" si="892"/>
        <v>539.88959408321273</v>
      </c>
      <c r="AGX27" s="90">
        <f t="shared" ca="1" si="893"/>
        <v>322.59297959868155</v>
      </c>
      <c r="AGY27" s="90">
        <f t="shared" ca="1" si="894"/>
        <v>47.628170966455535</v>
      </c>
      <c r="AGZ27" s="90">
        <f t="shared" ca="1" si="895"/>
        <v>30.481244255189793</v>
      </c>
      <c r="AHA27" s="90">
        <f t="shared" ca="1" si="896"/>
        <v>-68.586037445627113</v>
      </c>
      <c r="AHB27" s="90">
        <f t="shared" ca="1" si="897"/>
        <v>10.148642565269341</v>
      </c>
      <c r="AHC27" s="90">
        <f t="shared" ca="1" si="898"/>
        <v>205.58031017902925</v>
      </c>
      <c r="AHD27" s="90">
        <f t="shared" ca="1" si="899"/>
        <v>221.64244504692556</v>
      </c>
      <c r="AHE27" s="90">
        <f t="shared" ca="1" si="900"/>
        <v>123.17010962453429</v>
      </c>
      <c r="AHF27" s="90">
        <f t="shared" ca="1" si="901"/>
        <v>196.37170818612671</v>
      </c>
      <c r="AHG27" s="90">
        <f t="shared" ca="1" si="902"/>
        <v>171.5585471256569</v>
      </c>
      <c r="AHH27" s="90">
        <f t="shared" ca="1" si="903"/>
        <v>46.916450777100778</v>
      </c>
      <c r="AHI27" s="90">
        <f t="shared" ca="1" si="904"/>
        <v>20.983350978945463</v>
      </c>
      <c r="AHJ27" s="90">
        <f t="shared" ca="1" si="905"/>
        <v>262.79622795291425</v>
      </c>
      <c r="AHK27" s="90">
        <f t="shared" ca="1" si="906"/>
        <v>185.9609564667075</v>
      </c>
      <c r="AHL27" s="90">
        <f t="shared" ca="1" si="907"/>
        <v>15.358987045602179</v>
      </c>
      <c r="AHM27" s="90">
        <f t="shared" ca="1" si="908"/>
        <v>260.76587755814842</v>
      </c>
      <c r="AHN27" s="90">
        <f t="shared" ca="1" si="909"/>
        <v>132.98303619965378</v>
      </c>
      <c r="AHO27" s="90">
        <f t="shared" ca="1" si="910"/>
        <v>62.952490997630299</v>
      </c>
      <c r="AHP27" s="90">
        <f t="shared" ca="1" si="911"/>
        <v>16.113409061130319</v>
      </c>
      <c r="AHQ27" s="90">
        <f t="shared" ca="1" si="912"/>
        <v>316.52759613376031</v>
      </c>
      <c r="AHR27" s="90">
        <f t="shared" ca="1" si="913"/>
        <v>-2.2781703151926198</v>
      </c>
      <c r="AHS27" s="90">
        <f t="shared" ca="1" si="914"/>
        <v>11.764476664957677</v>
      </c>
      <c r="AHT27" s="90">
        <f t="shared" ca="1" si="915"/>
        <v>83.428355133127624</v>
      </c>
      <c r="AHU27" s="90">
        <f t="shared" ca="1" si="916"/>
        <v>83.748004118224657</v>
      </c>
      <c r="AHV27" s="90">
        <f t="shared" ca="1" si="917"/>
        <v>91.738049098803288</v>
      </c>
      <c r="AHW27" s="90">
        <f t="shared" ca="1" si="918"/>
        <v>396.28627312413869</v>
      </c>
      <c r="AHX27" s="90">
        <f t="shared" ca="1" si="919"/>
        <v>60.163702767227321</v>
      </c>
      <c r="AHY27" s="90">
        <f t="shared" ca="1" si="920"/>
        <v>36.749662378769628</v>
      </c>
      <c r="AHZ27" s="90">
        <f t="shared" ca="1" si="921"/>
        <v>373.56503865688381</v>
      </c>
      <c r="AIA27" s="90">
        <f t="shared" ca="1" si="922"/>
        <v>65.602045938781785</v>
      </c>
      <c r="AIB27" s="90">
        <f t="shared" ca="1" si="923"/>
        <v>135.96620393137135</v>
      </c>
      <c r="AIC27" s="90">
        <f t="shared" ca="1" si="924"/>
        <v>302.97808405110726</v>
      </c>
      <c r="AID27" s="90">
        <f t="shared" ca="1" si="925"/>
        <v>227.8724121379025</v>
      </c>
      <c r="AIE27" s="90">
        <f t="shared" ca="1" si="926"/>
        <v>553.02763468810463</v>
      </c>
      <c r="AIF27" s="90">
        <f t="shared" ca="1" si="927"/>
        <v>322.65975505308194</v>
      </c>
      <c r="AIG27" s="90">
        <f t="shared" ca="1" si="928"/>
        <v>936.28369982921345</v>
      </c>
      <c r="AIH27" s="90">
        <f t="shared" ca="1" si="929"/>
        <v>88.119638217756204</v>
      </c>
      <c r="AII27" s="90">
        <f t="shared" ca="1" si="930"/>
        <v>77.393446767522448</v>
      </c>
      <c r="AIJ27" s="90">
        <f t="shared" ca="1" si="931"/>
        <v>23.575791654435371</v>
      </c>
      <c r="AIK27" s="90">
        <f t="shared" ca="1" si="932"/>
        <v>17.073400066580223</v>
      </c>
      <c r="AIL27" s="90">
        <f t="shared" ca="1" si="933"/>
        <v>70.532460304678352</v>
      </c>
      <c r="AIM27" s="90">
        <f t="shared" ca="1" si="934"/>
        <v>247.40333312604147</v>
      </c>
      <c r="AIN27" s="90">
        <f t="shared" ca="1" si="935"/>
        <v>20.459883577938776</v>
      </c>
      <c r="AIO27" s="90">
        <f t="shared" ca="1" si="936"/>
        <v>4.4836843926548768</v>
      </c>
      <c r="AIP27" s="90">
        <f t="shared" ca="1" si="937"/>
        <v>48.344080041547471</v>
      </c>
      <c r="AIQ27" s="90">
        <f t="shared" ca="1" si="938"/>
        <v>-0.63509870068569696</v>
      </c>
      <c r="AIR27" s="90">
        <f t="shared" ca="1" si="939"/>
        <v>13.940891547771717</v>
      </c>
      <c r="AIS27" s="90">
        <f t="shared" ca="1" si="940"/>
        <v>6.0421979005608408</v>
      </c>
      <c r="AIT27" s="90">
        <f t="shared" ca="1" si="941"/>
        <v>224.629684897918</v>
      </c>
      <c r="AIU27" s="90">
        <f t="shared" ca="1" si="942"/>
        <v>72.19968064458628</v>
      </c>
      <c r="AIV27" s="90">
        <f t="shared" ca="1" si="943"/>
        <v>337.70190794043862</v>
      </c>
      <c r="AIW27" s="90">
        <f t="shared" ca="1" si="944"/>
        <v>148.1909933954604</v>
      </c>
      <c r="AIX27" s="90">
        <f t="shared" ca="1" si="945"/>
        <v>14.535514663718814</v>
      </c>
      <c r="AIY27" s="90">
        <f t="shared" ca="1" si="946"/>
        <v>120.97511690921222</v>
      </c>
      <c r="AIZ27" s="90">
        <f t="shared" ca="1" si="947"/>
        <v>109.96430336452526</v>
      </c>
      <c r="AJA27" s="90">
        <f t="shared" ca="1" si="948"/>
        <v>929.22762109135317</v>
      </c>
      <c r="AJB27" s="90">
        <f t="shared" ca="1" si="949"/>
        <v>10.693561672273571</v>
      </c>
      <c r="AJC27" s="90">
        <f t="shared" ca="1" si="950"/>
        <v>-1.1100913315298624</v>
      </c>
      <c r="AJD27" s="90">
        <f t="shared" ca="1" si="951"/>
        <v>55.788189582889956</v>
      </c>
      <c r="AJE27" s="90">
        <f t="shared" ca="1" si="952"/>
        <v>70.596291472326314</v>
      </c>
      <c r="AJF27" s="90">
        <f t="shared" ca="1" si="953"/>
        <v>61.573588639412442</v>
      </c>
      <c r="AJG27" s="90">
        <f t="shared" ca="1" si="954"/>
        <v>45.423271978028275</v>
      </c>
      <c r="AJH27" s="90">
        <f t="shared" ca="1" si="955"/>
        <v>7.8892447020604184</v>
      </c>
      <c r="AJI27" s="90">
        <f t="shared" ca="1" si="956"/>
        <v>99.40408153422959</v>
      </c>
      <c r="AJJ27" s="90">
        <f t="shared" ca="1" si="957"/>
        <v>126.83199029380178</v>
      </c>
      <c r="AJK27" s="90">
        <f t="shared" ca="1" si="958"/>
        <v>48.070665111236359</v>
      </c>
      <c r="AJL27" s="90">
        <f t="shared" ca="1" si="959"/>
        <v>42.218344261332284</v>
      </c>
      <c r="AJM27" s="90">
        <f t="shared" ca="1" si="960"/>
        <v>1095.860535744632</v>
      </c>
      <c r="AJN27" s="90">
        <f t="shared" ca="1" si="961"/>
        <v>80.938345738496267</v>
      </c>
      <c r="AJO27" s="90">
        <f t="shared" ca="1" si="962"/>
        <v>25.065730013722941</v>
      </c>
      <c r="AJP27" s="90">
        <f t="shared" ca="1" si="963"/>
        <v>1761.6700540434269</v>
      </c>
      <c r="AJQ27" s="90">
        <f t="shared" ca="1" si="964"/>
        <v>77.136503178907347</v>
      </c>
      <c r="AJR27" s="90">
        <f t="shared" ca="1" si="965"/>
        <v>7.1158418966993962</v>
      </c>
      <c r="AJS27" s="90">
        <f t="shared" ca="1" si="966"/>
        <v>127.47384156370924</v>
      </c>
      <c r="AJT27" s="90">
        <f t="shared" ca="1" si="967"/>
        <v>105.66925698727843</v>
      </c>
      <c r="AJU27" s="90">
        <f t="shared" ca="1" si="968"/>
        <v>18.524936144483863</v>
      </c>
      <c r="AJV27" s="90">
        <f t="shared" ca="1" si="969"/>
        <v>277.57174350691588</v>
      </c>
      <c r="AJW27" s="90">
        <f t="shared" ca="1" si="970"/>
        <v>187.94879437840186</v>
      </c>
      <c r="AJX27" s="90">
        <f t="shared" ca="1" si="971"/>
        <v>32.34755227778237</v>
      </c>
      <c r="AJY27" s="90">
        <f t="shared" ca="1" si="972"/>
        <v>3.91683270303256</v>
      </c>
      <c r="AJZ27" s="90">
        <f t="shared" ca="1" si="973"/>
        <v>91.48347623561051</v>
      </c>
      <c r="AKA27" s="90">
        <f t="shared" ca="1" si="974"/>
        <v>46.988785972916432</v>
      </c>
      <c r="AKB27" s="90">
        <f t="shared" ca="1" si="975"/>
        <v>160.04262753723441</v>
      </c>
      <c r="AKC27" s="90">
        <f t="shared" ca="1" si="976"/>
        <v>101.62304802457507</v>
      </c>
      <c r="AKD27" s="90">
        <f t="shared" ca="1" si="977"/>
        <v>132.72562883591206</v>
      </c>
      <c r="AKE27" s="90">
        <f t="shared" ca="1" si="978"/>
        <v>19.749699137060581</v>
      </c>
      <c r="AKF27" s="90">
        <f t="shared" ca="1" si="979"/>
        <v>206.16820618440914</v>
      </c>
      <c r="AKG27" s="90">
        <f t="shared" ca="1" si="980"/>
        <v>15.710844521037654</v>
      </c>
      <c r="AKH27" s="90">
        <f t="shared" ca="1" si="981"/>
        <v>21.492455259114241</v>
      </c>
      <c r="AKI27" s="90">
        <f t="shared" ca="1" si="982"/>
        <v>491.38755649179399</v>
      </c>
      <c r="AKJ27" s="90">
        <f t="shared" ca="1" si="983"/>
        <v>68.953909572339484</v>
      </c>
      <c r="AKK27" s="90">
        <f t="shared" ca="1" si="984"/>
        <v>27.159512306974843</v>
      </c>
      <c r="AKL27" s="90">
        <f t="shared" ca="1" si="985"/>
        <v>23.123487116591612</v>
      </c>
      <c r="AKM27" s="90">
        <f t="shared" ca="1" si="986"/>
        <v>191.76420724882374</v>
      </c>
      <c r="AKN27" s="90">
        <f t="shared" ca="1" si="987"/>
        <v>69.885352029468393</v>
      </c>
      <c r="AKO27" s="90">
        <f t="shared" ca="1" si="988"/>
        <v>66.357731153079044</v>
      </c>
      <c r="AKP27" s="90">
        <f t="shared" ca="1" si="989"/>
        <v>27.141782205049747</v>
      </c>
      <c r="AKQ27" s="90">
        <f t="shared" ca="1" si="990"/>
        <v>36.435873302040761</v>
      </c>
      <c r="AKR27" s="90">
        <f t="shared" ca="1" si="991"/>
        <v>21.812480565197983</v>
      </c>
      <c r="AKS27" s="90">
        <f t="shared" ca="1" si="992"/>
        <v>84.562352758873061</v>
      </c>
      <c r="AKT27" s="90">
        <f t="shared" ca="1" si="993"/>
        <v>361.65466870502854</v>
      </c>
      <c r="AKU27" s="90">
        <f t="shared" ca="1" si="994"/>
        <v>45.799868262838658</v>
      </c>
      <c r="AKV27" s="90">
        <f t="shared" ca="1" si="995"/>
        <v>26.231454621818035</v>
      </c>
      <c r="AKW27" s="90">
        <f t="shared" ca="1" si="996"/>
        <v>54.88663846907486</v>
      </c>
      <c r="AKX27" s="90">
        <f t="shared" ca="1" si="997"/>
        <v>255.26765388761942</v>
      </c>
      <c r="AKY27" s="90">
        <f t="shared" ca="1" si="998"/>
        <v>12.382917381878405</v>
      </c>
      <c r="AKZ27" s="90">
        <f t="shared" ca="1" si="999"/>
        <v>1046.4772369090228</v>
      </c>
      <c r="ALA27" s="90">
        <f t="shared" ca="1" si="1000"/>
        <v>187.60797148373348</v>
      </c>
      <c r="ALB27" s="90">
        <f t="shared" ca="1" si="1001"/>
        <v>52.101551976337511</v>
      </c>
      <c r="ALC27" s="90">
        <f t="shared" ca="1" si="1002"/>
        <v>674.83217331994399</v>
      </c>
      <c r="ALD27" s="90">
        <f t="shared" ca="1" si="1003"/>
        <v>1034.9196579501233</v>
      </c>
      <c r="ALE27" s="90">
        <f t="shared" ca="1" si="1004"/>
        <v>-5.1871867469021424</v>
      </c>
      <c r="ALF27" s="90">
        <f t="shared" ca="1" si="1005"/>
        <v>77.578187331920915</v>
      </c>
      <c r="ALG27" s="90">
        <f t="shared" ca="1" si="1006"/>
        <v>114.50539890594648</v>
      </c>
      <c r="ALH27" s="90">
        <f t="shared" ca="1" si="1007"/>
        <v>7.6594143898955105</v>
      </c>
      <c r="ALI27" s="90">
        <f t="shared" ca="1" si="1008"/>
        <v>5.5108992745304466</v>
      </c>
      <c r="ALJ27" s="90">
        <f t="shared" ca="1" si="1009"/>
        <v>277.16257374077611</v>
      </c>
      <c r="ALK27" s="90">
        <f t="shared" ca="1" si="1010"/>
        <v>-0.72659993389097199</v>
      </c>
      <c r="ALL27" s="90">
        <f t="shared" ca="1" si="1011"/>
        <v>69.154032575777137</v>
      </c>
      <c r="ALM27" s="90">
        <f t="shared" ca="1" si="1012"/>
        <v>16.082545791333285</v>
      </c>
      <c r="ALN27" s="90">
        <f t="shared" ca="1" si="1013"/>
        <v>25.620950213155758</v>
      </c>
      <c r="ALO27" s="90">
        <f t="shared" ca="1" si="1014"/>
        <v>-2.291543329698996</v>
      </c>
      <c r="ALP27" s="90">
        <f t="shared" ca="1" si="1015"/>
        <v>67.273989201124962</v>
      </c>
      <c r="ALQ27" s="90">
        <f t="shared" ca="1" si="1016"/>
        <v>40.244471168064983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STI Calculator</vt:lpstr>
      <vt:lpstr>Proration </vt:lpstr>
      <vt:lpstr>LTI Model- draft</vt:lpstr>
      <vt:lpstr>Board Presentation Ideas- 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Brown</dc:creator>
  <cp:lastModifiedBy>KAREY WONG</cp:lastModifiedBy>
  <dcterms:created xsi:type="dcterms:W3CDTF">2025-04-27T21:03:54Z</dcterms:created>
  <dcterms:modified xsi:type="dcterms:W3CDTF">2025-06-26T20:42:14Z</dcterms:modified>
</cp:coreProperties>
</file>