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F44E87DF-0128-4D7F-99BF-5A67DBBF84D8}" xr6:coauthVersionLast="47" xr6:coauthVersionMax="47" xr10:uidLastSave="{00000000-0000-0000-0000-000000000000}"/>
  <bookViews>
    <workbookView xWindow="1770" yWindow="2480" windowWidth="28800" windowHeight="15370" xr2:uid="{C89649B9-EB8C-4999-951B-939FDEA6F594}"/>
  </bookViews>
  <sheets>
    <sheet name="Short Term Incentive Calculator" sheetId="9" r:id="rId1"/>
    <sheet name="Look Up Table" sheetId="8" r:id="rId2"/>
  </sheets>
  <externalReferences>
    <externalReference r:id="rId3"/>
  </externalReferences>
  <definedNames>
    <definedName name="_xleta.MAX" hidden="1" xlm="1">#NAME?</definedName>
    <definedName name="_xleta.SUM" hidden="1" xlm="1">#NAME?</definedName>
    <definedName name="A">#REF!</definedName>
    <definedName name="ACB_X">#REF!</definedName>
    <definedName name="Actives">#REF!</definedName>
    <definedName name="Andrea">#REF!</definedName>
    <definedName name="Band">#REF!</definedName>
    <definedName name="Bands">#REF!</definedName>
    <definedName name="Changes">#REF!</definedName>
    <definedName name="CodeTitle">#REF!</definedName>
    <definedName name="country_codes">#REF!</definedName>
    <definedName name="country_codes_2">#REF!</definedName>
    <definedName name="DescriptionsMaster">#REF!</definedName>
    <definedName name="ds">#REF!</definedName>
    <definedName name="EBITDA" localSheetId="1">'Look Up Table'!$M$2:$N$28</definedName>
    <definedName name="EBITDA">#REF!</definedName>
    <definedName name="eComp">#REF!</definedName>
    <definedName name="error">#REF!</definedName>
    <definedName name="error_2">#REF!</definedName>
    <definedName name="Functions">#REF!</definedName>
    <definedName name="Ind.Leadership">#REF!</definedName>
    <definedName name="Juhl">#REF!</definedName>
    <definedName name="Leverage_L" localSheetId="1">'Look Up Table'!$M$7:$N$28</definedName>
    <definedName name="Leverage_L">#REF!</definedName>
    <definedName name="Leverage_M" localSheetId="1">'Look Up Table'!$M$6:$N$6</definedName>
    <definedName name="Leverage_M">#REF!</definedName>
    <definedName name="Matrix">#REF!</definedName>
    <definedName name="PD_SOURCE">#REF!</definedName>
    <definedName name="PDs">#REF!</definedName>
    <definedName name="PGContent_EN">#REF!</definedName>
    <definedName name="_xlnm.Print_Area" localSheetId="0">'Short Term Incentive Calculator'!$B$5:$K$36</definedName>
    <definedName name="Radford">#REF!</definedName>
    <definedName name="Radford2">#REF!</definedName>
    <definedName name="Reference">#REF!</definedName>
    <definedName name="ResultsTabular">#REF!</definedName>
    <definedName name="ResultsVars">#REF!</definedName>
    <definedName name="ResultVars">#REF!</definedName>
    <definedName name="Robert_Half2">#REF!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TestDataSource">#REF!</definedName>
    <definedName name="TestSource">#REF!</definedName>
    <definedName name="Titles">'[1]STI % Legend'!$B$6:$B$16</definedName>
    <definedName name="Z_C6FDA605_6424_4D37_B4C3_6A6126B6C2AB_.wvu.PrintArea" localSheetId="1">'Look Up Table'!$L$1:$O$29</definedName>
    <definedName name="Z_C6FDA605_6424_4D37_B4C3_6A6126B6C2AB_.wvu.PrintArea" localSheetId="0">'Short Term Incentive Calculator'!#REF!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9" l="1"/>
  <c r="E22" i="9"/>
  <c r="E20" i="9"/>
  <c r="G24" i="9"/>
  <c r="G22" i="9"/>
  <c r="G20" i="9"/>
  <c r="Q17" i="8" l="1"/>
  <c r="W4" i="9"/>
  <c r="W6" i="9"/>
  <c r="R6" i="9"/>
  <c r="R4" i="9"/>
  <c r="L22" i="8" l="1"/>
  <c r="I19" i="9" l="1"/>
  <c r="I26" i="9"/>
  <c r="B23" i="9"/>
  <c r="B17" i="9"/>
  <c r="M22" i="8"/>
  <c r="M23" i="8" s="1"/>
  <c r="R17" i="8"/>
  <c r="R18" i="8" s="1"/>
  <c r="E15" i="9"/>
  <c r="G15" i="9" s="1"/>
  <c r="H15" i="9" s="1"/>
  <c r="J8" i="9"/>
  <c r="J9" i="9" s="1"/>
  <c r="J10" i="9" s="1"/>
  <c r="E17" i="9"/>
  <c r="G17" i="9" s="1"/>
  <c r="H17" i="9" s="1"/>
  <c r="J7" i="8"/>
  <c r="I7" i="8"/>
  <c r="G7" i="8"/>
  <c r="J8" i="8"/>
  <c r="I8" i="8"/>
  <c r="G8" i="8"/>
  <c r="J9" i="8"/>
  <c r="I9" i="8"/>
  <c r="G9" i="8"/>
  <c r="J10" i="8"/>
  <c r="I10" i="8"/>
  <c r="G10" i="8"/>
  <c r="J11" i="8"/>
  <c r="I11" i="8"/>
  <c r="G11" i="8"/>
  <c r="J12" i="8"/>
  <c r="I12" i="8"/>
  <c r="G12" i="8"/>
  <c r="J13" i="8"/>
  <c r="I13" i="8"/>
  <c r="G13" i="8"/>
  <c r="J6" i="8"/>
  <c r="I6" i="8"/>
  <c r="G6" i="8"/>
  <c r="S27" i="8"/>
  <c r="S17" i="8"/>
  <c r="S7" i="8"/>
  <c r="N37" i="8"/>
  <c r="N7" i="8"/>
  <c r="N22" i="8"/>
  <c r="Q7" i="8"/>
  <c r="Q27" i="8"/>
  <c r="L37" i="8"/>
  <c r="L7" i="8"/>
  <c r="M21" i="8" l="1"/>
  <c r="M20" i="8" s="1"/>
  <c r="M19" i="8" s="1"/>
  <c r="B26" i="9"/>
  <c r="K19" i="9"/>
  <c r="J15" i="9"/>
  <c r="L15" i="9" s="1"/>
  <c r="J20" i="9"/>
  <c r="K20" i="9" s="1"/>
  <c r="J17" i="9"/>
  <c r="L17" i="9" s="1"/>
  <c r="J22" i="9"/>
  <c r="K22" i="9" s="1"/>
  <c r="J24" i="9"/>
  <c r="K24" i="9" s="1"/>
  <c r="R19" i="8"/>
  <c r="M24" i="8"/>
  <c r="R16" i="8"/>
  <c r="L20" i="9" l="1"/>
  <c r="L22" i="9"/>
  <c r="L24" i="9"/>
  <c r="K15" i="9"/>
  <c r="K17" i="9"/>
  <c r="M25" i="8"/>
  <c r="M18" i="8"/>
  <c r="R15" i="8"/>
  <c r="R20" i="8"/>
  <c r="K26" i="9" l="1"/>
  <c r="K29" i="9"/>
  <c r="K28" i="9"/>
  <c r="R14" i="8"/>
  <c r="M17" i="8"/>
  <c r="R21" i="8"/>
  <c r="M26" i="8"/>
  <c r="M16" i="8" l="1"/>
  <c r="M27" i="8"/>
  <c r="R13" i="8"/>
  <c r="R22" i="8"/>
  <c r="R23" i="8" l="1"/>
  <c r="M15" i="8"/>
  <c r="R12" i="8"/>
  <c r="M28" i="8"/>
  <c r="M14" i="8" l="1"/>
  <c r="M29" i="8"/>
  <c r="R11" i="8"/>
  <c r="R24" i="8"/>
  <c r="R10" i="8" l="1"/>
  <c r="M30" i="8"/>
  <c r="R25" i="8"/>
  <c r="M13" i="8"/>
  <c r="M31" i="8" l="1"/>
  <c r="M12" i="8"/>
  <c r="R26" i="8"/>
  <c r="R9" i="8"/>
  <c r="R27" i="8" l="1"/>
  <c r="M11" i="8"/>
  <c r="R8" i="8"/>
  <c r="M32" i="8"/>
  <c r="R7" i="8" l="1"/>
  <c r="M10" i="8"/>
  <c r="M33" i="8"/>
  <c r="S18" i="8" l="1"/>
  <c r="Q18" i="8"/>
  <c r="S16" i="8"/>
  <c r="S19" i="8"/>
  <c r="Q19" i="8"/>
  <c r="Q16" i="8"/>
  <c r="Q15" i="8"/>
  <c r="Q20" i="8"/>
  <c r="S15" i="8"/>
  <c r="S20" i="8"/>
  <c r="S14" i="8"/>
  <c r="Q21" i="8"/>
  <c r="S21" i="8"/>
  <c r="Q14" i="8"/>
  <c r="S13" i="8"/>
  <c r="Q22" i="8"/>
  <c r="S22" i="8"/>
  <c r="Q13" i="8"/>
  <c r="S12" i="8"/>
  <c r="Q12" i="8"/>
  <c r="S23" i="8"/>
  <c r="Q23" i="8"/>
  <c r="Q11" i="8"/>
  <c r="S24" i="8"/>
  <c r="S11" i="8"/>
  <c r="Q24" i="8"/>
  <c r="S10" i="8"/>
  <c r="Q10" i="8"/>
  <c r="S25" i="8"/>
  <c r="Q25" i="8"/>
  <c r="S9" i="8"/>
  <c r="S26" i="8"/>
  <c r="Q26" i="8"/>
  <c r="Q9" i="8"/>
  <c r="Q8" i="8"/>
  <c r="M9" i="8"/>
  <c r="M34" i="8"/>
  <c r="S8" i="8"/>
  <c r="M35" i="8" l="1"/>
  <c r="M8" i="8"/>
  <c r="M7" i="8" l="1"/>
  <c r="M36" i="8"/>
  <c r="L21" i="8" l="1"/>
  <c r="N21" i="8"/>
  <c r="N20" i="8"/>
  <c r="L20" i="8"/>
  <c r="L19" i="8"/>
  <c r="N19" i="8"/>
  <c r="L18" i="8"/>
  <c r="N18" i="8"/>
  <c r="N17" i="8"/>
  <c r="L17" i="8"/>
  <c r="N16" i="8"/>
  <c r="L16" i="8"/>
  <c r="N15" i="8"/>
  <c r="L15" i="8"/>
  <c r="N14" i="8"/>
  <c r="L14" i="8"/>
  <c r="N13" i="8"/>
  <c r="L13" i="8"/>
  <c r="N12" i="8"/>
  <c r="L12" i="8"/>
  <c r="L11" i="8"/>
  <c r="N11" i="8"/>
  <c r="L10" i="8"/>
  <c r="N10" i="8"/>
  <c r="L9" i="8"/>
  <c r="N9" i="8"/>
  <c r="M37" i="8"/>
  <c r="L25" i="8" s="1"/>
  <c r="L8" i="8"/>
  <c r="N8" i="8"/>
  <c r="L27" i="8" l="1"/>
  <c r="L30" i="8"/>
  <c r="L29" i="8"/>
  <c r="N24" i="8"/>
  <c r="N30" i="8"/>
  <c r="N26" i="8"/>
  <c r="L23" i="8"/>
  <c r="N34" i="8"/>
  <c r="L34" i="8"/>
  <c r="N33" i="8"/>
  <c r="N28" i="8"/>
  <c r="N32" i="8"/>
  <c r="L35" i="8"/>
  <c r="N35" i="8"/>
  <c r="N31" i="8"/>
  <c r="N27" i="8"/>
  <c r="L36" i="8"/>
  <c r="L31" i="8"/>
  <c r="N29" i="8"/>
  <c r="N36" i="8"/>
  <c r="L33" i="8"/>
  <c r="N25" i="8"/>
  <c r="N23" i="8"/>
  <c r="L32" i="8"/>
  <c r="L26" i="8"/>
  <c r="L28" i="8"/>
  <c r="L2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WONG</author>
  </authors>
  <commentList>
    <comment ref="B10" authorId="0" shapeId="0" xr:uid="{4D9A3A26-559F-4EE1-8AE8-012096191C38}">
      <text>
        <r>
          <rPr>
            <sz val="9"/>
            <color indexed="81"/>
            <rFont val="Tahoma"/>
            <family val="2"/>
          </rPr>
          <t>Enter "Last Salary Increase Date" for non new hires</t>
        </r>
      </text>
    </comment>
  </commentList>
</comments>
</file>

<file path=xl/sharedStrings.xml><?xml version="1.0" encoding="utf-8"?>
<sst xmlns="http://schemas.openxmlformats.org/spreadsheetml/2006/main" count="111" uniqueCount="85">
  <si>
    <t xml:space="preserve">Target </t>
  </si>
  <si>
    <t>Max</t>
  </si>
  <si>
    <t>Target</t>
  </si>
  <si>
    <t>Threshold</t>
  </si>
  <si>
    <t>&lt;85%</t>
  </si>
  <si>
    <t>&lt;90%</t>
  </si>
  <si>
    <t>CEO</t>
  </si>
  <si>
    <t>Hire Date</t>
  </si>
  <si>
    <t>Employee</t>
  </si>
  <si>
    <t>John Doe</t>
  </si>
  <si>
    <t>Target %</t>
  </si>
  <si>
    <t>Leadership</t>
  </si>
  <si>
    <t>Financial</t>
  </si>
  <si>
    <t>Operational</t>
  </si>
  <si>
    <t>Incentive Target % 
By Job Level</t>
  </si>
  <si>
    <t>Non- Financial</t>
  </si>
  <si>
    <t>% Achieved</t>
  </si>
  <si>
    <t>% Attained</t>
  </si>
  <si>
    <t xml:space="preserve">FINANCIAL
</t>
  </si>
  <si>
    <t xml:space="preserve">NON- FINANCIAL
</t>
  </si>
  <si>
    <t>Base Pay</t>
  </si>
  <si>
    <t>Fiscal Yr. End Date:</t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</si>
  <si>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(Full Yr.)</t>
    </r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</si>
  <si>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(Prorated)</t>
    </r>
  </si>
  <si>
    <t>Incentive 
Payout $</t>
  </si>
  <si>
    <t xml:space="preserve">Rating </t>
  </si>
  <si>
    <t xml:space="preserve">Level </t>
  </si>
  <si>
    <t>Below Threshold</t>
  </si>
  <si>
    <t>Description</t>
  </si>
  <si>
    <t xml:space="preserve">	Meets Some Expectations</t>
  </si>
  <si>
    <t>Category</t>
  </si>
  <si>
    <t>Compliance</t>
  </si>
  <si>
    <r>
      <t>Revenue</t>
    </r>
    <r>
      <rPr>
        <sz val="11"/>
        <color rgb="FF00B050"/>
        <rFont val="Roboto"/>
      </rPr>
      <t xml:space="preserve"> ($M)</t>
    </r>
  </si>
  <si>
    <t>Individual Metric Weighting
By Job Level</t>
  </si>
  <si>
    <t>Category Weighting
By Job Level</t>
  </si>
  <si>
    <t>Level</t>
  </si>
  <si>
    <t>&gt;115%</t>
  </si>
  <si>
    <t>&gt;110%</t>
  </si>
  <si>
    <t xml:space="preserve"> </t>
  </si>
  <si>
    <t>Linear Interpolation Formula:</t>
  </si>
  <si>
    <t>CFO</t>
  </si>
  <si>
    <t>Note: Non CEO C-Suite figures are placeholders</t>
  </si>
  <si>
    <t xml:space="preserve">	Meets Above Expectations</t>
  </si>
  <si>
    <t xml:space="preserve">	Meets Expectations</t>
  </si>
  <si>
    <t>Below Expectation</t>
  </si>
  <si>
    <t xml:space="preserve">	Exceeds Expectations</t>
  </si>
  <si>
    <t>REVENUE GOAL</t>
  </si>
  <si>
    <t>Enter Final
Results Here</t>
  </si>
  <si>
    <t>Individual
Metrics</t>
  </si>
  <si>
    <t>Role</t>
  </si>
  <si>
    <r>
      <t>GOAL</t>
    </r>
    <r>
      <rPr>
        <i/>
        <sz val="10"/>
        <color rgb="FFFFFFFF"/>
        <rFont val="Roboto"/>
      </rPr>
      <t xml:space="preserve">
Target ($M) </t>
    </r>
  </si>
  <si>
    <t>$M</t>
  </si>
  <si>
    <t>Final Comments From Comp Committee</t>
  </si>
  <si>
    <r>
      <rPr>
        <b/>
        <sz val="10"/>
        <color theme="3"/>
        <rFont val="Roboto"/>
      </rPr>
      <t>Notes:</t>
    </r>
    <r>
      <rPr>
        <sz val="10"/>
        <color theme="3"/>
        <rFont val="Roboto"/>
      </rPr>
      <t xml:space="preserve">
</t>
    </r>
    <r>
      <rPr>
        <i/>
        <sz val="10"/>
        <color theme="3"/>
        <rFont val="Roboto"/>
      </rPr>
      <t>_______</t>
    </r>
  </si>
  <si>
    <t>% of Target 
Payout</t>
  </si>
  <si>
    <t>Category 
Weighting</t>
  </si>
  <si>
    <t xml:space="preserve">No Payout </t>
  </si>
  <si>
    <t>DISCRETIONARY GOALS</t>
  </si>
  <si>
    <t>It was used to calculate the missing values between the Threshold, Target, and Max for both Goal $ and Payout % based on the performance metrics. This formula ensured that the values were estimated proportionally, providing smooth transitions between the defined performance levels.</t>
  </si>
  <si>
    <t>Revenue Performance %</t>
  </si>
  <si>
    <t>Sub Goal
Weighting</t>
  </si>
  <si>
    <t>FINAL PAYOUT</t>
  </si>
  <si>
    <t>PRORATED PAYOUT</t>
  </si>
  <si>
    <t>Max/ Capped</t>
  </si>
  <si>
    <t>Discretionary</t>
  </si>
  <si>
    <r>
      <t>The</t>
    </r>
    <r>
      <rPr>
        <b/>
        <sz val="11"/>
        <rFont val="Roboto"/>
      </rPr>
      <t xml:space="preserve"> higher the job leve</t>
    </r>
    <r>
      <rPr>
        <sz val="11"/>
        <rFont val="Roboto"/>
      </rPr>
      <t xml:space="preserve">l, the greater the impact on company financials — so incentives are weighted more toward financial goals. For </t>
    </r>
    <r>
      <rPr>
        <b/>
        <sz val="11"/>
        <rFont val="Roboto"/>
      </rPr>
      <t>lower-level roles</t>
    </r>
    <r>
      <rPr>
        <sz val="11"/>
        <rFont val="Roboto"/>
      </rPr>
      <t>, incentives emphasize individual performance (non-financial goals).</t>
    </r>
  </si>
  <si>
    <t xml:space="preserve">Sub Goal
Target </t>
  </si>
  <si>
    <t>NET INCOME GOAL</t>
  </si>
  <si>
    <t>Net Income Performance %</t>
  </si>
  <si>
    <r>
      <t xml:space="preserve">Net Income </t>
    </r>
    <r>
      <rPr>
        <sz val="11"/>
        <color rgb="FF00B050"/>
        <rFont val="Roboto"/>
      </rPr>
      <t>($M)</t>
    </r>
  </si>
  <si>
    <r>
      <t xml:space="preserve">Revenue 
</t>
    </r>
    <r>
      <rPr>
        <i/>
        <sz val="10"/>
        <rFont val="Roboto"/>
      </rPr>
      <t>(Sub Goal vs. Category Weighting)</t>
    </r>
  </si>
  <si>
    <r>
      <t>Net Income</t>
    </r>
    <r>
      <rPr>
        <sz val="10"/>
        <color rgb="FF000000"/>
        <rFont val="Roboto"/>
      </rPr>
      <t xml:space="preserve">  
</t>
    </r>
    <r>
      <rPr>
        <i/>
        <sz val="10"/>
        <color rgb="FF000000"/>
        <rFont val="Roboto"/>
      </rPr>
      <t>(Sub Goal vs. Category Weighting)</t>
    </r>
  </si>
  <si>
    <t>EVP</t>
  </si>
  <si>
    <t>SVP</t>
  </si>
  <si>
    <t>VP</t>
  </si>
  <si>
    <t xml:space="preserve">Sr. Director </t>
  </si>
  <si>
    <t xml:space="preserve">Director </t>
  </si>
  <si>
    <t xml:space="preserve">Sr. Manager </t>
  </si>
  <si>
    <t>Payout % of Target</t>
  </si>
  <si>
    <t>Above Max/ Capped</t>
  </si>
  <si>
    <r>
      <rPr>
        <b/>
        <i/>
        <sz val="10"/>
        <rFont val="Roboto"/>
      </rPr>
      <t xml:space="preserve">Note: </t>
    </r>
    <r>
      <rPr>
        <i/>
        <sz val="10"/>
        <rFont val="Roboto"/>
      </rPr>
      <t xml:space="preserve">Employees who </t>
    </r>
    <r>
      <rPr>
        <b/>
        <i/>
        <sz val="10"/>
        <rFont val="Roboto"/>
      </rPr>
      <t>exceed revenue</t>
    </r>
    <r>
      <rPr>
        <i/>
        <sz val="10"/>
        <rFont val="Roboto"/>
      </rPr>
      <t xml:space="preserve"> or </t>
    </r>
    <r>
      <rPr>
        <b/>
        <i/>
        <sz val="10"/>
        <rFont val="Roboto"/>
      </rPr>
      <t xml:space="preserve">net income goals </t>
    </r>
    <r>
      <rPr>
        <i/>
        <sz val="10"/>
        <rFont val="Roboto"/>
      </rPr>
      <t>are eligible to</t>
    </r>
    <r>
      <rPr>
        <b/>
        <i/>
        <sz val="10"/>
        <rFont val="Roboto"/>
      </rPr>
      <t xml:space="preserve"> earn more than </t>
    </r>
    <r>
      <rPr>
        <i/>
        <sz val="10"/>
        <rFont val="Roboto"/>
      </rPr>
      <t>their</t>
    </r>
    <r>
      <rPr>
        <b/>
        <i/>
        <sz val="10"/>
        <rFont val="Roboto"/>
      </rPr>
      <t xml:space="preserve"> target incentive, </t>
    </r>
    <r>
      <rPr>
        <i/>
        <sz val="10"/>
        <rFont val="Roboto"/>
      </rPr>
      <t xml:space="preserve">with payouts starting at </t>
    </r>
    <r>
      <rPr>
        <b/>
        <i/>
        <sz val="10"/>
        <rFont val="Roboto"/>
      </rPr>
      <t>50</t>
    </r>
    <r>
      <rPr>
        <i/>
        <sz val="10"/>
        <rFont val="Roboto"/>
      </rPr>
      <t xml:space="preserve">% for </t>
    </r>
    <r>
      <rPr>
        <b/>
        <i/>
        <sz val="10"/>
        <rFont val="Roboto"/>
      </rPr>
      <t>threshold</t>
    </r>
    <r>
      <rPr>
        <i/>
        <sz val="10"/>
        <rFont val="Roboto"/>
      </rPr>
      <t xml:space="preserve"> performance and </t>
    </r>
    <r>
      <rPr>
        <b/>
        <i/>
        <sz val="10"/>
        <rFont val="Roboto"/>
      </rPr>
      <t xml:space="preserve">capped </t>
    </r>
    <r>
      <rPr>
        <i/>
        <sz val="10"/>
        <rFont val="Roboto"/>
      </rPr>
      <t xml:space="preserve">at </t>
    </r>
    <r>
      <rPr>
        <b/>
        <i/>
        <sz val="10"/>
        <rFont val="Roboto"/>
      </rPr>
      <t>200%</t>
    </r>
    <r>
      <rPr>
        <i/>
        <sz val="10"/>
        <rFont val="Roboto"/>
      </rPr>
      <t xml:space="preserve"> for exceptional results; linear interpolation is applied for all values between threshold, target, and max.</t>
    </r>
  </si>
  <si>
    <t>KPIs LINKED TO INCENTIVE PAYOUT SCORECARD</t>
  </si>
  <si>
    <t>5</t>
  </si>
  <si>
    <t>4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</si>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</sst>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"/>
    <numFmt numFmtId="166" formatCode="&quot;$&quot;#,##0.00"/>
    <numFmt numFmtId="167" formatCode="&quot;$&quot;#,##0.0"/>
    <numFmt numFmtId="168" formatCode="0.000%"/>
    <numFmt numFmtId="169" formatCode="_(&quot;$&quot;* #,##0.0_);_(&quot;$&quot;* \(#,##0.0\);_(&quot;$&quot;* &quot;-&quot;??_);_(@_)"/>
  </numFmts>
  <fonts count="71" x14ac:knownFonts="1">
    <font>
      <sz val="10"/>
      <color theme="1"/>
      <name val="Times New Roman"/>
      <family val="2"/>
    </font>
    <font>
      <sz val="11"/>
      <color theme="1"/>
      <name val="Aptos Narrow"/>
      <family val="2"/>
      <scheme val="minor"/>
    </font>
    <font>
      <sz val="10"/>
      <color theme="1"/>
      <name val="Times New Roman"/>
      <family val="2"/>
    </font>
    <font>
      <sz val="11"/>
      <color theme="1"/>
      <name val="Roboto"/>
    </font>
    <font>
      <b/>
      <sz val="11"/>
      <name val="Roboto"/>
    </font>
    <font>
      <i/>
      <sz val="11"/>
      <color rgb="FFFF0000"/>
      <name val="Roboto"/>
    </font>
    <font>
      <sz val="11"/>
      <color rgb="FF000000"/>
      <name val="Roboto"/>
    </font>
    <font>
      <i/>
      <sz val="11"/>
      <color theme="1"/>
      <name val="Roboto"/>
    </font>
    <font>
      <sz val="11"/>
      <name val="Roboto"/>
    </font>
    <font>
      <sz val="11"/>
      <color rgb="FFFF0000"/>
      <name val="Roboto"/>
    </font>
    <font>
      <b/>
      <sz val="11"/>
      <color rgb="FF000000"/>
      <name val="Roboto"/>
    </font>
    <font>
      <b/>
      <sz val="11"/>
      <color theme="1"/>
      <name val="Roboto"/>
    </font>
    <font>
      <b/>
      <i/>
      <sz val="11"/>
      <color theme="1"/>
      <name val="Roboto"/>
    </font>
    <font>
      <b/>
      <i/>
      <sz val="11"/>
      <name val="Roboto"/>
    </font>
    <font>
      <sz val="11"/>
      <color rgb="FF000000"/>
      <name val="Calibri"/>
      <family val="2"/>
    </font>
    <font>
      <sz val="10"/>
      <color rgb="FF000000"/>
      <name val="Roboto"/>
    </font>
    <font>
      <i/>
      <sz val="10"/>
      <color rgb="FF000000"/>
      <name val="Roboto"/>
    </font>
    <font>
      <b/>
      <i/>
      <sz val="10"/>
      <color rgb="FFFFFFFF"/>
      <name val="Roboto"/>
    </font>
    <font>
      <b/>
      <sz val="10"/>
      <color rgb="FFFFFFFF"/>
      <name val="Roboto"/>
    </font>
    <font>
      <b/>
      <sz val="10"/>
      <color rgb="FF000000"/>
      <name val="Roboto"/>
    </font>
    <font>
      <b/>
      <sz val="10"/>
      <color rgb="FF0070C0"/>
      <name val="Roboto"/>
    </font>
    <font>
      <b/>
      <i/>
      <sz val="10"/>
      <color rgb="FF000000"/>
      <name val="Roboto"/>
    </font>
    <font>
      <b/>
      <i/>
      <sz val="11"/>
      <color rgb="FF000000"/>
      <name val="Roboto"/>
    </font>
    <font>
      <i/>
      <sz val="10"/>
      <color rgb="FFFFFFFF"/>
      <name val="Roboto"/>
    </font>
    <font>
      <b/>
      <sz val="11"/>
      <color rgb="FFFF0000"/>
      <name val="Roboto"/>
    </font>
    <font>
      <sz val="10"/>
      <color rgb="FFFF0000"/>
      <name val="Roboto"/>
    </font>
    <font>
      <sz val="10"/>
      <name val="Roboto"/>
    </font>
    <font>
      <b/>
      <sz val="10"/>
      <color theme="0"/>
      <name val="Roboto"/>
    </font>
    <font>
      <b/>
      <i/>
      <sz val="10"/>
      <color rgb="FFFF0000"/>
      <name val="Roboto"/>
    </font>
    <font>
      <sz val="10"/>
      <color rgb="FF000000"/>
      <name val="Aptos Narrow"/>
      <family val="2"/>
      <scheme val="minor"/>
    </font>
    <font>
      <sz val="10"/>
      <color theme="1"/>
      <name val="Roboto"/>
    </font>
    <font>
      <sz val="10"/>
      <color theme="1" tint="0.34998626667073579"/>
      <name val="Roboto"/>
    </font>
    <font>
      <b/>
      <sz val="10"/>
      <color theme="1" tint="0.249977111117893"/>
      <name val="Roboto"/>
    </font>
    <font>
      <sz val="10"/>
      <color theme="0"/>
      <name val="Roboto"/>
    </font>
    <font>
      <b/>
      <i/>
      <sz val="10"/>
      <color theme="1"/>
      <name val="Roboto"/>
    </font>
    <font>
      <b/>
      <sz val="10"/>
      <color rgb="FFFF0000"/>
      <name val="Roboto"/>
    </font>
    <font>
      <sz val="10"/>
      <color theme="1" tint="0.249977111117893"/>
      <name val="Roboto"/>
    </font>
    <font>
      <sz val="9"/>
      <color indexed="81"/>
      <name val="Tahoma"/>
      <family val="2"/>
    </font>
    <font>
      <i/>
      <sz val="10"/>
      <color rgb="FFFF0000"/>
      <name val="Roboto"/>
    </font>
    <font>
      <b/>
      <sz val="10"/>
      <color theme="1"/>
      <name val="Roboto"/>
    </font>
    <font>
      <sz val="10"/>
      <name val="Times New Roman"/>
      <family val="2"/>
    </font>
    <font>
      <b/>
      <sz val="10"/>
      <name val="Roboto"/>
    </font>
    <font>
      <sz val="8"/>
      <name val="Times New Roman"/>
      <family val="2"/>
    </font>
    <font>
      <b/>
      <sz val="14"/>
      <color rgb="FFFFFFFF"/>
      <name val="Roboto"/>
    </font>
    <font>
      <sz val="14"/>
      <color rgb="FF000000"/>
      <name val="Roboto"/>
    </font>
    <font>
      <sz val="14"/>
      <color theme="1"/>
      <name val="Roboto"/>
    </font>
    <font>
      <i/>
      <sz val="10"/>
      <color theme="1"/>
      <name val="Roboto"/>
    </font>
    <font>
      <b/>
      <sz val="12"/>
      <color rgb="FF00B050"/>
      <name val="Roboto"/>
    </font>
    <font>
      <b/>
      <sz val="11"/>
      <color rgb="FF0070C0"/>
      <name val="Roboto"/>
    </font>
    <font>
      <i/>
      <sz val="10"/>
      <color theme="3"/>
      <name val="Roboto"/>
    </font>
    <font>
      <sz val="11"/>
      <color theme="1"/>
      <name val="Times New Roman"/>
      <family val="2"/>
    </font>
    <font>
      <b/>
      <sz val="11"/>
      <color rgb="FF00B050"/>
      <name val="Roboto"/>
    </font>
    <font>
      <sz val="11"/>
      <color rgb="FF00B050"/>
      <name val="Roboto"/>
    </font>
    <font>
      <b/>
      <sz val="12"/>
      <color rgb="FF0070C0"/>
      <name val="Roboto"/>
    </font>
    <font>
      <sz val="10"/>
      <color theme="3"/>
      <name val="Roboto"/>
    </font>
    <font>
      <i/>
      <sz val="12"/>
      <color rgb="FF0070C0"/>
      <name val="Roboto"/>
    </font>
    <font>
      <sz val="10"/>
      <color rgb="FF002060"/>
      <name val="Roboto"/>
    </font>
    <font>
      <b/>
      <sz val="10"/>
      <color rgb="FF002060"/>
      <name val="Roboto"/>
    </font>
    <font>
      <b/>
      <i/>
      <sz val="12"/>
      <color theme="3"/>
      <name val="Roboto"/>
    </font>
    <font>
      <b/>
      <sz val="10"/>
      <color theme="3"/>
      <name val="Roboto"/>
    </font>
    <font>
      <b/>
      <i/>
      <sz val="11"/>
      <color theme="3"/>
      <name val="Roboto"/>
    </font>
    <font>
      <b/>
      <u val="singleAccounting"/>
      <sz val="12"/>
      <color theme="1"/>
      <name val="Roboto"/>
    </font>
    <font>
      <sz val="10"/>
      <color rgb="FFFF0000"/>
      <name val="Times New Roman"/>
      <family val="2"/>
    </font>
    <font>
      <sz val="14"/>
      <color rgb="FFFF0000"/>
      <name val="Roboto"/>
    </font>
    <font>
      <sz val="10"/>
      <color rgb="FF00B050"/>
      <name val="Roboto"/>
    </font>
    <font>
      <sz val="10"/>
      <color rgb="FF0070C0"/>
      <name val="Roboto"/>
    </font>
    <font>
      <i/>
      <sz val="11"/>
      <color rgb="FF0070C0"/>
      <name val="Roboto"/>
    </font>
    <font>
      <i/>
      <sz val="10"/>
      <name val="Roboto"/>
    </font>
    <font>
      <b/>
      <i/>
      <sz val="10"/>
      <name val="Roboto"/>
    </font>
    <font>
      <sz val="12"/>
      <color theme="1"/>
      <name val="Times New Roman"/>
      <family val="2"/>
    </font>
    <font>
      <i/>
      <sz val="11"/>
      <color theme="1"/>
      <name val="Times New Roman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rgb="FFA8D08D"/>
      </patternFill>
    </fill>
    <fill>
      <patternFill patternType="solid">
        <fgColor rgb="FFFFFFE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E7"/>
        <bgColor rgb="FFBFBFBF"/>
      </patternFill>
    </fill>
    <fill>
      <patternFill patternType="solid">
        <fgColor theme="0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rgb="FF595959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FFFF93"/>
        <bgColor rgb="FFFFFFFF"/>
      </patternFill>
    </fill>
    <fill>
      <patternFill patternType="solid">
        <fgColor rgb="FFFFFF93"/>
        <bgColor rgb="FFA8D08D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0FAFE"/>
        <bgColor rgb="FF595959"/>
      </patternFill>
    </fill>
    <fill>
      <patternFill patternType="solid">
        <fgColor rgb="FFFF0000"/>
        <bgColor rgb="FFFFC000"/>
      </patternFill>
    </fill>
    <fill>
      <patternFill patternType="solid">
        <fgColor rgb="FF7030A0"/>
        <bgColor rgb="FFFFFFFF"/>
      </patternFill>
    </fill>
    <fill>
      <patternFill patternType="solid">
        <fgColor rgb="FF7030A0"/>
        <bgColor rgb="FFFFFF00"/>
      </patternFill>
    </fill>
    <fill>
      <patternFill patternType="solid">
        <fgColor rgb="FFF0FAFE"/>
        <bgColor rgb="FFF2F2F2"/>
      </patternFill>
    </fill>
    <fill>
      <patternFill patternType="solid">
        <fgColor rgb="FFFBFEFF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hair">
        <color theme="1" tint="0.34998626667073579"/>
      </left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/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hair">
        <color theme="1" tint="0.34998626667073579"/>
      </left>
      <right/>
      <top/>
      <bottom/>
      <diagonal/>
    </border>
    <border>
      <left/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2060"/>
      </bottom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theme="1" tint="0.34998626667073579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theme="1" tint="0.34998626667073579"/>
      </right>
      <top style="medium">
        <color rgb="FF002060"/>
      </top>
      <bottom style="medium">
        <color rgb="FF002060"/>
      </bottom>
      <diagonal/>
    </border>
    <border>
      <left style="hair">
        <color theme="1" tint="0.34998626667073579"/>
      </left>
      <right/>
      <top style="medium">
        <color rgb="FF002060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medium">
        <color rgb="FF002060"/>
      </top>
      <bottom style="hair">
        <color theme="1" tint="0.34998626667073579"/>
      </bottom>
      <diagonal/>
    </border>
    <border>
      <left style="hair">
        <color rgb="FF002060"/>
      </left>
      <right/>
      <top style="hair">
        <color rgb="FF002060"/>
      </top>
      <bottom style="hair">
        <color rgb="FF002060"/>
      </bottom>
      <diagonal/>
    </border>
    <border>
      <left/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double">
        <color theme="1" tint="0.499984740745262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medium">
        <color rgb="FF002060"/>
      </top>
      <bottom/>
      <diagonal/>
    </border>
    <border>
      <left/>
      <right style="hair">
        <color indexed="64"/>
      </right>
      <top style="medium">
        <color rgb="FF002060"/>
      </top>
      <bottom/>
      <diagonal/>
    </border>
    <border>
      <left style="hair">
        <color indexed="64"/>
      </left>
      <right/>
      <top/>
      <bottom style="medium">
        <color rgb="FF002060"/>
      </bottom>
      <diagonal/>
    </border>
    <border>
      <left/>
      <right style="hair">
        <color indexed="64"/>
      </right>
      <top/>
      <bottom style="medium">
        <color rgb="FF002060"/>
      </bottom>
      <diagonal/>
    </border>
    <border>
      <left style="hair">
        <color theme="1" tint="0.34998626667073579"/>
      </left>
      <right style="hair">
        <color indexed="64"/>
      </right>
      <top/>
      <bottom style="hair">
        <color theme="1" tint="0.34998626667073579"/>
      </bottom>
      <diagonal/>
    </border>
    <border>
      <left/>
      <right style="hair">
        <color indexed="64"/>
      </right>
      <top/>
      <bottom style="hair">
        <color theme="1" tint="0.34998626667073579"/>
      </bottom>
      <diagonal/>
    </border>
    <border>
      <left style="hair">
        <color indexed="64"/>
      </left>
      <right/>
      <top style="medium">
        <color rgb="FF002060"/>
      </top>
      <bottom style="medium">
        <color rgb="FF002060"/>
      </bottom>
      <diagonal/>
    </border>
    <border>
      <left/>
      <right style="hair">
        <color indexed="64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/>
      <bottom style="hair">
        <color theme="1" tint="0.34998626667073579"/>
      </bottom>
      <diagonal/>
    </border>
  </borders>
  <cellStyleXfs count="8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4" fillId="0" borderId="0"/>
    <xf numFmtId="0" fontId="29" fillId="0" borderId="0"/>
    <xf numFmtId="43" fontId="2" fillId="0" borderId="0" applyFont="0" applyFill="0" applyBorder="0" applyAlignment="0" applyProtection="0"/>
  </cellStyleXfs>
  <cellXfs count="269">
    <xf numFmtId="0" fontId="0" fillId="0" borderId="0" xfId="0"/>
    <xf numFmtId="9" fontId="31" fillId="11" borderId="0" xfId="3" applyFont="1" applyFill="1" applyBorder="1" applyAlignment="1" applyProtection="1">
      <alignment horizontal="left" vertical="top"/>
      <protection locked="0"/>
    </xf>
    <xf numFmtId="14" fontId="31" fillId="11" borderId="0" xfId="3" applyNumberFormat="1" applyFont="1" applyFill="1" applyBorder="1" applyAlignment="1" applyProtection="1">
      <alignment horizontal="left" vertical="top"/>
      <protection locked="0"/>
    </xf>
    <xf numFmtId="0" fontId="35" fillId="2" borderId="0" xfId="5" applyFont="1" applyFill="1" applyAlignment="1" applyProtection="1">
      <alignment horizontal="left" vertical="top"/>
      <protection locked="0"/>
    </xf>
    <xf numFmtId="0" fontId="28" fillId="7" borderId="0" xfId="5" applyFont="1" applyFill="1" applyAlignment="1" applyProtection="1">
      <alignment horizontal="left" vertical="top"/>
      <protection locked="0"/>
    </xf>
    <xf numFmtId="9" fontId="41" fillId="11" borderId="0" xfId="3" applyFont="1" applyFill="1" applyBorder="1" applyAlignment="1" applyProtection="1">
      <alignment horizontal="left" vertical="top"/>
      <protection locked="0"/>
    </xf>
    <xf numFmtId="0" fontId="0" fillId="0" borderId="0" xfId="0" applyProtection="1">
      <protection locked="0"/>
    </xf>
    <xf numFmtId="0" fontId="15" fillId="0" borderId="0" xfId="5" applyFont="1" applyAlignment="1" applyProtection="1">
      <alignment horizontal="left" vertical="top"/>
      <protection locked="0"/>
    </xf>
    <xf numFmtId="0" fontId="30" fillId="0" borderId="0" xfId="0" applyFont="1" applyAlignment="1" applyProtection="1">
      <alignment horizontal="left" vertical="top"/>
      <protection locked="0"/>
    </xf>
    <xf numFmtId="1" fontId="41" fillId="16" borderId="11" xfId="4" applyNumberFormat="1" applyFont="1" applyFill="1" applyBorder="1" applyAlignment="1" applyProtection="1">
      <alignment horizontal="left" vertical="top"/>
      <protection locked="0"/>
    </xf>
    <xf numFmtId="0" fontId="41" fillId="16" borderId="11" xfId="0" applyFont="1" applyFill="1" applyBorder="1" applyAlignment="1" applyProtection="1">
      <alignment horizontal="left" vertical="top"/>
      <protection locked="0"/>
    </xf>
    <xf numFmtId="1" fontId="30" fillId="0" borderId="3" xfId="4" quotePrefix="1" applyNumberFormat="1" applyFont="1" applyBorder="1" applyAlignment="1" applyProtection="1">
      <alignment horizontal="left" vertical="top"/>
      <protection locked="0"/>
    </xf>
    <xf numFmtId="0" fontId="30" fillId="9" borderId="3" xfId="0" applyFont="1" applyFill="1" applyBorder="1" applyAlignment="1" applyProtection="1">
      <alignment horizontal="left" vertical="top"/>
      <protection locked="0"/>
    </xf>
    <xf numFmtId="0" fontId="15" fillId="2" borderId="0" xfId="5" applyFont="1" applyFill="1" applyAlignment="1" applyProtection="1">
      <alignment horizontal="left" vertical="top"/>
      <protection locked="0"/>
    </xf>
    <xf numFmtId="9" fontId="26" fillId="11" borderId="0" xfId="3" applyFont="1" applyFill="1" applyBorder="1" applyAlignment="1" applyProtection="1">
      <alignment horizontal="left" vertical="top"/>
      <protection locked="0"/>
    </xf>
    <xf numFmtId="0" fontId="25" fillId="2" borderId="0" xfId="5" applyFont="1" applyFill="1" applyAlignment="1" applyProtection="1">
      <alignment horizontal="left" vertical="top"/>
      <protection locked="0"/>
    </xf>
    <xf numFmtId="1" fontId="30" fillId="0" borderId="3" xfId="4" applyNumberFormat="1" applyFont="1" applyBorder="1" applyAlignment="1" applyProtection="1">
      <alignment horizontal="left" vertical="top"/>
      <protection locked="0"/>
    </xf>
    <xf numFmtId="0" fontId="44" fillId="2" borderId="0" xfId="5" applyFont="1" applyFill="1" applyAlignment="1" applyProtection="1">
      <alignment horizontal="left" vertical="top"/>
      <protection locked="0"/>
    </xf>
    <xf numFmtId="0" fontId="44" fillId="0" borderId="0" xfId="5" applyFont="1" applyAlignment="1" applyProtection="1">
      <alignment horizontal="left" vertical="top"/>
      <protection locked="0"/>
    </xf>
    <xf numFmtId="0" fontId="45" fillId="2" borderId="0" xfId="0" applyFont="1" applyFill="1" applyAlignment="1" applyProtection="1">
      <alignment horizontal="left" vertical="top"/>
      <protection locked="0"/>
    </xf>
    <xf numFmtId="0" fontId="63" fillId="2" borderId="0" xfId="0" applyFont="1" applyFill="1" applyAlignment="1" applyProtection="1">
      <alignment horizontal="left" vertical="top"/>
      <protection locked="0"/>
    </xf>
    <xf numFmtId="0" fontId="15" fillId="2" borderId="3" xfId="5" applyFont="1" applyFill="1" applyBorder="1" applyAlignment="1" applyProtection="1">
      <alignment horizontal="left" vertical="top"/>
      <protection locked="0"/>
    </xf>
    <xf numFmtId="165" fontId="31" fillId="13" borderId="0" xfId="3" applyNumberFormat="1" applyFont="1" applyFill="1" applyBorder="1" applyAlignment="1" applyProtection="1">
      <alignment horizontal="left" vertical="top" indent="1"/>
      <protection locked="0"/>
    </xf>
    <xf numFmtId="0" fontId="30" fillId="2" borderId="0" xfId="0" applyFont="1" applyFill="1" applyAlignment="1" applyProtection="1">
      <alignment horizontal="left" vertical="top"/>
      <protection locked="0"/>
    </xf>
    <xf numFmtId="0" fontId="25" fillId="2" borderId="0" xfId="0" applyFont="1" applyFill="1" applyAlignment="1" applyProtection="1">
      <alignment horizontal="left" vertical="top"/>
      <protection locked="0"/>
    </xf>
    <xf numFmtId="0" fontId="27" fillId="21" borderId="3" xfId="0" applyFont="1" applyFill="1" applyBorder="1" applyAlignment="1" applyProtection="1">
      <alignment horizontal="left" vertical="top"/>
      <protection locked="0"/>
    </xf>
    <xf numFmtId="0" fontId="27" fillId="21" borderId="3" xfId="5" applyFont="1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left" vertical="top"/>
      <protection locked="0"/>
    </xf>
    <xf numFmtId="165" fontId="31" fillId="11" borderId="0" xfId="3" applyNumberFormat="1" applyFont="1" applyFill="1" applyBorder="1" applyAlignment="1" applyProtection="1">
      <alignment horizontal="left" vertical="top"/>
      <protection locked="0"/>
    </xf>
    <xf numFmtId="0" fontId="25" fillId="0" borderId="0" xfId="5" applyFont="1" applyAlignment="1" applyProtection="1">
      <alignment horizontal="left" vertical="top"/>
      <protection locked="0"/>
    </xf>
    <xf numFmtId="0" fontId="21" fillId="11" borderId="0" xfId="0" applyFont="1" applyFill="1" applyAlignment="1" applyProtection="1">
      <alignment horizontal="left" vertical="top"/>
      <protection locked="0"/>
    </xf>
    <xf numFmtId="0" fontId="6" fillId="0" borderId="0" xfId="5" applyFont="1" applyAlignment="1" applyProtection="1">
      <alignment horizontal="left"/>
      <protection locked="0"/>
    </xf>
    <xf numFmtId="0" fontId="22" fillId="11" borderId="0" xfId="0" applyFont="1" applyFill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2" borderId="0" xfId="5" applyFont="1" applyFill="1" applyAlignment="1" applyProtection="1">
      <alignment horizontal="left"/>
      <protection locked="0"/>
    </xf>
    <xf numFmtId="0" fontId="51" fillId="0" borderId="11" xfId="0" applyFont="1" applyBorder="1" applyAlignment="1" applyProtection="1">
      <alignment horizontal="left" vertical="top" wrapText="1"/>
      <protection locked="0"/>
    </xf>
    <xf numFmtId="166" fontId="31" fillId="9" borderId="11" xfId="4" applyNumberFormat="1" applyFont="1" applyFill="1" applyBorder="1" applyAlignment="1" applyProtection="1">
      <alignment horizontal="center" vertical="top" wrapText="1"/>
      <protection locked="0"/>
    </xf>
    <xf numFmtId="0" fontId="62" fillId="0" borderId="0" xfId="0" applyFont="1" applyProtection="1">
      <protection locked="0"/>
    </xf>
    <xf numFmtId="0" fontId="6" fillId="0" borderId="0" xfId="5" applyFont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left" vertical="top"/>
      <protection locked="0"/>
    </xf>
    <xf numFmtId="0" fontId="48" fillId="0" borderId="11" xfId="0" applyFont="1" applyBorder="1" applyAlignment="1" applyProtection="1">
      <alignment horizontal="left" vertical="top" wrapText="1"/>
      <protection locked="0"/>
    </xf>
    <xf numFmtId="1" fontId="31" fillId="9" borderId="11" xfId="7" applyNumberFormat="1" applyFont="1" applyFill="1" applyBorder="1" applyAlignment="1" applyProtection="1">
      <alignment horizontal="center" vertical="top" wrapText="1"/>
      <protection locked="0"/>
    </xf>
    <xf numFmtId="9" fontId="31" fillId="9" borderId="11" xfId="3" applyFont="1" applyFill="1" applyBorder="1" applyAlignment="1" applyProtection="1">
      <alignment horizontal="center" vertical="top" wrapText="1"/>
      <protection locked="0"/>
    </xf>
    <xf numFmtId="1" fontId="31" fillId="9" borderId="1" xfId="7" applyNumberFormat="1" applyFont="1" applyFill="1" applyBorder="1" applyAlignment="1" applyProtection="1">
      <alignment horizontal="center" vertical="top" wrapText="1"/>
      <protection locked="0"/>
    </xf>
    <xf numFmtId="9" fontId="31" fillId="9" borderId="10" xfId="3" applyFont="1" applyFill="1" applyBorder="1" applyAlignment="1" applyProtection="1">
      <alignment horizontal="center" vertical="top" wrapText="1"/>
      <protection locked="0"/>
    </xf>
    <xf numFmtId="0" fontId="9" fillId="0" borderId="0" xfId="0" applyFont="1" applyAlignment="1" applyProtection="1">
      <alignment horizontal="left" vertical="top"/>
      <protection locked="0"/>
    </xf>
    <xf numFmtId="44" fontId="38" fillId="14" borderId="0" xfId="4" applyFont="1" applyFill="1" applyBorder="1" applyAlignment="1" applyProtection="1">
      <alignment vertical="top"/>
      <protection locked="0"/>
    </xf>
    <xf numFmtId="44" fontId="38" fillId="14" borderId="0" xfId="4" applyFont="1" applyFill="1" applyBorder="1" applyAlignment="1" applyProtection="1">
      <alignment horizontal="center" vertical="top" wrapText="1"/>
      <protection locked="0"/>
    </xf>
    <xf numFmtId="44" fontId="27" fillId="14" borderId="0" xfId="4" applyFont="1" applyFill="1" applyBorder="1" applyAlignment="1" applyProtection="1">
      <alignment horizontal="left" vertical="top" wrapText="1"/>
      <protection locked="0"/>
    </xf>
    <xf numFmtId="44" fontId="33" fillId="2" borderId="0" xfId="4" applyFont="1" applyFill="1" applyBorder="1" applyAlignment="1" applyProtection="1">
      <alignment horizontal="left" vertical="top"/>
      <protection locked="0"/>
    </xf>
    <xf numFmtId="44" fontId="33" fillId="2" borderId="0" xfId="4" applyFont="1" applyFill="1" applyBorder="1" applyAlignment="1" applyProtection="1">
      <alignment horizontal="left" vertical="top" wrapText="1"/>
      <protection locked="0"/>
    </xf>
    <xf numFmtId="164" fontId="27" fillId="2" borderId="0" xfId="4" applyNumberFormat="1" applyFont="1" applyFill="1" applyBorder="1" applyAlignment="1" applyProtection="1">
      <alignment horizontal="left" vertical="top" wrapText="1"/>
      <protection locked="0"/>
    </xf>
    <xf numFmtId="44" fontId="27" fillId="2" borderId="0" xfId="4" applyFont="1" applyFill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38" fillId="0" borderId="0" xfId="0" applyFont="1" applyAlignment="1" applyProtection="1">
      <alignment horizontal="left" vertical="top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1" fillId="2" borderId="0" xfId="0" applyFont="1" applyFill="1" applyAlignment="1" applyProtection="1">
      <alignment vertical="top"/>
      <protection locked="0"/>
    </xf>
    <xf numFmtId="0" fontId="34" fillId="0" borderId="0" xfId="0" applyFont="1" applyAlignment="1" applyProtection="1">
      <alignment horizontal="left" vertical="top"/>
      <protection locked="0"/>
    </xf>
    <xf numFmtId="165" fontId="46" fillId="0" borderId="0" xfId="0" applyNumberFormat="1" applyFont="1" applyAlignment="1" applyProtection="1">
      <alignment horizontal="lef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165" fontId="46" fillId="0" borderId="0" xfId="0" quotePrefix="1" applyNumberFormat="1" applyFont="1" applyAlignment="1" applyProtection="1">
      <alignment horizontal="left" vertical="top"/>
      <protection locked="0"/>
    </xf>
    <xf numFmtId="0" fontId="39" fillId="0" borderId="33" xfId="0" applyFont="1" applyBorder="1" applyAlignment="1" applyProtection="1">
      <alignment horizontal="left" vertical="top"/>
      <protection locked="0"/>
    </xf>
    <xf numFmtId="0" fontId="39" fillId="16" borderId="33" xfId="0" applyFont="1" applyFill="1" applyBorder="1" applyAlignment="1" applyProtection="1">
      <alignment horizontal="left" vertical="top"/>
      <protection locked="0"/>
    </xf>
    <xf numFmtId="0" fontId="27" fillId="21" borderId="33" xfId="0" applyFont="1" applyFill="1" applyBorder="1" applyAlignment="1" applyProtection="1">
      <alignment horizontal="left" vertical="top"/>
      <protection locked="0"/>
    </xf>
    <xf numFmtId="0" fontId="27" fillId="22" borderId="34" xfId="0" applyFont="1" applyFill="1" applyBorder="1" applyAlignment="1" applyProtection="1">
      <alignment horizontal="left" vertical="top"/>
      <protection locked="0"/>
    </xf>
    <xf numFmtId="166" fontId="12" fillId="4" borderId="39" xfId="0" applyNumberFormat="1" applyFont="1" applyFill="1" applyBorder="1" applyAlignment="1" applyProtection="1">
      <alignment horizontal="center" vertical="top"/>
      <protection locked="0"/>
    </xf>
    <xf numFmtId="166" fontId="12" fillId="4" borderId="37" xfId="0" applyNumberFormat="1" applyFont="1" applyFill="1" applyBorder="1" applyAlignment="1" applyProtection="1">
      <alignment horizontal="center" vertical="top"/>
      <protection locked="0"/>
    </xf>
    <xf numFmtId="166" fontId="12" fillId="4" borderId="38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vertical="top"/>
      <protection locked="0"/>
    </xf>
    <xf numFmtId="168" fontId="27" fillId="22" borderId="34" xfId="0" applyNumberFormat="1" applyFont="1" applyFill="1" applyBorder="1" applyAlignment="1" applyProtection="1">
      <alignment horizontal="center" vertical="top"/>
      <protection locked="0"/>
    </xf>
    <xf numFmtId="9" fontId="27" fillId="22" borderId="34" xfId="0" applyNumberFormat="1" applyFont="1" applyFill="1" applyBorder="1" applyAlignment="1" applyProtection="1">
      <alignment horizontal="center" vertical="top"/>
      <protection locked="0"/>
    </xf>
    <xf numFmtId="9" fontId="30" fillId="9" borderId="33" xfId="3" applyFont="1" applyFill="1" applyBorder="1" applyAlignment="1" applyProtection="1">
      <alignment horizontal="center" vertical="top"/>
      <protection locked="0"/>
    </xf>
    <xf numFmtId="9" fontId="39" fillId="16" borderId="33" xfId="3" applyFont="1" applyFill="1" applyBorder="1" applyAlignment="1" applyProtection="1">
      <alignment horizontal="center" vertical="top"/>
      <protection locked="0"/>
    </xf>
    <xf numFmtId="167" fontId="27" fillId="21" borderId="33" xfId="4" applyNumberFormat="1" applyFont="1" applyFill="1" applyBorder="1" applyAlignment="1" applyProtection="1">
      <alignment horizontal="center" vertical="top"/>
      <protection locked="0"/>
    </xf>
    <xf numFmtId="9" fontId="27" fillId="21" borderId="33" xfId="3" applyFont="1" applyFill="1" applyBorder="1" applyAlignment="1" applyProtection="1">
      <alignment horizontal="center" vertical="top"/>
      <protection locked="0"/>
    </xf>
    <xf numFmtId="9" fontId="27" fillId="22" borderId="0" xfId="0" applyNumberFormat="1" applyFont="1" applyFill="1" applyAlignment="1" applyProtection="1">
      <alignment horizontal="center" vertical="top"/>
      <protection locked="0"/>
    </xf>
    <xf numFmtId="9" fontId="41" fillId="16" borderId="11" xfId="0" applyNumberFormat="1" applyFont="1" applyFill="1" applyBorder="1" applyAlignment="1" applyProtection="1">
      <alignment horizontal="center" vertical="top"/>
      <protection locked="0"/>
    </xf>
    <xf numFmtId="9" fontId="30" fillId="9" borderId="3" xfId="0" applyNumberFormat="1" applyFont="1" applyFill="1" applyBorder="1" applyAlignment="1" applyProtection="1">
      <alignment horizontal="center" vertical="top"/>
      <protection locked="0"/>
    </xf>
    <xf numFmtId="0" fontId="27" fillId="21" borderId="3" xfId="0" applyFont="1" applyFill="1" applyBorder="1" applyAlignment="1" applyProtection="1">
      <alignment horizontal="center" vertical="top"/>
      <protection locked="0"/>
    </xf>
    <xf numFmtId="166" fontId="27" fillId="22" borderId="32" xfId="4" applyNumberFormat="1" applyFont="1" applyFill="1" applyBorder="1" applyAlignment="1" applyProtection="1">
      <alignment horizontal="center" vertical="top"/>
      <protection locked="0"/>
    </xf>
    <xf numFmtId="168" fontId="27" fillId="22" borderId="8" xfId="0" applyNumberFormat="1" applyFont="1" applyFill="1" applyBorder="1" applyAlignment="1" applyProtection="1">
      <alignment horizontal="center" vertical="top"/>
      <protection locked="0"/>
    </xf>
    <xf numFmtId="0" fontId="6" fillId="0" borderId="0" xfId="5" applyFont="1" applyAlignment="1" applyProtection="1">
      <alignment horizontal="left" vertical="top" wrapText="1"/>
      <protection locked="0"/>
    </xf>
    <xf numFmtId="0" fontId="6" fillId="0" borderId="0" xfId="5" applyFont="1" applyAlignment="1" applyProtection="1">
      <alignment horizontal="center" vertical="top"/>
      <protection locked="0"/>
    </xf>
    <xf numFmtId="169" fontId="50" fillId="0" borderId="0" xfId="4" applyNumberFormat="1" applyFont="1" applyAlignment="1" applyProtection="1">
      <alignment horizontal="left" vertical="top"/>
      <protection locked="0"/>
    </xf>
    <xf numFmtId="0" fontId="19" fillId="0" borderId="0" xfId="5" applyFont="1" applyAlignment="1" applyProtection="1">
      <alignment horizontal="center" vertical="top" wrapText="1"/>
      <protection locked="0"/>
    </xf>
    <xf numFmtId="0" fontId="6" fillId="0" borderId="0" xfId="5" applyFont="1" applyAlignment="1" applyProtection="1">
      <alignment horizontal="center" vertical="top" wrapText="1"/>
      <protection locked="0"/>
    </xf>
    <xf numFmtId="0" fontId="6" fillId="0" borderId="0" xfId="5" applyFont="1" applyAlignment="1" applyProtection="1">
      <alignment horizontal="center" wrapText="1"/>
      <protection locked="0"/>
    </xf>
    <xf numFmtId="0" fontId="19" fillId="2" borderId="0" xfId="5" applyFont="1" applyFill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40" fillId="2" borderId="0" xfId="0" applyFont="1" applyFill="1" applyAlignment="1" applyProtection="1">
      <alignment horizontal="left" vertical="top"/>
      <protection locked="0"/>
    </xf>
    <xf numFmtId="0" fontId="8" fillId="2" borderId="0" xfId="5" applyFont="1" applyFill="1" applyAlignment="1" applyProtection="1">
      <alignment horizontal="left" vertical="top"/>
      <protection locked="0"/>
    </xf>
    <xf numFmtId="0" fontId="40" fillId="2" borderId="0" xfId="0" applyFont="1" applyFill="1" applyAlignment="1" applyProtection="1">
      <alignment horizontal="left"/>
      <protection locked="0"/>
    </xf>
    <xf numFmtId="0" fontId="18" fillId="6" borderId="0" xfId="5" applyFont="1" applyFill="1" applyAlignment="1" applyProtection="1">
      <alignment horizontal="left" vertical="top"/>
      <protection locked="0"/>
    </xf>
    <xf numFmtId="0" fontId="13" fillId="2" borderId="0" xfId="5" applyFont="1" applyFill="1" applyAlignment="1" applyProtection="1">
      <alignment vertical="top"/>
      <protection locked="0"/>
    </xf>
    <xf numFmtId="0" fontId="4" fillId="2" borderId="0" xfId="5" applyFont="1" applyFill="1" applyAlignment="1" applyProtection="1">
      <alignment vertical="top" wrapText="1"/>
      <protection locked="0"/>
    </xf>
    <xf numFmtId="0" fontId="4" fillId="2" borderId="0" xfId="5" applyFont="1" applyFill="1" applyAlignment="1" applyProtection="1">
      <alignment horizontal="center" vertical="top"/>
      <protection locked="0"/>
    </xf>
    <xf numFmtId="9" fontId="26" fillId="2" borderId="0" xfId="5" applyNumberFormat="1" applyFont="1" applyFill="1" applyAlignment="1" applyProtection="1">
      <alignment horizontal="center" vertical="top"/>
      <protection locked="0"/>
    </xf>
    <xf numFmtId="0" fontId="26" fillId="2" borderId="0" xfId="5" applyFont="1" applyFill="1" applyAlignment="1" applyProtection="1">
      <alignment horizontal="left"/>
      <protection locked="0"/>
    </xf>
    <xf numFmtId="9" fontId="26" fillId="2" borderId="0" xfId="5" applyNumberFormat="1" applyFont="1" applyFill="1" applyAlignment="1" applyProtection="1">
      <alignment horizontal="left"/>
      <protection locked="0"/>
    </xf>
    <xf numFmtId="0" fontId="30" fillId="0" borderId="0" xfId="0" applyFont="1" applyAlignment="1" applyProtection="1">
      <alignment vertical="top"/>
      <protection locked="0"/>
    </xf>
    <xf numFmtId="169" fontId="6" fillId="0" borderId="0" xfId="4" applyNumberFormat="1" applyFont="1" applyBorder="1" applyAlignment="1" applyProtection="1">
      <alignment horizontal="left" vertical="top"/>
      <protection locked="0"/>
    </xf>
    <xf numFmtId="169" fontId="24" fillId="0" borderId="0" xfId="4" applyNumberFormat="1" applyFont="1" applyBorder="1" applyAlignment="1" applyProtection="1">
      <alignment horizontal="left" vertical="top"/>
      <protection locked="0"/>
    </xf>
    <xf numFmtId="9" fontId="24" fillId="0" borderId="0" xfId="5" applyNumberFormat="1" applyFont="1" applyAlignment="1" applyProtection="1">
      <alignment horizontal="center" vertical="top"/>
      <protection locked="0"/>
    </xf>
    <xf numFmtId="9" fontId="24" fillId="5" borderId="0" xfId="5" applyNumberFormat="1" applyFont="1" applyFill="1" applyAlignment="1" applyProtection="1">
      <alignment horizontal="center" vertical="top"/>
      <protection locked="0"/>
    </xf>
    <xf numFmtId="0" fontId="18" fillId="5" borderId="0" xfId="5" applyFont="1" applyFill="1" applyAlignment="1" applyProtection="1">
      <alignment horizontal="center" vertical="top"/>
      <protection locked="0"/>
    </xf>
    <xf numFmtId="0" fontId="19" fillId="0" borderId="0" xfId="5" applyFont="1" applyAlignment="1" applyProtection="1">
      <alignment horizontal="center" vertical="top"/>
      <protection locked="0"/>
    </xf>
    <xf numFmtId="169" fontId="25" fillId="0" borderId="0" xfId="4" applyNumberFormat="1" applyFont="1" applyBorder="1" applyAlignment="1" applyProtection="1">
      <alignment horizontal="left" vertical="top"/>
      <protection locked="0"/>
    </xf>
    <xf numFmtId="0" fontId="25" fillId="0" borderId="0" xfId="5" applyFont="1" applyAlignment="1" applyProtection="1">
      <alignment horizontal="center" vertical="top"/>
      <protection locked="0"/>
    </xf>
    <xf numFmtId="169" fontId="15" fillId="0" borderId="0" xfId="4" applyNumberFormat="1" applyFont="1" applyBorder="1" applyAlignment="1" applyProtection="1">
      <alignment horizontal="left" vertical="top"/>
      <protection locked="0"/>
    </xf>
    <xf numFmtId="0" fontId="15" fillId="0" borderId="0" xfId="5" applyFont="1" applyAlignment="1" applyProtection="1">
      <alignment horizontal="center" vertical="top"/>
      <protection locked="0"/>
    </xf>
    <xf numFmtId="0" fontId="10" fillId="0" borderId="0" xfId="5" applyFont="1" applyAlignment="1" applyProtection="1">
      <alignment horizontal="center" vertical="top"/>
      <protection locked="0"/>
    </xf>
    <xf numFmtId="0" fontId="17" fillId="3" borderId="4" xfId="5" applyFont="1" applyFill="1" applyBorder="1" applyAlignment="1">
      <alignment horizontal="center" wrapText="1"/>
    </xf>
    <xf numFmtId="0" fontId="17" fillId="3" borderId="5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167" fontId="27" fillId="24" borderId="4" xfId="4" applyNumberFormat="1" applyFont="1" applyFill="1" applyBorder="1" applyAlignment="1" applyProtection="1">
      <alignment horizontal="center" vertical="top"/>
    </xf>
    <xf numFmtId="9" fontId="27" fillId="24" borderId="5" xfId="5" applyNumberFormat="1" applyFont="1" applyFill="1" applyBorder="1" applyAlignment="1">
      <alignment horizontal="center" vertical="top"/>
    </xf>
    <xf numFmtId="10" fontId="27" fillId="24" borderId="6" xfId="5" applyNumberFormat="1" applyFont="1" applyFill="1" applyBorder="1" applyAlignment="1">
      <alignment horizontal="left" vertical="top"/>
    </xf>
    <xf numFmtId="9" fontId="56" fillId="6" borderId="0" xfId="5" applyNumberFormat="1" applyFont="1" applyFill="1" applyAlignment="1">
      <alignment horizontal="center" vertical="top"/>
    </xf>
    <xf numFmtId="9" fontId="56" fillId="5" borderId="0" xfId="5" applyNumberFormat="1" applyFont="1" applyFill="1" applyAlignment="1">
      <alignment horizontal="center" vertical="top"/>
    </xf>
    <xf numFmtId="0" fontId="19" fillId="2" borderId="0" xfId="5" applyFont="1" applyFill="1" applyAlignment="1">
      <alignment horizontal="left" vertical="top"/>
    </xf>
    <xf numFmtId="10" fontId="19" fillId="2" borderId="0" xfId="5" applyNumberFormat="1" applyFont="1" applyFill="1" applyAlignment="1">
      <alignment horizontal="left" vertical="top"/>
    </xf>
    <xf numFmtId="10" fontId="41" fillId="2" borderId="0" xfId="5" applyNumberFormat="1" applyFont="1" applyFill="1" applyAlignment="1">
      <alignment horizontal="left" vertical="top"/>
    </xf>
    <xf numFmtId="9" fontId="39" fillId="19" borderId="5" xfId="5" applyNumberFormat="1" applyFont="1" applyFill="1" applyBorder="1" applyAlignment="1">
      <alignment horizontal="center" vertical="top"/>
    </xf>
    <xf numFmtId="10" fontId="39" fillId="20" borderId="6" xfId="5" applyNumberFormat="1" applyFont="1" applyFill="1" applyBorder="1" applyAlignment="1">
      <alignment horizontal="left" vertical="top"/>
    </xf>
    <xf numFmtId="10" fontId="18" fillId="6" borderId="0" xfId="5" applyNumberFormat="1" applyFont="1" applyFill="1" applyAlignment="1">
      <alignment horizontal="left" vertical="top"/>
    </xf>
    <xf numFmtId="0" fontId="18" fillId="6" borderId="0" xfId="5" applyFont="1" applyFill="1" applyAlignment="1">
      <alignment horizontal="left" vertical="top"/>
    </xf>
    <xf numFmtId="0" fontId="18" fillId="6" borderId="0" xfId="5" applyFont="1" applyFill="1" applyAlignment="1">
      <alignment vertical="top"/>
    </xf>
    <xf numFmtId="167" fontId="27" fillId="25" borderId="4" xfId="4" applyNumberFormat="1" applyFont="1" applyFill="1" applyBorder="1" applyAlignment="1" applyProtection="1">
      <alignment horizontal="center" vertical="top"/>
    </xf>
    <xf numFmtId="9" fontId="27" fillId="25" borderId="5" xfId="5" applyNumberFormat="1" applyFont="1" applyFill="1" applyBorder="1" applyAlignment="1">
      <alignment horizontal="center" vertical="top"/>
    </xf>
    <xf numFmtId="10" fontId="27" fillId="26" borderId="6" xfId="5" applyNumberFormat="1" applyFont="1" applyFill="1" applyBorder="1" applyAlignment="1">
      <alignment horizontal="left" vertical="top"/>
    </xf>
    <xf numFmtId="167" fontId="56" fillId="6" borderId="0" xfId="5" applyNumberFormat="1" applyFont="1" applyFill="1" applyAlignment="1">
      <alignment horizontal="center" vertical="top"/>
    </xf>
    <xf numFmtId="167" fontId="41" fillId="19" borderId="4" xfId="5" applyNumberFormat="1" applyFont="1" applyFill="1" applyBorder="1" applyAlignment="1">
      <alignment horizontal="center" vertical="top"/>
    </xf>
    <xf numFmtId="9" fontId="41" fillId="19" borderId="5" xfId="5" applyNumberFormat="1" applyFont="1" applyFill="1" applyBorder="1" applyAlignment="1">
      <alignment horizontal="center" vertical="top"/>
    </xf>
    <xf numFmtId="10" fontId="41" fillId="20" borderId="6" xfId="5" applyNumberFormat="1" applyFont="1" applyFill="1" applyBorder="1" applyAlignment="1">
      <alignment horizontal="left" vertical="top"/>
    </xf>
    <xf numFmtId="10" fontId="41" fillId="8" borderId="0" xfId="5" applyNumberFormat="1" applyFont="1" applyFill="1" applyAlignment="1">
      <alignment horizontal="left" vertical="top"/>
    </xf>
    <xf numFmtId="0" fontId="0" fillId="0" borderId="0" xfId="0" applyAlignment="1" applyProtection="1">
      <alignment horizontal="center"/>
      <protection locked="0"/>
    </xf>
    <xf numFmtId="44" fontId="33" fillId="10" borderId="19" xfId="4" applyFont="1" applyFill="1" applyBorder="1" applyAlignment="1" applyProtection="1">
      <alignment horizontal="center" vertical="top" wrapText="1"/>
      <protection locked="0"/>
    </xf>
    <xf numFmtId="44" fontId="33" fillId="10" borderId="20" xfId="4" applyFont="1" applyFill="1" applyBorder="1" applyAlignment="1" applyProtection="1">
      <alignment horizontal="center" vertical="top"/>
      <protection locked="0"/>
    </xf>
    <xf numFmtId="10" fontId="27" fillId="10" borderId="19" xfId="4" applyNumberFormat="1" applyFont="1" applyFill="1" applyBorder="1" applyAlignment="1" applyProtection="1">
      <alignment horizontal="center" vertical="top" wrapText="1"/>
      <protection locked="0"/>
    </xf>
    <xf numFmtId="10" fontId="27" fillId="10" borderId="21" xfId="3" applyNumberFormat="1" applyFont="1" applyFill="1" applyBorder="1" applyAlignment="1" applyProtection="1">
      <alignment horizontal="center"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top"/>
      <protection locked="0"/>
    </xf>
    <xf numFmtId="9" fontId="31" fillId="11" borderId="0" xfId="3" applyFont="1" applyFill="1" applyBorder="1" applyAlignment="1" applyProtection="1">
      <alignment horizontal="left" vertical="top" indent="1"/>
    </xf>
    <xf numFmtId="165" fontId="31" fillId="11" borderId="0" xfId="3" applyNumberFormat="1" applyFont="1" applyFill="1" applyBorder="1" applyAlignment="1" applyProtection="1">
      <alignment horizontal="left" vertical="top" indent="1"/>
    </xf>
    <xf numFmtId="1" fontId="31" fillId="0" borderId="11" xfId="7" applyNumberFormat="1" applyFont="1" applyBorder="1" applyAlignment="1" applyProtection="1">
      <alignment horizontal="center" vertical="top" wrapText="1"/>
    </xf>
    <xf numFmtId="166" fontId="31" fillId="0" borderId="11" xfId="4" applyNumberFormat="1" applyFont="1" applyBorder="1" applyAlignment="1" applyProtection="1">
      <alignment horizontal="center" vertical="top" wrapText="1"/>
    </xf>
    <xf numFmtId="9" fontId="31" fillId="0" borderId="11" xfId="3" applyFont="1" applyBorder="1" applyAlignment="1" applyProtection="1">
      <alignment horizontal="center" vertical="top" wrapText="1"/>
    </xf>
    <xf numFmtId="9" fontId="27" fillId="10" borderId="19" xfId="4" applyNumberFormat="1" applyFont="1" applyFill="1" applyBorder="1" applyAlignment="1" applyProtection="1">
      <alignment horizontal="center" vertical="top" wrapText="1"/>
    </xf>
    <xf numFmtId="44" fontId="57" fillId="27" borderId="41" xfId="4" applyFont="1" applyFill="1" applyBorder="1" applyAlignment="1" applyProtection="1">
      <alignment horizontal="center" vertical="top" wrapText="1"/>
    </xf>
    <xf numFmtId="44" fontId="57" fillId="27" borderId="42" xfId="4" applyFont="1" applyFill="1" applyBorder="1" applyAlignment="1" applyProtection="1">
      <alignment horizontal="center" vertical="top" wrapText="1"/>
    </xf>
    <xf numFmtId="14" fontId="31" fillId="13" borderId="0" xfId="3" applyNumberFormat="1" applyFont="1" applyFill="1" applyBorder="1" applyAlignment="1" applyProtection="1">
      <alignment horizontal="left" indent="1"/>
      <protection locked="0"/>
    </xf>
    <xf numFmtId="14" fontId="31" fillId="13" borderId="0" xfId="3" applyNumberFormat="1" applyFont="1" applyFill="1" applyBorder="1" applyAlignment="1" applyProtection="1">
      <alignment horizontal="left"/>
      <protection locked="0"/>
    </xf>
    <xf numFmtId="14" fontId="31" fillId="13" borderId="0" xfId="3" applyNumberFormat="1" applyFont="1" applyFill="1" applyBorder="1" applyAlignment="1" applyProtection="1">
      <alignment horizontal="left" vertical="center" indent="1"/>
      <protection locked="0"/>
    </xf>
    <xf numFmtId="9" fontId="31" fillId="13" borderId="0" xfId="3" applyFont="1" applyFill="1" applyBorder="1" applyAlignment="1" applyProtection="1">
      <alignment horizontal="left" vertical="center" indent="1"/>
      <protection locked="0"/>
    </xf>
    <xf numFmtId="9" fontId="32" fillId="11" borderId="0" xfId="3" applyFont="1" applyFill="1" applyBorder="1" applyAlignment="1" applyProtection="1">
      <alignment vertical="top"/>
      <protection locked="0"/>
    </xf>
    <xf numFmtId="9" fontId="15" fillId="0" borderId="0" xfId="3" applyFont="1" applyAlignment="1" applyProtection="1">
      <alignment horizontal="left" vertical="top"/>
      <protection locked="0"/>
    </xf>
    <xf numFmtId="166" fontId="15" fillId="0" borderId="0" xfId="5" applyNumberFormat="1" applyFont="1" applyAlignment="1" applyProtection="1">
      <alignment horizontal="left" vertical="top"/>
      <protection locked="0"/>
    </xf>
    <xf numFmtId="165" fontId="27" fillId="22" borderId="34" xfId="4" applyNumberFormat="1" applyFont="1" applyFill="1" applyBorder="1" applyAlignment="1" applyProtection="1">
      <alignment horizontal="center" vertical="top"/>
      <protection locked="0"/>
    </xf>
    <xf numFmtId="167" fontId="56" fillId="6" borderId="0" xfId="4" applyNumberFormat="1" applyFont="1" applyFill="1" applyBorder="1" applyAlignment="1" applyProtection="1">
      <alignment horizontal="center" vertical="top"/>
    </xf>
    <xf numFmtId="167" fontId="39" fillId="19" borderId="4" xfId="4" applyNumberFormat="1" applyFont="1" applyFill="1" applyBorder="1" applyAlignment="1" applyProtection="1">
      <alignment horizontal="center" vertical="top"/>
    </xf>
    <xf numFmtId="167" fontId="30" fillId="9" borderId="33" xfId="4" applyNumberFormat="1" applyFont="1" applyFill="1" applyBorder="1" applyAlignment="1" applyProtection="1">
      <alignment horizontal="center" vertical="top"/>
      <protection locked="0"/>
    </xf>
    <xf numFmtId="167" fontId="39" fillId="16" borderId="33" xfId="4" applyNumberFormat="1" applyFont="1" applyFill="1" applyBorder="1" applyAlignment="1" applyProtection="1">
      <alignment horizontal="center" vertical="top"/>
      <protection locked="0"/>
    </xf>
    <xf numFmtId="9" fontId="64" fillId="0" borderId="11" xfId="3" applyFont="1" applyBorder="1" applyAlignment="1" applyProtection="1">
      <alignment horizontal="center" vertical="top" wrapText="1"/>
    </xf>
    <xf numFmtId="9" fontId="65" fillId="0" borderId="11" xfId="3" applyFont="1" applyBorder="1" applyAlignment="1" applyProtection="1">
      <alignment horizontal="center" vertical="top" wrapText="1"/>
      <protection locked="0"/>
    </xf>
    <xf numFmtId="0" fontId="4" fillId="15" borderId="0" xfId="5" applyFont="1" applyFill="1" applyAlignment="1">
      <alignment horizontal="center" vertical="center" wrapText="1"/>
    </xf>
    <xf numFmtId="0" fontId="26" fillId="9" borderId="0" xfId="5" applyFont="1" applyFill="1" applyAlignment="1" applyProtection="1">
      <alignment horizontal="left" vertical="center"/>
      <protection locked="0"/>
    </xf>
    <xf numFmtId="9" fontId="26" fillId="9" borderId="0" xfId="5" applyNumberFormat="1" applyFont="1" applyFill="1" applyAlignment="1" applyProtection="1">
      <alignment horizontal="center" vertical="center"/>
      <protection locked="0"/>
    </xf>
    <xf numFmtId="9" fontId="8" fillId="9" borderId="0" xfId="5" applyNumberFormat="1" applyFont="1" applyFill="1" applyAlignment="1" applyProtection="1">
      <alignment horizontal="center" vertical="center"/>
      <protection locked="0"/>
    </xf>
    <xf numFmtId="9" fontId="9" fillId="2" borderId="0" xfId="5" applyNumberFormat="1" applyFont="1" applyFill="1" applyAlignment="1">
      <alignment horizontal="center" vertical="center"/>
    </xf>
    <xf numFmtId="9" fontId="6" fillId="9" borderId="0" xfId="5" applyNumberFormat="1" applyFont="1" applyFill="1" applyAlignment="1" applyProtection="1">
      <alignment horizontal="center" vertical="center"/>
      <protection locked="0"/>
    </xf>
    <xf numFmtId="9" fontId="25" fillId="2" borderId="0" xfId="5" applyNumberFormat="1" applyFont="1" applyFill="1" applyAlignment="1">
      <alignment horizontal="center" vertical="center"/>
    </xf>
    <xf numFmtId="0" fontId="41" fillId="28" borderId="0" xfId="5" applyFont="1" applyFill="1" applyAlignment="1">
      <alignment horizontal="center" wrapText="1"/>
    </xf>
    <xf numFmtId="0" fontId="5" fillId="0" borderId="0" xfId="5" applyFont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69" fillId="0" borderId="0" xfId="0" applyFont="1" applyProtection="1">
      <protection locked="0"/>
    </xf>
    <xf numFmtId="0" fontId="12" fillId="4" borderId="35" xfId="0" applyFont="1" applyFill="1" applyBorder="1" applyAlignment="1" applyProtection="1">
      <alignment horizontal="center" vertical="top"/>
      <protection locked="0"/>
    </xf>
    <xf numFmtId="166" fontId="12" fillId="4" borderId="36" xfId="0" applyNumberFormat="1" applyFont="1" applyFill="1" applyBorder="1" applyAlignment="1" applyProtection="1">
      <alignment horizontal="center" vertical="top"/>
      <protection locked="0"/>
    </xf>
    <xf numFmtId="0" fontId="12" fillId="4" borderId="37" xfId="0" applyFont="1" applyFill="1" applyBorder="1" applyAlignment="1" applyProtection="1">
      <alignment horizontal="center" vertical="top"/>
      <protection locked="0"/>
    </xf>
    <xf numFmtId="0" fontId="70" fillId="0" borderId="0" xfId="0" applyFont="1" applyAlignment="1" applyProtection="1">
      <alignment vertical="top"/>
      <protection locked="0"/>
    </xf>
    <xf numFmtId="0" fontId="12" fillId="4" borderId="39" xfId="0" applyFont="1" applyFill="1" applyBorder="1" applyAlignment="1" applyProtection="1">
      <alignment horizontal="center" vertical="top"/>
      <protection locked="0"/>
    </xf>
    <xf numFmtId="0" fontId="12" fillId="4" borderId="40" xfId="0" applyFont="1" applyFill="1" applyBorder="1" applyAlignment="1" applyProtection="1">
      <alignment horizontal="center" vertical="top"/>
      <protection locked="0"/>
    </xf>
    <xf numFmtId="165" fontId="30" fillId="0" borderId="0" xfId="0" applyNumberFormat="1" applyFont="1" applyAlignment="1" applyProtection="1">
      <alignment horizontal="left" vertical="top"/>
      <protection locked="0"/>
    </xf>
    <xf numFmtId="165" fontId="31" fillId="0" borderId="10" xfId="3" applyNumberFormat="1" applyFont="1" applyBorder="1" applyAlignment="1" applyProtection="1">
      <alignment horizontal="center" vertical="top" wrapText="1"/>
      <protection locked="0"/>
    </xf>
    <xf numFmtId="9" fontId="32" fillId="11" borderId="43" xfId="3" applyFont="1" applyFill="1" applyBorder="1" applyAlignment="1" applyProtection="1">
      <alignment vertical="top"/>
      <protection locked="0"/>
    </xf>
    <xf numFmtId="0" fontId="31" fillId="2" borderId="44" xfId="5" applyFont="1" applyFill="1" applyBorder="1" applyAlignment="1" applyProtection="1">
      <alignment horizontal="left" vertical="top"/>
      <protection locked="0"/>
    </xf>
    <xf numFmtId="0" fontId="31" fillId="0" borderId="44" xfId="5" applyFont="1" applyBorder="1" applyAlignment="1" applyProtection="1">
      <alignment horizontal="left" vertical="top"/>
      <protection locked="0"/>
    </xf>
    <xf numFmtId="9" fontId="41" fillId="11" borderId="43" xfId="3" applyFont="1" applyFill="1" applyBorder="1" applyAlignment="1" applyProtection="1">
      <alignment horizontal="left" vertical="top"/>
      <protection locked="0"/>
    </xf>
    <xf numFmtId="0" fontId="31" fillId="0" borderId="0" xfId="5" applyFont="1" applyAlignment="1" applyProtection="1">
      <alignment horizontal="left" vertical="top"/>
      <protection locked="0"/>
    </xf>
    <xf numFmtId="165" fontId="31" fillId="11" borderId="44" xfId="3" applyNumberFormat="1" applyFont="1" applyFill="1" applyBorder="1" applyAlignment="1" applyProtection="1">
      <alignment horizontal="left" vertical="top"/>
      <protection locked="0"/>
    </xf>
    <xf numFmtId="0" fontId="15" fillId="0" borderId="43" xfId="5" applyFont="1" applyBorder="1" applyAlignment="1" applyProtection="1">
      <alignment horizontal="left" vertical="top"/>
      <protection locked="0"/>
    </xf>
    <xf numFmtId="0" fontId="31" fillId="2" borderId="0" xfId="5" applyFont="1" applyFill="1" applyAlignment="1" applyProtection="1">
      <alignment horizontal="left" vertical="top"/>
      <protection locked="0"/>
    </xf>
    <xf numFmtId="165" fontId="31" fillId="0" borderId="49" xfId="3" applyNumberFormat="1" applyFont="1" applyBorder="1" applyAlignment="1" applyProtection="1">
      <alignment horizontal="center" vertical="top" wrapText="1"/>
    </xf>
    <xf numFmtId="44" fontId="27" fillId="18" borderId="51" xfId="4" applyFont="1" applyFill="1" applyBorder="1" applyAlignment="1" applyProtection="1">
      <alignment horizontal="center" vertical="top" wrapText="1"/>
      <protection locked="0"/>
    </xf>
    <xf numFmtId="165" fontId="27" fillId="10" borderId="52" xfId="4" applyNumberFormat="1" applyFont="1" applyFill="1" applyBorder="1" applyAlignment="1" applyProtection="1">
      <alignment horizontal="center" vertical="top" wrapText="1"/>
    </xf>
    <xf numFmtId="44" fontId="33" fillId="10" borderId="54" xfId="4" applyFont="1" applyFill="1" applyBorder="1" applyAlignment="1" applyProtection="1">
      <alignment horizontal="center" vertical="top" wrapText="1"/>
      <protection locked="0"/>
    </xf>
    <xf numFmtId="9" fontId="27" fillId="10" borderId="54" xfId="4" applyNumberFormat="1" applyFont="1" applyFill="1" applyBorder="1" applyAlignment="1" applyProtection="1">
      <alignment horizontal="center" vertical="top" wrapText="1"/>
    </xf>
    <xf numFmtId="9" fontId="27" fillId="10" borderId="54" xfId="4" applyNumberFormat="1" applyFont="1" applyFill="1" applyBorder="1" applyAlignment="1" applyProtection="1">
      <alignment horizontal="center" vertical="top" wrapText="1"/>
      <protection locked="0"/>
    </xf>
    <xf numFmtId="165" fontId="27" fillId="10" borderId="55" xfId="4" applyNumberFormat="1" applyFont="1" applyFill="1" applyBorder="1" applyAlignment="1" applyProtection="1">
      <alignment horizontal="center" vertical="top" wrapText="1"/>
    </xf>
    <xf numFmtId="0" fontId="11" fillId="2" borderId="12" xfId="0" applyFont="1" applyFill="1" applyBorder="1" applyAlignment="1" applyProtection="1">
      <alignment horizontal="right" vertical="top"/>
      <protection locked="0"/>
    </xf>
    <xf numFmtId="44" fontId="57" fillId="14" borderId="41" xfId="4" applyFont="1" applyFill="1" applyBorder="1" applyAlignment="1" applyProtection="1">
      <alignment horizontal="right" vertical="top" wrapText="1"/>
      <protection locked="0"/>
    </xf>
    <xf numFmtId="44" fontId="57" fillId="14" borderId="42" xfId="4" applyFont="1" applyFill="1" applyBorder="1" applyAlignment="1" applyProtection="1">
      <alignment horizontal="right" vertical="top" wrapText="1"/>
      <protection locked="0"/>
    </xf>
    <xf numFmtId="0" fontId="47" fillId="2" borderId="0" xfId="5" applyFont="1" applyFill="1" applyAlignment="1" applyProtection="1">
      <alignment horizontal="center" vertical="top"/>
      <protection locked="0"/>
    </xf>
    <xf numFmtId="0" fontId="58" fillId="17" borderId="26" xfId="0" applyFont="1" applyFill="1" applyBorder="1" applyAlignment="1" applyProtection="1">
      <alignment horizontal="center" vertical="top" wrapText="1"/>
      <protection locked="0"/>
    </xf>
    <xf numFmtId="0" fontId="58" fillId="17" borderId="27" xfId="0" applyFont="1" applyFill="1" applyBorder="1" applyAlignment="1" applyProtection="1">
      <alignment horizontal="center" vertical="top" wrapText="1"/>
      <protection locked="0"/>
    </xf>
    <xf numFmtId="0" fontId="58" fillId="17" borderId="28" xfId="0" applyFont="1" applyFill="1" applyBorder="1" applyAlignment="1" applyProtection="1">
      <alignment horizontal="center" vertical="top" wrapText="1"/>
      <protection locked="0"/>
    </xf>
    <xf numFmtId="0" fontId="58" fillId="17" borderId="29" xfId="0" applyFont="1" applyFill="1" applyBorder="1" applyAlignment="1" applyProtection="1">
      <alignment horizontal="center" vertical="top" wrapText="1"/>
      <protection locked="0"/>
    </xf>
    <xf numFmtId="0" fontId="58" fillId="17" borderId="30" xfId="0" applyFont="1" applyFill="1" applyBorder="1" applyAlignment="1" applyProtection="1">
      <alignment horizontal="center" vertical="top" wrapText="1"/>
      <protection locked="0"/>
    </xf>
    <xf numFmtId="0" fontId="58" fillId="17" borderId="31" xfId="0" applyFont="1" applyFill="1" applyBorder="1" applyAlignment="1" applyProtection="1">
      <alignment horizontal="center" vertical="top" wrapText="1"/>
      <protection locked="0"/>
    </xf>
    <xf numFmtId="0" fontId="30" fillId="0" borderId="56" xfId="0" applyFont="1" applyBorder="1" applyAlignment="1" applyProtection="1">
      <alignment horizontal="left" vertical="top" wrapText="1"/>
      <protection locked="0"/>
    </xf>
    <xf numFmtId="0" fontId="30" fillId="0" borderId="11" xfId="0" applyFont="1" applyBorder="1" applyAlignment="1" applyProtection="1">
      <alignment horizontal="left" vertical="top" wrapText="1"/>
      <protection locked="0"/>
    </xf>
    <xf numFmtId="0" fontId="30" fillId="0" borderId="57" xfId="0" applyFont="1" applyBorder="1" applyAlignment="1" applyProtection="1">
      <alignment horizontal="left" vertical="top" wrapText="1"/>
      <protection locked="0"/>
    </xf>
    <xf numFmtId="0" fontId="30" fillId="0" borderId="14" xfId="0" applyFont="1" applyBorder="1" applyAlignment="1" applyProtection="1">
      <alignment horizontal="left" vertical="top" wrapText="1"/>
      <protection locked="0"/>
    </xf>
    <xf numFmtId="0" fontId="30" fillId="0" borderId="3" xfId="0" applyFont="1" applyBorder="1" applyAlignment="1" applyProtection="1">
      <alignment horizontal="left" vertical="top" wrapText="1"/>
      <protection locked="0"/>
    </xf>
    <xf numFmtId="0" fontId="30" fillId="0" borderId="15" xfId="0" applyFont="1" applyBorder="1" applyAlignment="1" applyProtection="1">
      <alignment horizontal="left" vertical="top" wrapText="1"/>
      <protection locked="0"/>
    </xf>
    <xf numFmtId="0" fontId="30" fillId="0" borderId="16" xfId="0" applyFont="1" applyBorder="1" applyAlignment="1" applyProtection="1">
      <alignment horizontal="left" vertical="top" wrapText="1"/>
      <protection locked="0"/>
    </xf>
    <xf numFmtId="0" fontId="30" fillId="0" borderId="17" xfId="0" applyFont="1" applyBorder="1" applyAlignment="1" applyProtection="1">
      <alignment horizontal="left" vertical="top" wrapText="1"/>
      <protection locked="0"/>
    </xf>
    <xf numFmtId="0" fontId="30" fillId="0" borderId="18" xfId="0" applyFont="1" applyBorder="1" applyAlignment="1" applyProtection="1">
      <alignment horizontal="left" vertical="top" wrapText="1"/>
      <protection locked="0"/>
    </xf>
    <xf numFmtId="9" fontId="54" fillId="0" borderId="8" xfId="0" applyNumberFormat="1" applyFont="1" applyBorder="1" applyAlignment="1" applyProtection="1">
      <alignment horizontal="left" vertical="top" wrapText="1"/>
      <protection locked="0"/>
    </xf>
    <xf numFmtId="9" fontId="54" fillId="0" borderId="0" xfId="0" applyNumberFormat="1" applyFont="1" applyAlignment="1" applyProtection="1">
      <alignment horizontal="left" vertical="top" wrapText="1"/>
      <protection locked="0"/>
    </xf>
    <xf numFmtId="9" fontId="54" fillId="0" borderId="44" xfId="0" applyNumberFormat="1" applyFont="1" applyBorder="1" applyAlignment="1" applyProtection="1">
      <alignment horizontal="left" vertical="top" wrapText="1"/>
      <protection locked="0"/>
    </xf>
    <xf numFmtId="0" fontId="60" fillId="23" borderId="12" xfId="0" applyFont="1" applyFill="1" applyBorder="1" applyAlignment="1" applyProtection="1">
      <alignment horizontal="center" vertical="top" wrapText="1"/>
      <protection locked="0"/>
    </xf>
    <xf numFmtId="0" fontId="60" fillId="23" borderId="13" xfId="0" applyFont="1" applyFill="1" applyBorder="1" applyAlignment="1" applyProtection="1">
      <alignment horizontal="center" vertical="top" wrapText="1"/>
      <protection locked="0"/>
    </xf>
    <xf numFmtId="0" fontId="60" fillId="23" borderId="46" xfId="0" applyFont="1" applyFill="1" applyBorder="1" applyAlignment="1" applyProtection="1">
      <alignment horizontal="center" vertical="top" wrapText="1"/>
      <protection locked="0"/>
    </xf>
    <xf numFmtId="0" fontId="60" fillId="23" borderId="48" xfId="0" applyFont="1" applyFill="1" applyBorder="1" applyAlignment="1" applyProtection="1">
      <alignment horizontal="center" vertical="top" wrapText="1"/>
      <protection locked="0"/>
    </xf>
    <xf numFmtId="9" fontId="27" fillId="18" borderId="53" xfId="3" applyFont="1" applyFill="1" applyBorder="1" applyAlignment="1" applyProtection="1">
      <alignment horizontal="center" vertical="top" wrapText="1"/>
    </xf>
    <xf numFmtId="9" fontId="27" fillId="18" borderId="54" xfId="3" applyFont="1" applyFill="1" applyBorder="1" applyAlignment="1" applyProtection="1">
      <alignment horizontal="center" vertical="top" wrapText="1"/>
    </xf>
    <xf numFmtId="0" fontId="58" fillId="23" borderId="45" xfId="0" applyFont="1" applyFill="1" applyBorder="1" applyAlignment="1" applyProtection="1">
      <alignment horizontal="center" vertical="top" wrapText="1"/>
      <protection locked="0"/>
    </xf>
    <xf numFmtId="0" fontId="58" fillId="23" borderId="12" xfId="0" applyFont="1" applyFill="1" applyBorder="1" applyAlignment="1" applyProtection="1">
      <alignment horizontal="center" vertical="top" wrapText="1"/>
      <protection locked="0"/>
    </xf>
    <xf numFmtId="0" fontId="58" fillId="23" borderId="47" xfId="0" applyFont="1" applyFill="1" applyBorder="1" applyAlignment="1" applyProtection="1">
      <alignment horizontal="center" vertical="top" wrapText="1"/>
      <protection locked="0"/>
    </xf>
    <xf numFmtId="0" fontId="58" fillId="23" borderId="13" xfId="0" applyFont="1" applyFill="1" applyBorder="1" applyAlignment="1" applyProtection="1">
      <alignment horizontal="center" vertical="top" wrapText="1"/>
      <protection locked="0"/>
    </xf>
    <xf numFmtId="9" fontId="66" fillId="0" borderId="43" xfId="3" applyFont="1" applyBorder="1" applyAlignment="1" applyProtection="1">
      <alignment horizontal="center" vertical="top" wrapText="1"/>
    </xf>
    <xf numFmtId="9" fontId="66" fillId="0" borderId="2" xfId="3" applyFont="1" applyBorder="1" applyAlignment="1" applyProtection="1">
      <alignment horizontal="center" vertical="top" wrapText="1"/>
    </xf>
    <xf numFmtId="0" fontId="53" fillId="0" borderId="43" xfId="0" applyFont="1" applyBorder="1" applyAlignment="1" applyProtection="1">
      <alignment horizontal="center" vertical="center" wrapText="1"/>
      <protection locked="0"/>
    </xf>
    <xf numFmtId="0" fontId="53" fillId="0" borderId="2" xfId="0" applyFont="1" applyBorder="1" applyAlignment="1" applyProtection="1">
      <alignment horizontal="center" vertical="center" wrapText="1"/>
      <protection locked="0"/>
    </xf>
    <xf numFmtId="0" fontId="20" fillId="2" borderId="0" xfId="5" applyFont="1" applyFill="1" applyAlignment="1" applyProtection="1">
      <alignment horizontal="center" vertical="top"/>
      <protection locked="0"/>
    </xf>
    <xf numFmtId="0" fontId="43" fillId="3" borderId="26" xfId="0" applyFont="1" applyFill="1" applyBorder="1" applyAlignment="1" applyProtection="1">
      <alignment horizontal="center" vertical="center"/>
      <protection locked="0"/>
    </xf>
    <xf numFmtId="0" fontId="43" fillId="3" borderId="27" xfId="0" applyFont="1" applyFill="1" applyBorder="1" applyAlignment="1" applyProtection="1">
      <alignment horizontal="center" vertical="center"/>
      <protection locked="0"/>
    </xf>
    <xf numFmtId="0" fontId="43" fillId="3" borderId="28" xfId="0" applyFont="1" applyFill="1" applyBorder="1" applyAlignment="1" applyProtection="1">
      <alignment horizontal="center" vertical="center"/>
      <protection locked="0"/>
    </xf>
    <xf numFmtId="0" fontId="43" fillId="3" borderId="29" xfId="0" applyFont="1" applyFill="1" applyBorder="1" applyAlignment="1" applyProtection="1">
      <alignment horizontal="center" vertical="center"/>
      <protection locked="0"/>
    </xf>
    <xf numFmtId="0" fontId="43" fillId="3" borderId="30" xfId="0" applyFont="1" applyFill="1" applyBorder="1" applyAlignment="1" applyProtection="1">
      <alignment horizontal="center" vertical="center"/>
      <protection locked="0"/>
    </xf>
    <xf numFmtId="0" fontId="43" fillId="3" borderId="31" xfId="0" applyFont="1" applyFill="1" applyBorder="1" applyAlignment="1" applyProtection="1">
      <alignment horizontal="center" vertical="center"/>
      <protection locked="0"/>
    </xf>
    <xf numFmtId="9" fontId="54" fillId="0" borderId="1" xfId="0" applyNumberFormat="1" applyFont="1" applyBorder="1" applyAlignment="1" applyProtection="1">
      <alignment horizontal="left" vertical="top" wrapText="1"/>
      <protection locked="0"/>
    </xf>
    <xf numFmtId="9" fontId="54" fillId="0" borderId="9" xfId="0" applyNumberFormat="1" applyFont="1" applyBorder="1" applyAlignment="1" applyProtection="1">
      <alignment horizontal="left" vertical="top" wrapText="1"/>
      <protection locked="0"/>
    </xf>
    <xf numFmtId="9" fontId="54" fillId="0" borderId="50" xfId="0" applyNumberFormat="1" applyFont="1" applyBorder="1" applyAlignment="1" applyProtection="1">
      <alignment horizontal="left" vertical="top" wrapText="1"/>
      <protection locked="0"/>
    </xf>
    <xf numFmtId="0" fontId="47" fillId="0" borderId="43" xfId="0" applyFont="1" applyBorder="1" applyAlignment="1" applyProtection="1">
      <alignment horizontal="center" vertical="center" wrapText="1"/>
      <protection locked="0"/>
    </xf>
    <xf numFmtId="0" fontId="47" fillId="0" borderId="2" xfId="0" applyFont="1" applyBorder="1" applyAlignment="1" applyProtection="1">
      <alignment horizontal="center" vertical="center" wrapText="1"/>
      <protection locked="0"/>
    </xf>
    <xf numFmtId="9" fontId="32" fillId="11" borderId="43" xfId="3" applyFont="1" applyFill="1" applyBorder="1" applyAlignment="1" applyProtection="1">
      <alignment horizontal="left" vertical="top"/>
      <protection locked="0"/>
    </xf>
    <xf numFmtId="9" fontId="32" fillId="11" borderId="0" xfId="3" applyFont="1" applyFill="1" applyBorder="1" applyAlignment="1" applyProtection="1">
      <alignment horizontal="left" vertical="top"/>
      <protection locked="0"/>
    </xf>
    <xf numFmtId="0" fontId="5" fillId="23" borderId="12" xfId="0" applyFont="1" applyFill="1" applyBorder="1" applyAlignment="1" applyProtection="1">
      <alignment horizontal="center" vertical="top" wrapText="1"/>
      <protection locked="0"/>
    </xf>
    <xf numFmtId="0" fontId="5" fillId="23" borderId="13" xfId="0" applyFont="1" applyFill="1" applyBorder="1" applyAlignment="1" applyProtection="1">
      <alignment horizontal="center" vertical="top" wrapText="1"/>
      <protection locked="0"/>
    </xf>
    <xf numFmtId="0" fontId="67" fillId="0" borderId="0" xfId="5" applyFont="1" applyAlignment="1" applyProtection="1">
      <alignment horizontal="left" vertical="top" wrapText="1"/>
      <protection locked="0"/>
    </xf>
    <xf numFmtId="9" fontId="55" fillId="0" borderId="43" xfId="3" applyFont="1" applyBorder="1" applyAlignment="1" applyProtection="1">
      <alignment horizontal="center" vertical="top" wrapText="1"/>
    </xf>
    <xf numFmtId="9" fontId="55" fillId="0" borderId="2" xfId="3" applyFont="1" applyBorder="1" applyAlignment="1" applyProtection="1">
      <alignment horizontal="center" vertical="top" wrapText="1"/>
    </xf>
    <xf numFmtId="9" fontId="31" fillId="0" borderId="22" xfId="3" applyFont="1" applyBorder="1" applyAlignment="1" applyProtection="1">
      <alignment horizontal="center" vertical="top" wrapText="1"/>
    </xf>
    <xf numFmtId="9" fontId="31" fillId="0" borderId="23" xfId="3" applyFont="1" applyBorder="1" applyAlignment="1" applyProtection="1">
      <alignment horizontal="center" vertical="top" wrapText="1"/>
    </xf>
    <xf numFmtId="9" fontId="31" fillId="0" borderId="24" xfId="3" applyFont="1" applyBorder="1" applyAlignment="1" applyProtection="1">
      <alignment horizontal="center" vertical="top" wrapText="1"/>
    </xf>
    <xf numFmtId="9" fontId="31" fillId="0" borderId="25" xfId="3" applyFont="1" applyBorder="1" applyAlignment="1" applyProtection="1">
      <alignment horizontal="center" vertical="top" wrapText="1"/>
    </xf>
    <xf numFmtId="49" fontId="7" fillId="0" borderId="0" xfId="4" applyNumberFormat="1" applyFont="1" applyAlignment="1" applyProtection="1">
      <alignment horizontal="left" vertical="center" wrapText="1"/>
      <protection locked="0"/>
    </xf>
    <xf numFmtId="169" fontId="61" fillId="0" borderId="0" xfId="4" applyNumberFormat="1" applyFont="1" applyAlignment="1" applyProtection="1">
      <alignment horizontal="left" vertical="top"/>
      <protection locked="0"/>
    </xf>
    <xf numFmtId="0" fontId="38" fillId="0" borderId="0" xfId="5" applyFont="1" applyAlignment="1" applyProtection="1">
      <alignment horizontal="center" vertical="top" wrapText="1"/>
      <protection locked="0"/>
    </xf>
    <xf numFmtId="0" fontId="41" fillId="28" borderId="0" xfId="5" applyFont="1" applyFill="1" applyAlignment="1">
      <alignment horizontal="center" wrapText="1"/>
    </xf>
    <xf numFmtId="0" fontId="19" fillId="28" borderId="0" xfId="5" applyFont="1" applyFill="1" applyAlignment="1">
      <alignment horizontal="center" wrapText="1"/>
    </xf>
    <xf numFmtId="0" fontId="12" fillId="29" borderId="0" xfId="5" applyFont="1" applyFill="1" applyAlignment="1">
      <alignment horizontal="center" wrapText="1"/>
    </xf>
    <xf numFmtId="0" fontId="12" fillId="12" borderId="0" xfId="5" applyFont="1" applyFill="1" applyAlignment="1">
      <alignment horizontal="center" wrapText="1"/>
    </xf>
    <xf numFmtId="0" fontId="12" fillId="15" borderId="0" xfId="5" applyFont="1" applyFill="1" applyAlignment="1">
      <alignment horizontal="center" wrapText="1"/>
    </xf>
    <xf numFmtId="0" fontId="8" fillId="2" borderId="0" xfId="5" applyFont="1" applyFill="1" applyAlignment="1" applyProtection="1">
      <alignment horizontal="left" wrapText="1"/>
      <protection locked="0"/>
    </xf>
  </cellXfs>
  <cellStyles count="8">
    <cellStyle name="Comma" xfId="7" builtinId="3"/>
    <cellStyle name="Currency" xfId="4" builtinId="4"/>
    <cellStyle name="Currency 2" xfId="2" xr:uid="{A2F04DEE-754E-4076-82A4-B0B68AD6E98E}"/>
    <cellStyle name="Normal" xfId="0" builtinId="0"/>
    <cellStyle name="Normal 2" xfId="1" xr:uid="{9E3E3975-36DF-43E8-95EF-06CF67D9884D}"/>
    <cellStyle name="Normal 3" xfId="5" xr:uid="{64EBA810-BE03-4826-A06F-4A8E1E95A727}"/>
    <cellStyle name="Normal 4" xfId="6" xr:uid="{23269F62-0DF3-4C46-B5DC-91D74685A1A7}"/>
    <cellStyle name="Percent" xfId="3" builtinId="5"/>
  </cellStyles>
  <dxfs count="0"/>
  <tableStyles count="0" defaultTableStyle="TableStyleMedium2" defaultPivotStyle="PivotStyleLight16"/>
  <colors>
    <mruColors>
      <color rgb="FFFBFEFF"/>
      <color rgb="FFFFFFE7"/>
      <color rgb="FFF0FAFE"/>
      <color rgb="FFFFFF93"/>
      <color rgb="FFD6FFFE"/>
      <color rgb="FFFFF0C1"/>
      <color rgb="FFEF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20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Revenue Performance vs. Payout Curve</a:t>
            </a:r>
          </a:p>
        </c:rich>
      </c:tx>
      <c:layout>
        <c:manualLayout>
          <c:xMode val="edge"/>
          <c:yMode val="edge"/>
          <c:x val="0.25664277189053114"/>
          <c:y val="2.1369510812075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rgbClr val="00B05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57828883358411"/>
          <c:y val="0.10749013506353454"/>
          <c:w val="0.70194709204133943"/>
          <c:h val="0.751905027387748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'Look Up Table'!$N$6</c:f>
              <c:strCache>
                <c:ptCount val="1"/>
                <c:pt idx="0">
                  <c:v>Payout % of Target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A-40A2-9D9C-17757456C7D2}"/>
                </c:ext>
              </c:extLst>
            </c:dLbl>
            <c:dLbl>
              <c:idx val="15"/>
              <c:spPr>
                <a:solidFill>
                  <a:srgbClr val="FFFF93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206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1A-40A2-9D9C-17757456C7D2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  <a:cs typeface="+mn-cs"/>
                      </a:defRPr>
                    </a:pPr>
                    <a:fld id="{4AD74C48-A7D5-48AE-BDEA-57898F602480}" type="YVALUE">
                      <a:rPr lang="en-US" sz="100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</a:rPr>
                      <a:pPr>
                        <a:defRPr sz="1000" b="1">
                          <a:solidFill>
                            <a:schemeClr val="bg1"/>
                          </a:solidFill>
                          <a:latin typeface="Roboto" panose="02000000000000000000" pitchFamily="2" charset="0"/>
                          <a:ea typeface="Roboto" panose="02000000000000000000" pitchFamily="2" charset="0"/>
                        </a:defRPr>
                      </a:pPr>
                      <a:t>[Y VALUE]</a:t>
                    </a:fld>
                    <a:endParaRPr lang="en-US"/>
                  </a:p>
                </c:rich>
              </c:tx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B1A-40A2-9D9C-17757456C7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Table'!$M$7:$M$37</c:f>
              <c:numCache>
                <c:formatCode>0%</c:formatCode>
                <c:ptCount val="31"/>
                <c:pt idx="0">
                  <c:v>0.84999999999999987</c:v>
                </c:pt>
                <c:pt idx="1">
                  <c:v>0.85999999999999988</c:v>
                </c:pt>
                <c:pt idx="2">
                  <c:v>0.86999999999999988</c:v>
                </c:pt>
                <c:pt idx="3">
                  <c:v>0.87999999999999989</c:v>
                </c:pt>
                <c:pt idx="4">
                  <c:v>0.8899999999999999</c:v>
                </c:pt>
                <c:pt idx="5">
                  <c:v>0.89999999999999991</c:v>
                </c:pt>
                <c:pt idx="6">
                  <c:v>0.90999999999999992</c:v>
                </c:pt>
                <c:pt idx="7">
                  <c:v>0.91999999999999993</c:v>
                </c:pt>
                <c:pt idx="8">
                  <c:v>0.92999999999999994</c:v>
                </c:pt>
                <c:pt idx="9">
                  <c:v>0.94</c:v>
                </c:pt>
                <c:pt idx="10">
                  <c:v>0.95</c:v>
                </c:pt>
                <c:pt idx="11">
                  <c:v>0.96</c:v>
                </c:pt>
                <c:pt idx="12">
                  <c:v>0.97</c:v>
                </c:pt>
                <c:pt idx="13">
                  <c:v>0.98</c:v>
                </c:pt>
                <c:pt idx="14">
                  <c:v>0.99</c:v>
                </c:pt>
                <c:pt idx="15">
                  <c:v>1</c:v>
                </c:pt>
                <c:pt idx="16">
                  <c:v>1.01</c:v>
                </c:pt>
                <c:pt idx="17">
                  <c:v>1.02</c:v>
                </c:pt>
                <c:pt idx="18">
                  <c:v>1.03</c:v>
                </c:pt>
                <c:pt idx="19">
                  <c:v>1.04</c:v>
                </c:pt>
                <c:pt idx="20">
                  <c:v>1.05</c:v>
                </c:pt>
                <c:pt idx="21">
                  <c:v>1.06</c:v>
                </c:pt>
                <c:pt idx="22">
                  <c:v>1.07</c:v>
                </c:pt>
                <c:pt idx="23">
                  <c:v>1.08</c:v>
                </c:pt>
                <c:pt idx="24">
                  <c:v>1.0900000000000001</c:v>
                </c:pt>
                <c:pt idx="25">
                  <c:v>1.1000000000000001</c:v>
                </c:pt>
                <c:pt idx="26">
                  <c:v>1.1100000000000001</c:v>
                </c:pt>
                <c:pt idx="27">
                  <c:v>1.1200000000000001</c:v>
                </c:pt>
                <c:pt idx="28">
                  <c:v>1.1300000000000001</c:v>
                </c:pt>
                <c:pt idx="29">
                  <c:v>1.1400000000000001</c:v>
                </c:pt>
                <c:pt idx="30">
                  <c:v>1.1500000000000001</c:v>
                </c:pt>
              </c:numCache>
            </c:numRef>
          </c:xVal>
          <c:yVal>
            <c:numRef>
              <c:f>'Look Up Table'!$N$7:$N$37</c:f>
              <c:numCache>
                <c:formatCode>0%</c:formatCode>
                <c:ptCount val="31"/>
                <c:pt idx="0">
                  <c:v>0.5</c:v>
                </c:pt>
                <c:pt idx="1">
                  <c:v>0.53333333333333333</c:v>
                </c:pt>
                <c:pt idx="2">
                  <c:v>0.56666666666666665</c:v>
                </c:pt>
                <c:pt idx="3">
                  <c:v>0.6</c:v>
                </c:pt>
                <c:pt idx="4">
                  <c:v>0.6333333333333333</c:v>
                </c:pt>
                <c:pt idx="5">
                  <c:v>0.66666666666666663</c:v>
                </c:pt>
                <c:pt idx="6">
                  <c:v>0.7</c:v>
                </c:pt>
                <c:pt idx="7">
                  <c:v>0.73333333333333339</c:v>
                </c:pt>
                <c:pt idx="8">
                  <c:v>0.76666666666666661</c:v>
                </c:pt>
                <c:pt idx="9">
                  <c:v>0.8</c:v>
                </c:pt>
                <c:pt idx="10">
                  <c:v>0.83333333333333326</c:v>
                </c:pt>
                <c:pt idx="11">
                  <c:v>0.8666666666666667</c:v>
                </c:pt>
                <c:pt idx="12">
                  <c:v>0.9</c:v>
                </c:pt>
                <c:pt idx="13">
                  <c:v>0.93333333333333335</c:v>
                </c:pt>
                <c:pt idx="14">
                  <c:v>0.96666666666666667</c:v>
                </c:pt>
                <c:pt idx="15">
                  <c:v>1</c:v>
                </c:pt>
                <c:pt idx="16">
                  <c:v>1.0666666666666667</c:v>
                </c:pt>
                <c:pt idx="17">
                  <c:v>1.1333333333333333</c:v>
                </c:pt>
                <c:pt idx="18">
                  <c:v>1.2</c:v>
                </c:pt>
                <c:pt idx="19">
                  <c:v>1.2666666666666666</c:v>
                </c:pt>
                <c:pt idx="20">
                  <c:v>1.3333333333333333</c:v>
                </c:pt>
                <c:pt idx="21">
                  <c:v>1.4</c:v>
                </c:pt>
                <c:pt idx="22">
                  <c:v>1.4666666666666668</c:v>
                </c:pt>
                <c:pt idx="23">
                  <c:v>1.5333333333333332</c:v>
                </c:pt>
                <c:pt idx="24">
                  <c:v>1.6</c:v>
                </c:pt>
                <c:pt idx="25">
                  <c:v>1.6666666666666665</c:v>
                </c:pt>
                <c:pt idx="26">
                  <c:v>1.7333333333333334</c:v>
                </c:pt>
                <c:pt idx="27">
                  <c:v>1.8</c:v>
                </c:pt>
                <c:pt idx="28">
                  <c:v>1.8666666666666667</c:v>
                </c:pt>
                <c:pt idx="29">
                  <c:v>1.9333333333333333</c:v>
                </c:pt>
                <c:pt idx="3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1A-40A2-9D9C-17757456C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721872"/>
        <c:axId val="373721392"/>
      </c:scatterChart>
      <c:valAx>
        <c:axId val="37372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</a:t>
                </a:r>
                <a:r>
                  <a:rPr lang="en-US" sz="1400" b="1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400" b="1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0.46679038040191229"/>
              <c:y val="0.92271210688419814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392"/>
        <c:crosses val="autoZero"/>
        <c:crossBetween val="midCat"/>
      </c:valAx>
      <c:valAx>
        <c:axId val="373721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</a:t>
                </a:r>
                <a:r>
                  <a:rPr lang="en-US" sz="1600" b="1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600" b="1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1.9944924019105595E-2"/>
              <c:y val="0.3624317643288833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97722490800329"/>
          <c:y val="0.38908472054214105"/>
          <c:w val="0.173022811275333"/>
          <c:h val="0.10567875795386179"/>
        </c:manualLayout>
      </c:layout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00206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2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net income Performance vs. Payout Curve</a:t>
            </a:r>
          </a:p>
        </c:rich>
      </c:tx>
      <c:layout>
        <c:manualLayout>
          <c:xMode val="edge"/>
          <c:yMode val="edge"/>
          <c:x val="0.25035376592325653"/>
          <c:y val="2.2429315645374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cap="all" spc="120" normalizeH="0" baseline="0">
              <a:solidFill>
                <a:srgbClr val="00B05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9049717457338"/>
          <c:y val="0.11114846421222346"/>
          <c:w val="0.68391106755457876"/>
          <c:h val="0.742333813451381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'Look Up Table'!$S$6</c:f>
              <c:strCache>
                <c:ptCount val="1"/>
                <c:pt idx="0">
                  <c:v>Payout % of Target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6FFFE"/>
              </a:solidFill>
              <a:ln w="9525">
                <a:solidFill>
                  <a:srgbClr val="002060"/>
                </a:solidFill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A0-4DF7-BCC5-3D1BE19F3AE8}"/>
                </c:ext>
              </c:extLst>
            </c:dLbl>
            <c:dLbl>
              <c:idx val="10"/>
              <c:spPr>
                <a:solidFill>
                  <a:srgbClr val="FFFF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A0-4DF7-BCC5-3D1BE19F3AE8}"/>
                </c:ext>
              </c:extLst>
            </c:dLbl>
            <c:dLbl>
              <c:idx val="20"/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A0-4DF7-BCC5-3D1BE19F3AE8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Table'!$R$7:$R$27</c:f>
              <c:numCache>
                <c:formatCode>0%</c:formatCode>
                <c:ptCount val="21"/>
                <c:pt idx="0">
                  <c:v>0.89999999999999991</c:v>
                </c:pt>
                <c:pt idx="1">
                  <c:v>0.90999999999999992</c:v>
                </c:pt>
                <c:pt idx="2">
                  <c:v>0.91999999999999993</c:v>
                </c:pt>
                <c:pt idx="3">
                  <c:v>0.92999999999999994</c:v>
                </c:pt>
                <c:pt idx="4">
                  <c:v>0.94</c:v>
                </c:pt>
                <c:pt idx="5">
                  <c:v>0.95</c:v>
                </c:pt>
                <c:pt idx="6">
                  <c:v>0.96</c:v>
                </c:pt>
                <c:pt idx="7">
                  <c:v>0.97</c:v>
                </c:pt>
                <c:pt idx="8">
                  <c:v>0.98</c:v>
                </c:pt>
                <c:pt idx="9">
                  <c:v>0.99</c:v>
                </c:pt>
                <c:pt idx="10">
                  <c:v>1</c:v>
                </c:pt>
                <c:pt idx="11">
                  <c:v>1.01</c:v>
                </c:pt>
                <c:pt idx="12">
                  <c:v>1.02</c:v>
                </c:pt>
                <c:pt idx="13">
                  <c:v>1.03</c:v>
                </c:pt>
                <c:pt idx="14">
                  <c:v>1.04</c:v>
                </c:pt>
                <c:pt idx="15">
                  <c:v>1.05</c:v>
                </c:pt>
                <c:pt idx="16">
                  <c:v>1.06</c:v>
                </c:pt>
                <c:pt idx="17">
                  <c:v>1.07</c:v>
                </c:pt>
                <c:pt idx="18">
                  <c:v>1.08</c:v>
                </c:pt>
                <c:pt idx="19">
                  <c:v>1.0900000000000001</c:v>
                </c:pt>
                <c:pt idx="20">
                  <c:v>1.1000000000000001</c:v>
                </c:pt>
              </c:numCache>
            </c:numRef>
          </c:xVal>
          <c:yVal>
            <c:numRef>
              <c:f>'Look Up Table'!$S$7:$S$27</c:f>
              <c:numCache>
                <c:formatCode>0%</c:formatCode>
                <c:ptCount val="2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A0-4DF7-BCC5-3D1BE19F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84447"/>
        <c:axId val="1161187807"/>
      </c:scatterChart>
      <c:valAx>
        <c:axId val="1161184447"/>
        <c:scaling>
          <c:orientation val="minMax"/>
          <c:max val="1.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 %</a:t>
                </a:r>
              </a:p>
            </c:rich>
          </c:tx>
          <c:layout>
            <c:manualLayout>
              <c:xMode val="edge"/>
              <c:yMode val="edge"/>
              <c:x val="0.44125987079803358"/>
              <c:y val="0.91956707145066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7807"/>
        <c:crosses val="autoZero"/>
        <c:crossBetween val="midCat"/>
      </c:valAx>
      <c:valAx>
        <c:axId val="116118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6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 %</a:t>
                </a:r>
              </a:p>
            </c:rich>
          </c:tx>
          <c:layout>
            <c:manualLayout>
              <c:xMode val="edge"/>
              <c:yMode val="edge"/>
              <c:x val="2.4758222849132098E-2"/>
              <c:y val="0.36880057921980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600" b="1" i="0" u="none" strike="noStrike" kern="1200" cap="all" baseline="0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4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52917</xdr:colOff>
      <xdr:row>13</xdr:row>
      <xdr:rowOff>63501</xdr:rowOff>
    </xdr:from>
    <xdr:to>
      <xdr:col>19</xdr:col>
      <xdr:colOff>1545168</xdr:colOff>
      <xdr:row>20</xdr:row>
      <xdr:rowOff>465667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6A9F44-FBE6-4947-A7D4-44902155E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36285</xdr:colOff>
      <xdr:row>13</xdr:row>
      <xdr:rowOff>36286</xdr:rowOff>
    </xdr:from>
    <xdr:to>
      <xdr:col>25</xdr:col>
      <xdr:colOff>344714</xdr:colOff>
      <xdr:row>20</xdr:row>
      <xdr:rowOff>408214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B1524E-4E2F-4CEF-9571-7FE20F16D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7</xdr:row>
          <xdr:rowOff>31750</xdr:rowOff>
        </xdr:from>
        <xdr:to>
          <xdr:col>3</xdr:col>
          <xdr:colOff>0</xdr:colOff>
          <xdr:row>8</xdr:row>
          <xdr:rowOff>6350</xdr:rowOff>
        </xdr:to>
        <xdr:sp macro="" textlink="">
          <xdr:nvSpPr>
            <xdr:cNvPr id="4153" name="ComboBox1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19</xdr:row>
          <xdr:rowOff>0</xdr:rowOff>
        </xdr:from>
        <xdr:to>
          <xdr:col>6</xdr:col>
          <xdr:colOff>6350</xdr:colOff>
          <xdr:row>20</xdr:row>
          <xdr:rowOff>19050</xdr:rowOff>
        </xdr:to>
        <xdr:sp macro="" textlink="">
          <xdr:nvSpPr>
            <xdr:cNvPr id="4154" name="ComboBox2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155" name="ComboBox3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23</xdr:row>
          <xdr:rowOff>0</xdr:rowOff>
        </xdr:from>
        <xdr:to>
          <xdr:col>6</xdr:col>
          <xdr:colOff>12700</xdr:colOff>
          <xdr:row>24</xdr:row>
          <xdr:rowOff>19050</xdr:rowOff>
        </xdr:to>
        <xdr:sp macro="" textlink="">
          <xdr:nvSpPr>
            <xdr:cNvPr id="4156" name="ComboBox4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89782</xdr:colOff>
      <xdr:row>1</xdr:row>
      <xdr:rowOff>118707</xdr:rowOff>
    </xdr:from>
    <xdr:to>
      <xdr:col>19</xdr:col>
      <xdr:colOff>983825</xdr:colOff>
      <xdr:row>3</xdr:row>
      <xdr:rowOff>240948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1302B-2EB3-E80C-E284-C023E5312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5338" y="323318"/>
          <a:ext cx="2238490" cy="5471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35F51-365C-43B3-B74A-38F289C6EE13}">
  <sheetPr codeName="Sheet3">
    <tabColor rgb="FFFFFF00"/>
    <pageSetUpPr fitToPage="1"/>
  </sheetPr>
  <dimension ref="A1:AC969"/>
  <sheetViews>
    <sheetView showGridLines="0" tabSelected="1" zoomScale="60" zoomScaleNormal="60" workbookViewId="0">
      <selection activeCell="M20" sqref="M20"/>
    </sheetView>
  </sheetViews>
  <sheetFormatPr defaultColWidth="15.3984375" defaultRowHeight="15" customHeight="1" outlineLevelCol="1" x14ac:dyDescent="0.3"/>
  <cols>
    <col min="1" max="1" width="7.19921875" style="7" customWidth="1"/>
    <col min="2" max="2" width="22.5" style="7" customWidth="1"/>
    <col min="3" max="3" width="26.19921875" style="7" customWidth="1"/>
    <col min="4" max="4" width="32.3984375" style="7" customWidth="1"/>
    <col min="5" max="7" width="27.8984375" style="7" customWidth="1"/>
    <col min="8" max="8" width="27.8984375" style="7" hidden="1" customWidth="1" outlineLevel="1"/>
    <col min="9" max="9" width="27.8984375" style="7" customWidth="1" collapsed="1"/>
    <col min="10" max="11" width="27.8984375" style="7" customWidth="1"/>
    <col min="12" max="12" width="14.5" style="7" hidden="1" customWidth="1"/>
    <col min="13" max="13" width="25.59765625" style="7" customWidth="1"/>
    <col min="14" max="14" width="18.3984375" style="7" customWidth="1"/>
    <col min="15" max="15" width="4.09765625" style="29" hidden="1" customWidth="1"/>
    <col min="16" max="16" width="7.69921875" style="175" customWidth="1"/>
    <col min="17" max="17" width="31.09765625" style="7" customWidth="1"/>
    <col min="18" max="19" width="23" style="7" customWidth="1"/>
    <col min="20" max="20" width="24.5" style="7" customWidth="1"/>
    <col min="21" max="21" width="7.69921875" style="6" customWidth="1"/>
    <col min="22" max="22" width="32.296875" style="7" customWidth="1"/>
    <col min="23" max="24" width="23" style="7" customWidth="1"/>
    <col min="25" max="25" width="21.3984375" style="7" customWidth="1"/>
    <col min="26" max="26" width="7.69921875" style="175" customWidth="1"/>
    <col min="27" max="27" width="10.19921875" style="7" customWidth="1" outlineLevel="1"/>
    <col min="28" max="28" width="33.3984375" style="7" customWidth="1" outlineLevel="1"/>
    <col min="29" max="29" width="22.5" style="7" customWidth="1" outlineLevel="1"/>
    <col min="30" max="16384" width="15.3984375" style="7"/>
  </cols>
  <sheetData>
    <row r="1" spans="1:29" s="3" customFormat="1" ht="16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6"/>
      <c r="N1" s="6"/>
      <c r="P1" s="175"/>
      <c r="Q1" s="204" t="s">
        <v>46</v>
      </c>
      <c r="R1" s="204"/>
      <c r="S1" s="204"/>
      <c r="T1" s="204"/>
      <c r="U1" s="177"/>
      <c r="V1" s="204" t="s">
        <v>67</v>
      </c>
      <c r="W1" s="204"/>
      <c r="X1" s="204"/>
      <c r="Y1" s="204"/>
      <c r="Z1" s="175"/>
      <c r="AA1" s="237" t="s">
        <v>57</v>
      </c>
      <c r="AB1" s="237"/>
      <c r="AC1" s="237"/>
    </row>
    <row r="2" spans="1:29" s="3" customFormat="1" thickBot="1" x14ac:dyDescent="0.35">
      <c r="B2" s="4"/>
      <c r="C2" s="4"/>
      <c r="D2" s="4"/>
      <c r="E2" s="4"/>
      <c r="F2" s="4"/>
      <c r="G2" s="4"/>
      <c r="H2" s="4"/>
      <c r="I2" s="4"/>
      <c r="J2" s="4"/>
      <c r="K2" s="4"/>
      <c r="L2" s="7"/>
      <c r="P2" s="175"/>
      <c r="Q2" s="178" t="s">
        <v>26</v>
      </c>
      <c r="R2" s="179" t="s">
        <v>51</v>
      </c>
      <c r="S2" s="180" t="s">
        <v>17</v>
      </c>
      <c r="T2" s="68" t="s">
        <v>54</v>
      </c>
      <c r="U2" s="181"/>
      <c r="V2" s="182" t="s">
        <v>26</v>
      </c>
      <c r="W2" s="67" t="s">
        <v>51</v>
      </c>
      <c r="X2" s="183" t="s">
        <v>17</v>
      </c>
      <c r="Y2" s="68" t="s">
        <v>54</v>
      </c>
      <c r="Z2" s="175"/>
      <c r="AA2" s="66" t="s">
        <v>25</v>
      </c>
      <c r="AB2" s="67" t="s">
        <v>28</v>
      </c>
      <c r="AC2" s="68" t="s">
        <v>54</v>
      </c>
    </row>
    <row r="3" spans="1:29" s="3" customFormat="1" ht="19.25" customHeight="1" x14ac:dyDescent="0.3">
      <c r="B3" s="4"/>
      <c r="C3" s="4"/>
      <c r="D3" s="4"/>
      <c r="E3" s="4"/>
      <c r="F3" s="4"/>
      <c r="G3" s="4"/>
      <c r="H3" s="4"/>
      <c r="I3" s="4"/>
      <c r="J3" s="4"/>
      <c r="K3" s="4"/>
      <c r="L3" s="7"/>
      <c r="M3" s="5"/>
      <c r="N3" s="8"/>
      <c r="P3" s="175"/>
      <c r="Q3" s="65" t="s">
        <v>79</v>
      </c>
      <c r="R3" s="159"/>
      <c r="S3" s="70" t="s">
        <v>36</v>
      </c>
      <c r="T3" s="71">
        <v>2</v>
      </c>
      <c r="U3" s="69"/>
      <c r="V3" s="65" t="s">
        <v>79</v>
      </c>
      <c r="W3" s="80"/>
      <c r="X3" s="81" t="s">
        <v>37</v>
      </c>
      <c r="Y3" s="76">
        <v>2</v>
      </c>
      <c r="Z3" s="175"/>
      <c r="AA3" s="9">
        <v>5</v>
      </c>
      <c r="AB3" s="10" t="s">
        <v>45</v>
      </c>
      <c r="AC3" s="77">
        <v>2</v>
      </c>
    </row>
    <row r="4" spans="1:29" s="3" customFormat="1" ht="19.25" customHeight="1" thickBot="1" x14ac:dyDescent="0.35">
      <c r="B4" s="4"/>
      <c r="C4" s="4"/>
      <c r="D4" s="4"/>
      <c r="E4" s="4"/>
      <c r="F4" s="4"/>
      <c r="G4" s="4"/>
      <c r="H4" s="4"/>
      <c r="I4" s="4"/>
      <c r="J4" s="4"/>
      <c r="K4" s="4"/>
      <c r="L4" s="7"/>
      <c r="M4" s="5"/>
      <c r="N4" s="6"/>
      <c r="P4" s="175"/>
      <c r="Q4" s="62" t="s">
        <v>63</v>
      </c>
      <c r="R4" s="162">
        <f>$R$5*$S$4</f>
        <v>78.199999999999989</v>
      </c>
      <c r="S4" s="72">
        <v>1.1499999999999999</v>
      </c>
      <c r="T4" s="72">
        <v>2</v>
      </c>
      <c r="U4" s="69"/>
      <c r="V4" s="62" t="s">
        <v>63</v>
      </c>
      <c r="W4" s="162">
        <f>$W$5*$X$4</f>
        <v>12.777570074126915</v>
      </c>
      <c r="X4" s="72">
        <v>1.1000000000000001</v>
      </c>
      <c r="Y4" s="72">
        <v>2</v>
      </c>
      <c r="Z4" s="175"/>
      <c r="AA4" s="11">
        <v>4</v>
      </c>
      <c r="AB4" s="12" t="s">
        <v>42</v>
      </c>
      <c r="AC4" s="78">
        <v>1.5</v>
      </c>
    </row>
    <row r="5" spans="1:29" s="13" customFormat="1" ht="19.149999999999999" customHeight="1" x14ac:dyDescent="0.3">
      <c r="A5" s="3"/>
      <c r="B5" s="238" t="s">
        <v>81</v>
      </c>
      <c r="C5" s="239"/>
      <c r="D5" s="239"/>
      <c r="E5" s="239"/>
      <c r="F5" s="239"/>
      <c r="G5" s="239"/>
      <c r="H5" s="239"/>
      <c r="I5" s="239"/>
      <c r="J5" s="239"/>
      <c r="K5" s="240"/>
      <c r="L5" s="7"/>
      <c r="N5" s="14"/>
      <c r="O5" s="15"/>
      <c r="P5" s="175"/>
      <c r="Q5" s="63" t="s">
        <v>0</v>
      </c>
      <c r="R5" s="163">
        <v>68</v>
      </c>
      <c r="S5" s="73">
        <v>1</v>
      </c>
      <c r="T5" s="73">
        <v>1</v>
      </c>
      <c r="U5" s="69"/>
      <c r="V5" s="63" t="s">
        <v>0</v>
      </c>
      <c r="W5" s="163">
        <v>11.615972794660831</v>
      </c>
      <c r="X5" s="73">
        <v>1</v>
      </c>
      <c r="Y5" s="73">
        <v>1</v>
      </c>
      <c r="Z5" s="175"/>
      <c r="AA5" s="16">
        <v>3</v>
      </c>
      <c r="AB5" s="12" t="s">
        <v>43</v>
      </c>
      <c r="AC5" s="78">
        <v>1</v>
      </c>
    </row>
    <row r="6" spans="1:29" s="17" customFormat="1" ht="19.25" customHeight="1" thickBot="1" x14ac:dyDescent="0.35">
      <c r="B6" s="241"/>
      <c r="C6" s="242"/>
      <c r="D6" s="242"/>
      <c r="E6" s="242"/>
      <c r="F6" s="242"/>
      <c r="G6" s="242"/>
      <c r="H6" s="242"/>
      <c r="I6" s="242"/>
      <c r="J6" s="242"/>
      <c r="K6" s="243"/>
      <c r="L6" s="18"/>
      <c r="M6" s="19"/>
      <c r="N6" s="6"/>
      <c r="O6" s="20"/>
      <c r="P6" s="175"/>
      <c r="Q6" s="62" t="s">
        <v>3</v>
      </c>
      <c r="R6" s="162">
        <f>$R$5*$S$6</f>
        <v>57.8</v>
      </c>
      <c r="S6" s="72">
        <v>0.85</v>
      </c>
      <c r="T6" s="72">
        <v>0.5</v>
      </c>
      <c r="U6" s="69"/>
      <c r="V6" s="62" t="s">
        <v>3</v>
      </c>
      <c r="W6" s="162">
        <f>$W$5*$X$6</f>
        <v>10.454375515194748</v>
      </c>
      <c r="X6" s="72">
        <v>0.9</v>
      </c>
      <c r="Y6" s="72">
        <v>0.5</v>
      </c>
      <c r="Z6" s="175"/>
      <c r="AA6" s="21">
        <v>2</v>
      </c>
      <c r="AB6" s="12" t="s">
        <v>29</v>
      </c>
      <c r="AC6" s="78">
        <v>0.5</v>
      </c>
    </row>
    <row r="7" spans="1:29" s="13" customFormat="1" ht="20" customHeight="1" x14ac:dyDescent="0.3">
      <c r="B7" s="186" t="s">
        <v>8</v>
      </c>
      <c r="C7" s="154" t="s">
        <v>9</v>
      </c>
      <c r="E7" s="2"/>
      <c r="F7" s="2"/>
      <c r="I7" s="156" t="s">
        <v>20</v>
      </c>
      <c r="J7" s="22">
        <v>350000</v>
      </c>
      <c r="K7" s="187"/>
      <c r="L7" s="7"/>
      <c r="M7" s="23"/>
      <c r="N7" s="6"/>
      <c r="O7" s="24"/>
      <c r="P7" s="175"/>
      <c r="Q7" s="64" t="s">
        <v>27</v>
      </c>
      <c r="R7" s="74"/>
      <c r="S7" s="75" t="s">
        <v>4</v>
      </c>
      <c r="T7" s="75">
        <v>0</v>
      </c>
      <c r="U7" s="69"/>
      <c r="V7" s="64" t="s">
        <v>27</v>
      </c>
      <c r="W7" s="74"/>
      <c r="X7" s="75" t="s">
        <v>5</v>
      </c>
      <c r="Y7" s="75">
        <v>0</v>
      </c>
      <c r="Z7" s="175"/>
      <c r="AA7" s="26">
        <v>1</v>
      </c>
      <c r="AB7" s="25" t="s">
        <v>44</v>
      </c>
      <c r="AC7" s="79" t="s">
        <v>56</v>
      </c>
    </row>
    <row r="8" spans="1:29" ht="20" customHeight="1" x14ac:dyDescent="0.3">
      <c r="B8" s="186" t="s">
        <v>49</v>
      </c>
      <c r="C8" s="155" t="s">
        <v>6</v>
      </c>
      <c r="E8" s="2"/>
      <c r="F8" s="2"/>
      <c r="I8" s="156" t="s">
        <v>10</v>
      </c>
      <c r="J8" s="144">
        <f>_xlfn.XLOOKUP($C$8,'Look Up Table'!$B$6:$B$15,'Look Up Table'!$C$6:$C$15,"")</f>
        <v>0.5</v>
      </c>
      <c r="K8" s="188"/>
      <c r="M8" s="8"/>
      <c r="N8" s="8"/>
      <c r="O8" s="27"/>
      <c r="Q8" s="253" t="s">
        <v>80</v>
      </c>
      <c r="R8" s="253"/>
      <c r="S8" s="253"/>
      <c r="T8" s="253"/>
      <c r="U8" s="253"/>
      <c r="V8" s="253"/>
      <c r="W8" s="253"/>
      <c r="X8" s="253"/>
      <c r="Y8" s="253"/>
    </row>
    <row r="9" spans="1:29" ht="20" customHeight="1" x14ac:dyDescent="0.3">
      <c r="B9" s="189" t="s">
        <v>21</v>
      </c>
      <c r="C9" s="153">
        <v>46022</v>
      </c>
      <c r="E9" s="1"/>
      <c r="F9" s="1"/>
      <c r="I9" s="156" t="s">
        <v>22</v>
      </c>
      <c r="J9" s="145">
        <f>IFERROR($J$8*$J$7,"")</f>
        <v>175000</v>
      </c>
      <c r="K9" s="188"/>
      <c r="M9" s="8"/>
      <c r="N9" s="8"/>
      <c r="O9" s="27"/>
      <c r="Q9" s="253"/>
      <c r="R9" s="253"/>
      <c r="S9" s="253"/>
      <c r="T9" s="253"/>
      <c r="U9" s="253"/>
      <c r="V9" s="253"/>
      <c r="W9" s="253"/>
      <c r="X9" s="253"/>
      <c r="Y9" s="253"/>
      <c r="AA9" s="174"/>
      <c r="AB9" s="174"/>
      <c r="AC9" s="174"/>
    </row>
    <row r="10" spans="1:29" ht="20" customHeight="1" x14ac:dyDescent="0.3">
      <c r="B10" s="186" t="s">
        <v>7</v>
      </c>
      <c r="C10" s="152">
        <v>45809</v>
      </c>
      <c r="E10" s="2"/>
      <c r="F10" s="2"/>
      <c r="I10" s="156" t="s">
        <v>23</v>
      </c>
      <c r="J10" s="145">
        <f>IFERROR(((($C$9-$C$10)+1)/365)*$J$9,"")</f>
        <v>102602.7397260274</v>
      </c>
      <c r="K10" s="188"/>
      <c r="M10" s="8"/>
      <c r="N10" s="8"/>
      <c r="O10" s="27"/>
      <c r="Q10" s="174"/>
      <c r="R10" s="174"/>
      <c r="S10" s="174"/>
      <c r="T10" s="174"/>
      <c r="U10" s="174"/>
      <c r="V10" s="174"/>
      <c r="W10" s="174"/>
      <c r="X10" s="174"/>
      <c r="Y10" s="174"/>
      <c r="AA10" s="174"/>
      <c r="AB10" s="174"/>
      <c r="AC10" s="174"/>
    </row>
    <row r="11" spans="1:29" ht="15" customHeight="1" x14ac:dyDescent="0.3">
      <c r="B11" s="249"/>
      <c r="C11" s="250"/>
      <c r="D11" s="190"/>
      <c r="E11" s="28"/>
      <c r="F11" s="28"/>
      <c r="G11" s="28"/>
      <c r="H11" s="28"/>
      <c r="I11" s="28"/>
      <c r="J11" s="28"/>
      <c r="K11" s="191"/>
    </row>
    <row r="12" spans="1:29" ht="18.399999999999999" customHeight="1" thickBot="1" x14ac:dyDescent="0.35">
      <c r="B12" s="192"/>
      <c r="D12" s="190"/>
      <c r="E12" s="193"/>
      <c r="F12" s="193"/>
      <c r="G12" s="13"/>
      <c r="H12" s="13"/>
      <c r="I12" s="13"/>
      <c r="J12" s="193"/>
      <c r="K12" s="187"/>
      <c r="L12" s="30"/>
      <c r="M12" s="8"/>
      <c r="N12" s="8"/>
      <c r="O12" s="27"/>
      <c r="AA12" s="8"/>
      <c r="AB12" s="8"/>
      <c r="AC12" s="8"/>
    </row>
    <row r="13" spans="1:29" s="31" customFormat="1" ht="18.399999999999999" customHeight="1" x14ac:dyDescent="0.35">
      <c r="B13" s="229" t="s">
        <v>30</v>
      </c>
      <c r="C13" s="230"/>
      <c r="D13" s="223" t="s">
        <v>48</v>
      </c>
      <c r="E13" s="223" t="s">
        <v>66</v>
      </c>
      <c r="F13" s="251" t="s">
        <v>47</v>
      </c>
      <c r="G13" s="223" t="s">
        <v>17</v>
      </c>
      <c r="H13" s="223" t="s">
        <v>54</v>
      </c>
      <c r="I13" s="223" t="s">
        <v>60</v>
      </c>
      <c r="J13" s="223" t="s">
        <v>55</v>
      </c>
      <c r="K13" s="225" t="s">
        <v>24</v>
      </c>
      <c r="L13" s="32"/>
      <c r="M13" s="33"/>
      <c r="N13" s="33"/>
      <c r="O13" s="34"/>
      <c r="P13" s="175"/>
      <c r="Z13" s="175"/>
      <c r="AA13" s="33"/>
      <c r="AB13" s="33"/>
      <c r="AC13" s="33"/>
    </row>
    <row r="14" spans="1:29" s="31" customFormat="1" ht="15.4" customHeight="1" thickBot="1" x14ac:dyDescent="0.4">
      <c r="B14" s="231"/>
      <c r="C14" s="232"/>
      <c r="D14" s="224"/>
      <c r="E14" s="224"/>
      <c r="F14" s="252"/>
      <c r="G14" s="224"/>
      <c r="H14" s="224"/>
      <c r="I14" s="224" t="s">
        <v>16</v>
      </c>
      <c r="J14" s="224"/>
      <c r="K14" s="226"/>
      <c r="L14" s="32"/>
      <c r="M14" s="7"/>
      <c r="N14" s="33"/>
      <c r="O14" s="34"/>
      <c r="P14" s="175"/>
      <c r="U14" s="6"/>
      <c r="V14" s="33"/>
      <c r="W14" s="33"/>
      <c r="X14" s="33"/>
      <c r="Y14" s="33"/>
      <c r="Z14" s="175"/>
      <c r="AA14" s="33"/>
      <c r="AB14" s="33"/>
      <c r="AC14" s="33"/>
    </row>
    <row r="15" spans="1:29" ht="18.399999999999999" customHeight="1" x14ac:dyDescent="0.3">
      <c r="B15" s="247" t="s">
        <v>18</v>
      </c>
      <c r="C15" s="248"/>
      <c r="D15" s="36" t="s">
        <v>32</v>
      </c>
      <c r="E15" s="147">
        <f>IFERROR($R$5,"")</f>
        <v>68</v>
      </c>
      <c r="F15" s="37">
        <v>74</v>
      </c>
      <c r="G15" s="148">
        <f t="shared" ref="G15" si="0">IFERROR($F15/$E15,"")</f>
        <v>1.088235294117647</v>
      </c>
      <c r="H15" s="148">
        <f>IFERROR(IF(G15&lt;$S$6,0,IF(G15&lt;$S$5,((G15-$S$6)/($S$5-$S$6))*($T$5-$T$6)+$T$6,IF(G15&lt;$S$4,((G15-$S$5)/($S$4-$S$5))*($T$4-$T$5)+$T$5,$T$4))),"")</f>
        <v>1.5882352941176467</v>
      </c>
      <c r="I15" s="43">
        <v>0.6</v>
      </c>
      <c r="J15" s="164">
        <f>IFERROR($I15*$B$17,"")</f>
        <v>0.42</v>
      </c>
      <c r="K15" s="194">
        <f>IFERROR(($J15*$J$9)*$H15,"")</f>
        <v>116735.29411764703</v>
      </c>
      <c r="L15" s="185">
        <f>IFERROR(($J15*$J$10)*$H15,"")</f>
        <v>68442.062852538264</v>
      </c>
      <c r="N15" s="6"/>
      <c r="O15" s="38"/>
      <c r="V15" s="8"/>
      <c r="W15" s="8"/>
      <c r="X15" s="8"/>
      <c r="Y15" s="8"/>
      <c r="AA15" s="8"/>
      <c r="AB15" s="8"/>
      <c r="AC15" s="8"/>
    </row>
    <row r="16" spans="1:29" ht="86.5" customHeight="1" x14ac:dyDescent="0.3">
      <c r="B16" s="247"/>
      <c r="C16" s="248"/>
      <c r="D16" s="244" t="s">
        <v>53</v>
      </c>
      <c r="E16" s="245"/>
      <c r="F16" s="245"/>
      <c r="G16" s="245"/>
      <c r="H16" s="245"/>
      <c r="I16" s="245"/>
      <c r="J16" s="245"/>
      <c r="K16" s="246"/>
      <c r="M16" s="157"/>
      <c r="N16" s="6"/>
      <c r="O16" s="38"/>
      <c r="V16" s="8"/>
      <c r="W16" s="8"/>
      <c r="X16" s="8"/>
      <c r="Y16" s="8"/>
      <c r="AA16" s="8"/>
      <c r="AB16" s="8"/>
      <c r="AC16" s="8"/>
    </row>
    <row r="17" spans="2:29" ht="18.399999999999999" customHeight="1" x14ac:dyDescent="0.3">
      <c r="B17" s="233">
        <f>_xlfn.XLOOKUP($C$8,'Look Up Table'!$B$6:$B$13,'Look Up Table'!$D$6:$D$13,"")</f>
        <v>0.7</v>
      </c>
      <c r="C17" s="234"/>
      <c r="D17" s="36" t="s">
        <v>69</v>
      </c>
      <c r="E17" s="147">
        <f>IFERROR($W$5,"")</f>
        <v>11.615972794660831</v>
      </c>
      <c r="F17" s="37">
        <v>10</v>
      </c>
      <c r="G17" s="148">
        <f t="shared" ref="G17" si="1">IFERROR($F17/$E17,"")</f>
        <v>0.86088355893846469</v>
      </c>
      <c r="H17" s="148">
        <f>IFERROR(IF(G17&lt;$X$6,0,IF(G17&lt;$X$5,((G17-$X$6)/($X$5-$X$6))*($Y$5-$Y$6)+$Y$6,IF(G17&lt;$X$4,((G17-$X$5)/($X$4-$X$5))*($Y$4-$Y$5)+$Y$5,$Y$4))),"")</f>
        <v>0</v>
      </c>
      <c r="I17" s="43">
        <v>0.4</v>
      </c>
      <c r="J17" s="164">
        <f>IFERROR($I17*$B$17,"")</f>
        <v>0.27999999999999997</v>
      </c>
      <c r="K17" s="194">
        <f>IFERROR(($J17*$J$9)*$H17,"")</f>
        <v>0</v>
      </c>
      <c r="L17" s="185">
        <f>IFERROR(($J17*$J$10)*$H17,"")</f>
        <v>0</v>
      </c>
      <c r="N17" s="6"/>
      <c r="O17" s="38"/>
      <c r="V17" s="8"/>
      <c r="W17" s="8"/>
      <c r="X17" s="8"/>
      <c r="Y17" s="8"/>
      <c r="AA17" s="8"/>
      <c r="AB17" s="8"/>
      <c r="AC17" s="8"/>
    </row>
    <row r="18" spans="2:29" ht="86.5" customHeight="1" thickBot="1" x14ac:dyDescent="0.35">
      <c r="B18" s="233"/>
      <c r="C18" s="234"/>
      <c r="D18" s="220" t="s">
        <v>53</v>
      </c>
      <c r="E18" s="221"/>
      <c r="F18" s="221"/>
      <c r="G18" s="221"/>
      <c r="H18" s="221"/>
      <c r="I18" s="221"/>
      <c r="J18" s="221"/>
      <c r="K18" s="222"/>
      <c r="M18" s="158"/>
      <c r="N18" s="38"/>
      <c r="O18" s="6"/>
      <c r="P18" s="13"/>
      <c r="T18" s="6"/>
      <c r="U18" s="8"/>
      <c r="V18" s="8"/>
      <c r="W18" s="8"/>
      <c r="X18" s="8"/>
      <c r="Y18" s="6"/>
      <c r="Z18" s="13"/>
      <c r="AA18" s="8"/>
      <c r="AB18" s="8"/>
    </row>
    <row r="19" spans="2:29" s="83" customFormat="1" ht="13.9" customHeight="1" thickBot="1" x14ac:dyDescent="0.35">
      <c r="B19" s="195"/>
      <c r="C19" s="138"/>
      <c r="D19" s="137"/>
      <c r="E19" s="137"/>
      <c r="F19" s="137"/>
      <c r="G19" s="139"/>
      <c r="H19" s="139"/>
      <c r="I19" s="149">
        <f>IFERROR($I$17+$I$15,"")</f>
        <v>1</v>
      </c>
      <c r="J19" s="140"/>
      <c r="K19" s="196">
        <f>IFERROR($J$19*($B$17*$J$9),"")</f>
        <v>0</v>
      </c>
      <c r="L19" s="110"/>
      <c r="N19" s="136"/>
      <c r="O19" s="141"/>
      <c r="P19" s="176"/>
      <c r="Q19" s="142"/>
      <c r="R19" s="142"/>
      <c r="S19" s="142"/>
      <c r="T19" s="142"/>
      <c r="U19" s="136"/>
      <c r="V19" s="142"/>
      <c r="W19" s="142"/>
      <c r="X19" s="142"/>
      <c r="Y19" s="142"/>
      <c r="Z19" s="176"/>
      <c r="AA19" s="142"/>
      <c r="AB19" s="142"/>
      <c r="AC19" s="142"/>
    </row>
    <row r="20" spans="2:29" ht="18.399999999999999" customHeight="1" x14ac:dyDescent="0.3">
      <c r="B20" s="235" t="s">
        <v>19</v>
      </c>
      <c r="C20" s="236"/>
      <c r="D20" s="41" t="s">
        <v>13</v>
      </c>
      <c r="E20" s="146">
        <f>IFERROR($AA$5,"")</f>
        <v>3</v>
      </c>
      <c r="F20" s="42" t="s">
        <v>82</v>
      </c>
      <c r="G20" s="256">
        <f>IFERROR(
  IF($F20="1",0%,
    IF($F20="2",50%,
      IF($F20="3",100%,
        IF($F20="4",150%,
          IF($F20="5",200%,0%)
        )
      )
    )
  ),
0%
)</f>
        <v>2</v>
      </c>
      <c r="H20" s="257"/>
      <c r="I20" s="43">
        <v>0.4</v>
      </c>
      <c r="J20" s="165">
        <f>IFERROR($I20*$B$23,"")</f>
        <v>0.12</v>
      </c>
      <c r="K20" s="194">
        <f>IFERROR(($J20*$J$9)*$G20,"")</f>
        <v>42000</v>
      </c>
      <c r="L20" s="185">
        <f>IFERROR(($J20*$J$10)*$G20,"")</f>
        <v>24624.657534246577</v>
      </c>
      <c r="N20" s="8"/>
      <c r="O20" s="27"/>
      <c r="Q20" s="8"/>
      <c r="R20" s="8"/>
      <c r="S20" s="8"/>
      <c r="T20" s="8"/>
      <c r="V20" s="8"/>
      <c r="W20" s="8"/>
      <c r="X20" s="8"/>
      <c r="Y20" s="8"/>
      <c r="AA20" s="8"/>
      <c r="AB20" s="8"/>
      <c r="AC20" s="8"/>
    </row>
    <row r="21" spans="2:29" ht="122" customHeight="1" x14ac:dyDescent="0.3">
      <c r="B21" s="235"/>
      <c r="C21" s="236"/>
      <c r="D21" s="244" t="s">
        <v>53</v>
      </c>
      <c r="E21" s="245"/>
      <c r="F21" s="245"/>
      <c r="G21" s="221"/>
      <c r="H21" s="221"/>
      <c r="I21" s="245"/>
      <c r="J21" s="245"/>
      <c r="K21" s="246"/>
      <c r="N21" s="8"/>
      <c r="O21" s="27"/>
      <c r="Q21" s="8"/>
      <c r="R21" s="8"/>
      <c r="S21" s="8"/>
      <c r="T21" s="8"/>
      <c r="V21" s="8"/>
      <c r="W21" s="8"/>
      <c r="X21" s="8"/>
      <c r="Y21" s="8"/>
      <c r="AA21" s="8"/>
      <c r="AB21" s="8"/>
    </row>
    <row r="22" spans="2:29" ht="18.399999999999999" customHeight="1" x14ac:dyDescent="0.3">
      <c r="B22" s="235"/>
      <c r="C22" s="236"/>
      <c r="D22" s="41" t="s">
        <v>31</v>
      </c>
      <c r="E22" s="146">
        <f>IFERROR($AA$5,"")</f>
        <v>3</v>
      </c>
      <c r="F22" s="44" t="s">
        <v>83</v>
      </c>
      <c r="G22" s="258">
        <f>IFERROR(
  IF($F22="1",0%,
    IF($F22="2",50%,
      IF($F22="3",100%,
        IF($F22="4",150%,
          IF($F22="5",200%,0%)
        )
      )
    )
  ),
0%
)</f>
        <v>1.5</v>
      </c>
      <c r="H22" s="259"/>
      <c r="I22" s="45">
        <v>0.3</v>
      </c>
      <c r="J22" s="165">
        <f>IFERROR($I22*$B$23,"")</f>
        <v>0.09</v>
      </c>
      <c r="K22" s="194">
        <f>IFERROR(($J22*$J$9)*$G22,"")</f>
        <v>23625</v>
      </c>
      <c r="L22" s="185">
        <f>IFERROR(($J22*$J$10)*$G22,"")</f>
        <v>13851.369863013699</v>
      </c>
      <c r="N22" s="8"/>
      <c r="O22" s="27"/>
      <c r="Q22" s="8"/>
      <c r="R22" s="8"/>
      <c r="S22" s="8"/>
      <c r="T22" s="8"/>
      <c r="V22" s="8"/>
      <c r="W22" s="8"/>
      <c r="X22" s="8"/>
      <c r="Y22" s="8"/>
      <c r="AA22" s="8"/>
      <c r="AB22" s="8"/>
      <c r="AC22" s="8"/>
    </row>
    <row r="23" spans="2:29" ht="122" customHeight="1" x14ac:dyDescent="0.3">
      <c r="B23" s="254">
        <f>_xlfn.XLOOKUP($C$8,'Look Up Table'!$B$6:$B$13,'Look Up Table'!$E$6:$E$13,"")</f>
        <v>0.3</v>
      </c>
      <c r="C23" s="255"/>
      <c r="D23" s="244" t="s">
        <v>53</v>
      </c>
      <c r="E23" s="245"/>
      <c r="F23" s="245"/>
      <c r="G23" s="221"/>
      <c r="H23" s="221"/>
      <c r="I23" s="245"/>
      <c r="J23" s="245"/>
      <c r="K23" s="246"/>
      <c r="N23" s="184"/>
      <c r="O23" s="27"/>
      <c r="Q23" s="8"/>
      <c r="R23" s="8"/>
      <c r="S23" s="8"/>
      <c r="T23" s="8"/>
      <c r="V23" s="8"/>
      <c r="W23" s="8"/>
      <c r="X23" s="8"/>
      <c r="Y23" s="8"/>
      <c r="AA23" s="8"/>
      <c r="AB23" s="8"/>
      <c r="AC23" s="8"/>
    </row>
    <row r="24" spans="2:29" ht="18.399999999999999" customHeight="1" x14ac:dyDescent="0.3">
      <c r="B24" s="254"/>
      <c r="C24" s="255"/>
      <c r="D24" s="41" t="s">
        <v>11</v>
      </c>
      <c r="E24" s="146">
        <f>IFERROR($AA$5,"")</f>
        <v>3</v>
      </c>
      <c r="F24" s="44" t="s">
        <v>84</v>
      </c>
      <c r="G24" s="258">
        <f>IFERROR(
  IF($F24="1",0%,
    IF($F24="2",50%,
      IF($F24="3",100%,
        IF($F24="4",150%,
          IF($F24="5",200%,0%)
        )
      )
    )
  ),
0%
)</f>
        <v>1</v>
      </c>
      <c r="H24" s="259"/>
      <c r="I24" s="45">
        <v>0.3</v>
      </c>
      <c r="J24" s="165">
        <f>IFERROR($I24*$B$23,"")</f>
        <v>0.09</v>
      </c>
      <c r="K24" s="194">
        <f>IFERROR(($J24*$J$9)*$G24,"")</f>
        <v>15750</v>
      </c>
      <c r="L24" s="185">
        <f>IFERROR(($J24*$J$10)*$G24,"")</f>
        <v>9234.2465753424658</v>
      </c>
      <c r="N24" s="184"/>
      <c r="O24" s="27"/>
      <c r="Q24" s="8"/>
      <c r="R24" s="8"/>
      <c r="S24" s="8"/>
      <c r="T24" s="8"/>
      <c r="V24" s="8"/>
      <c r="W24" s="8"/>
      <c r="X24" s="8"/>
      <c r="Y24" s="8"/>
      <c r="AA24" s="8"/>
      <c r="AB24" s="8"/>
      <c r="AC24" s="8"/>
    </row>
    <row r="25" spans="2:29" ht="122" customHeight="1" thickBot="1" x14ac:dyDescent="0.35">
      <c r="B25" s="254"/>
      <c r="C25" s="255"/>
      <c r="D25" s="220" t="s">
        <v>53</v>
      </c>
      <c r="E25" s="221"/>
      <c r="F25" s="221"/>
      <c r="G25" s="221"/>
      <c r="H25" s="221"/>
      <c r="I25" s="221"/>
      <c r="J25" s="221"/>
      <c r="K25" s="222"/>
      <c r="N25" s="184"/>
      <c r="O25" s="27"/>
      <c r="Q25" s="8"/>
      <c r="R25" s="8"/>
      <c r="S25" s="8"/>
      <c r="T25" s="8"/>
      <c r="V25" s="8"/>
      <c r="W25" s="8"/>
      <c r="X25" s="8"/>
      <c r="Y25" s="8"/>
      <c r="AA25" s="8"/>
      <c r="AB25" s="8"/>
      <c r="AC25" s="8"/>
    </row>
    <row r="26" spans="2:29" s="83" customFormat="1" ht="13.9" customHeight="1" thickBot="1" x14ac:dyDescent="0.35">
      <c r="B26" s="227">
        <f>IFERROR(SUM($B$23+$B$17),"")</f>
        <v>1</v>
      </c>
      <c r="C26" s="228"/>
      <c r="D26" s="197"/>
      <c r="E26" s="197"/>
      <c r="F26" s="197"/>
      <c r="G26" s="197"/>
      <c r="H26" s="197"/>
      <c r="I26" s="198">
        <f>IFERROR(SUM($I$24+$I$22+$I$20),"")</f>
        <v>1</v>
      </c>
      <c r="J26" s="199"/>
      <c r="K26" s="200">
        <f>IFERROR(SUM($K$24+$K$22+$K$20+$K$17+$K$15),"")</f>
        <v>198110.29411764705</v>
      </c>
      <c r="L26" s="110"/>
      <c r="M26" s="142"/>
      <c r="N26" s="142"/>
      <c r="O26" s="143"/>
      <c r="P26" s="176"/>
      <c r="Q26" s="142"/>
      <c r="R26" s="142"/>
      <c r="S26" s="142"/>
      <c r="T26" s="142"/>
      <c r="U26" s="136"/>
      <c r="V26" s="142"/>
      <c r="W26" s="142"/>
      <c r="X26" s="142"/>
      <c r="Y26" s="142"/>
      <c r="Z26" s="176"/>
      <c r="AA26" s="142"/>
      <c r="AB26" s="142"/>
      <c r="AC26" s="142"/>
    </row>
    <row r="27" spans="2:29" s="39" customFormat="1" ht="13.9" customHeight="1" x14ac:dyDescent="0.3"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7"/>
      <c r="M27" s="40"/>
      <c r="N27" s="40"/>
      <c r="O27" s="46"/>
      <c r="P27" s="175"/>
      <c r="Q27" s="40"/>
      <c r="R27" s="40"/>
      <c r="S27" s="40"/>
      <c r="T27" s="40"/>
      <c r="U27" s="6"/>
      <c r="V27" s="40"/>
      <c r="W27" s="40"/>
      <c r="X27" s="40"/>
      <c r="Y27" s="40"/>
      <c r="Z27" s="175"/>
      <c r="AA27" s="40"/>
      <c r="AB27" s="40"/>
      <c r="AC27" s="40"/>
    </row>
    <row r="28" spans="2:29" s="39" customFormat="1" ht="13.9" customHeight="1" x14ac:dyDescent="0.3">
      <c r="B28" s="48"/>
      <c r="C28" s="48"/>
      <c r="D28" s="48"/>
      <c r="E28" s="48"/>
      <c r="F28" s="48"/>
      <c r="G28" s="48"/>
      <c r="H28" s="48"/>
      <c r="I28" s="202" t="s">
        <v>61</v>
      </c>
      <c r="J28" s="202"/>
      <c r="K28" s="150">
        <f>IFERROR(SUM($K$24+$K$22+$K$20+$K$17+K15),"")</f>
        <v>198110.29411764705</v>
      </c>
      <c r="L28" s="7"/>
      <c r="M28" s="40"/>
      <c r="N28" s="40"/>
      <c r="O28" s="46"/>
      <c r="P28" s="175"/>
      <c r="Q28" s="40"/>
      <c r="R28" s="40"/>
      <c r="S28" s="40"/>
      <c r="T28" s="40"/>
      <c r="U28" s="6"/>
      <c r="V28" s="40"/>
      <c r="W28" s="40"/>
      <c r="X28" s="40"/>
      <c r="Y28" s="40"/>
      <c r="Z28" s="175"/>
      <c r="AA28" s="40"/>
      <c r="AB28" s="40"/>
      <c r="AC28" s="40"/>
    </row>
    <row r="29" spans="2:29" s="39" customFormat="1" ht="13.9" customHeight="1" thickBot="1" x14ac:dyDescent="0.35">
      <c r="B29" s="48"/>
      <c r="C29" s="48"/>
      <c r="D29" s="48"/>
      <c r="E29" s="48"/>
      <c r="F29" s="48"/>
      <c r="G29" s="48"/>
      <c r="H29" s="48"/>
      <c r="I29" s="203" t="s">
        <v>62</v>
      </c>
      <c r="J29" s="203"/>
      <c r="K29" s="151">
        <f>IFERROR(SUM($L$24+$L$22+$L$20+$L$17+L15),"")</f>
        <v>116152.336825141</v>
      </c>
      <c r="L29" s="7"/>
      <c r="M29" s="40"/>
      <c r="N29" s="40"/>
      <c r="O29" s="46"/>
      <c r="P29" s="175"/>
      <c r="Q29" s="40"/>
      <c r="R29" s="40"/>
      <c r="S29" s="40"/>
      <c r="T29" s="40"/>
      <c r="U29" s="6"/>
      <c r="V29" s="40"/>
      <c r="W29" s="40"/>
      <c r="X29" s="40"/>
      <c r="Y29" s="40"/>
      <c r="Z29" s="175"/>
      <c r="AA29" s="40"/>
      <c r="AB29" s="40"/>
      <c r="AC29" s="40"/>
    </row>
    <row r="30" spans="2:29" s="39" customFormat="1" ht="13.9" customHeight="1" thickTop="1" thickBot="1" x14ac:dyDescent="0.35">
      <c r="B30" s="49"/>
      <c r="C30" s="50"/>
      <c r="D30" s="51"/>
      <c r="E30" s="51"/>
      <c r="F30" s="51"/>
      <c r="G30" s="51"/>
      <c r="H30" s="51"/>
      <c r="I30" s="52"/>
      <c r="J30" s="52"/>
      <c r="K30" s="53"/>
      <c r="L30" s="7"/>
      <c r="M30" s="40"/>
      <c r="N30" s="40"/>
      <c r="O30" s="46"/>
      <c r="P30" s="175"/>
      <c r="Q30" s="40"/>
      <c r="R30" s="40"/>
      <c r="S30" s="40"/>
      <c r="T30" s="40"/>
      <c r="U30" s="6"/>
      <c r="V30" s="40"/>
      <c r="W30" s="40"/>
      <c r="X30" s="40"/>
      <c r="Y30" s="40"/>
      <c r="Z30" s="175"/>
      <c r="AA30" s="40"/>
      <c r="AB30" s="40"/>
      <c r="AC30" s="40"/>
    </row>
    <row r="31" spans="2:29" s="39" customFormat="1" ht="12.75" customHeight="1" x14ac:dyDescent="0.3">
      <c r="B31" s="205" t="s">
        <v>52</v>
      </c>
      <c r="C31" s="206"/>
      <c r="D31" s="206"/>
      <c r="E31" s="206"/>
      <c r="F31" s="206"/>
      <c r="G31" s="206"/>
      <c r="H31" s="206"/>
      <c r="I31" s="206"/>
      <c r="J31" s="206"/>
      <c r="K31" s="207"/>
      <c r="L31" s="40"/>
      <c r="N31" s="40"/>
      <c r="O31" s="46"/>
      <c r="P31" s="175"/>
      <c r="Q31" s="40"/>
      <c r="R31" s="40"/>
      <c r="S31" s="40"/>
      <c r="T31" s="40"/>
      <c r="U31" s="6"/>
      <c r="V31" s="40"/>
      <c r="W31" s="40"/>
      <c r="X31" s="40"/>
      <c r="Y31" s="40"/>
      <c r="Z31" s="175"/>
      <c r="AA31" s="40"/>
      <c r="AB31" s="40"/>
      <c r="AC31" s="40"/>
    </row>
    <row r="32" spans="2:29" s="54" customFormat="1" ht="13.5" customHeight="1" thickBot="1" x14ac:dyDescent="0.35">
      <c r="B32" s="208"/>
      <c r="C32" s="209"/>
      <c r="D32" s="209"/>
      <c r="E32" s="209"/>
      <c r="F32" s="209"/>
      <c r="G32" s="209"/>
      <c r="H32" s="209"/>
      <c r="I32" s="209"/>
      <c r="J32" s="209"/>
      <c r="K32" s="210"/>
      <c r="L32" s="8"/>
      <c r="N32" s="8"/>
      <c r="O32" s="55"/>
      <c r="P32" s="175"/>
      <c r="Q32" s="8"/>
      <c r="R32" s="8"/>
      <c r="S32" s="8"/>
      <c r="T32" s="8"/>
      <c r="U32" s="6"/>
      <c r="V32" s="8"/>
      <c r="W32" s="8"/>
      <c r="X32" s="8"/>
      <c r="Y32" s="8"/>
      <c r="Z32" s="175"/>
    </row>
    <row r="33" spans="2:26" s="54" customFormat="1" ht="15.4" customHeight="1" x14ac:dyDescent="0.3">
      <c r="B33" s="211"/>
      <c r="C33" s="212"/>
      <c r="D33" s="212"/>
      <c r="E33" s="212"/>
      <c r="F33" s="212"/>
      <c r="G33" s="212"/>
      <c r="H33" s="212"/>
      <c r="I33" s="212"/>
      <c r="J33" s="212"/>
      <c r="K33" s="213"/>
      <c r="L33" s="8"/>
      <c r="N33" s="8"/>
      <c r="O33" s="55"/>
      <c r="P33" s="175"/>
      <c r="Q33" s="8"/>
      <c r="R33" s="8"/>
      <c r="S33" s="8"/>
      <c r="T33" s="8"/>
      <c r="U33" s="6"/>
      <c r="V33" s="8"/>
      <c r="W33" s="8"/>
      <c r="X33" s="8"/>
      <c r="Y33" s="8"/>
      <c r="Z33" s="175"/>
    </row>
    <row r="34" spans="2:26" s="56" customFormat="1" ht="33" customHeight="1" x14ac:dyDescent="0.3">
      <c r="B34" s="214"/>
      <c r="C34" s="215"/>
      <c r="D34" s="215"/>
      <c r="E34" s="215"/>
      <c r="F34" s="215"/>
      <c r="G34" s="215"/>
      <c r="H34" s="215"/>
      <c r="I34" s="215"/>
      <c r="J34" s="215"/>
      <c r="K34" s="216"/>
      <c r="L34" s="8"/>
      <c r="N34" s="8"/>
      <c r="O34" s="27"/>
      <c r="P34" s="175"/>
      <c r="Q34" s="8"/>
      <c r="R34" s="8"/>
      <c r="S34" s="8"/>
      <c r="T34" s="8"/>
      <c r="U34" s="6"/>
      <c r="V34" s="8"/>
      <c r="W34" s="8"/>
      <c r="X34" s="8"/>
      <c r="Y34" s="8"/>
      <c r="Z34" s="175"/>
    </row>
    <row r="35" spans="2:26" s="56" customFormat="1" ht="33" customHeight="1" x14ac:dyDescent="0.3">
      <c r="B35" s="214"/>
      <c r="C35" s="215"/>
      <c r="D35" s="215"/>
      <c r="E35" s="215"/>
      <c r="F35" s="215"/>
      <c r="G35" s="215"/>
      <c r="H35" s="215"/>
      <c r="I35" s="215"/>
      <c r="J35" s="215"/>
      <c r="K35" s="216"/>
      <c r="L35" s="8"/>
      <c r="O35" s="27"/>
      <c r="P35" s="175"/>
      <c r="U35" s="6"/>
      <c r="Z35" s="175"/>
    </row>
    <row r="36" spans="2:26" s="56" customFormat="1" ht="30.75" customHeight="1" thickBot="1" x14ac:dyDescent="0.35">
      <c r="B36" s="217"/>
      <c r="C36" s="218"/>
      <c r="D36" s="218"/>
      <c r="E36" s="218"/>
      <c r="F36" s="218"/>
      <c r="G36" s="218"/>
      <c r="H36" s="218"/>
      <c r="I36" s="218"/>
      <c r="J36" s="218"/>
      <c r="K36" s="219"/>
      <c r="L36" s="8"/>
      <c r="O36" s="27"/>
      <c r="P36" s="175"/>
      <c r="U36" s="6"/>
      <c r="Z36" s="175"/>
    </row>
    <row r="37" spans="2:26" s="56" customFormat="1" ht="30.75" customHeight="1" x14ac:dyDescent="0.3">
      <c r="B37" s="8"/>
      <c r="C37" s="8"/>
      <c r="D37" s="8"/>
      <c r="E37" s="8"/>
      <c r="F37" s="8"/>
      <c r="G37" s="8"/>
      <c r="H37" s="8"/>
      <c r="I37" s="201"/>
      <c r="J37" s="201"/>
      <c r="K37" s="57"/>
      <c r="L37" s="8"/>
      <c r="O37" s="27"/>
      <c r="P37" s="175"/>
      <c r="U37" s="6"/>
      <c r="Z37" s="175"/>
    </row>
    <row r="38" spans="2:26" s="56" customFormat="1" ht="11.25" customHeight="1" x14ac:dyDescent="0.3">
      <c r="B38" s="8"/>
      <c r="C38" s="8"/>
      <c r="D38" s="8"/>
      <c r="E38" s="8"/>
      <c r="F38" s="8"/>
      <c r="G38" s="8"/>
      <c r="H38" s="8"/>
      <c r="I38" s="8"/>
      <c r="J38" s="58"/>
      <c r="K38" s="59"/>
      <c r="L38" s="8"/>
      <c r="O38" s="27"/>
      <c r="P38" s="175"/>
      <c r="U38" s="6"/>
      <c r="Z38" s="175"/>
    </row>
    <row r="39" spans="2:26" s="56" customFormat="1" ht="15.75" customHeight="1" x14ac:dyDescent="0.3">
      <c r="B39" s="8"/>
      <c r="C39" s="8"/>
      <c r="D39" s="8"/>
      <c r="E39" s="8"/>
      <c r="F39" s="8"/>
      <c r="G39" s="8"/>
      <c r="H39" s="8"/>
      <c r="I39" s="8"/>
      <c r="J39" s="60"/>
      <c r="K39" s="61"/>
      <c r="L39" s="8"/>
      <c r="O39" s="3">
        <v>1</v>
      </c>
      <c r="P39" s="175"/>
      <c r="U39" s="6"/>
      <c r="Z39" s="175"/>
    </row>
    <row r="40" spans="2:26" s="56" customFormat="1" ht="15.75" customHeight="1" x14ac:dyDescent="0.3">
      <c r="F40" s="8"/>
      <c r="G40" s="8"/>
      <c r="H40" s="8"/>
      <c r="I40" s="8"/>
      <c r="J40" s="8"/>
      <c r="K40" s="8"/>
      <c r="L40" s="8"/>
      <c r="O40" s="3">
        <v>2</v>
      </c>
      <c r="P40" s="175"/>
      <c r="U40" s="6"/>
      <c r="Z40" s="175"/>
    </row>
    <row r="41" spans="2:26" s="56" customFormat="1" ht="15.75" customHeight="1" x14ac:dyDescent="0.3">
      <c r="F41" s="8"/>
      <c r="G41" s="8"/>
      <c r="H41" s="8"/>
      <c r="I41" s="8"/>
      <c r="J41" s="8"/>
      <c r="K41" s="8"/>
      <c r="L41" s="8"/>
      <c r="O41" s="3">
        <v>3</v>
      </c>
      <c r="P41" s="175"/>
      <c r="U41" s="6"/>
      <c r="Z41" s="175"/>
    </row>
    <row r="42" spans="2:26" s="56" customFormat="1" ht="15.75" customHeight="1" x14ac:dyDescent="0.3">
      <c r="F42" s="8"/>
      <c r="G42" s="8"/>
      <c r="H42" s="8"/>
      <c r="I42" s="8"/>
      <c r="J42" s="8"/>
      <c r="K42" s="8"/>
      <c r="L42" s="8"/>
      <c r="O42" s="3">
        <v>4</v>
      </c>
      <c r="P42" s="175"/>
      <c r="U42" s="6"/>
      <c r="Z42" s="175"/>
    </row>
    <row r="43" spans="2:26" s="56" customFormat="1" ht="15.75" customHeight="1" x14ac:dyDescent="0.3">
      <c r="F43" s="8"/>
      <c r="G43" s="8"/>
      <c r="H43" s="8"/>
      <c r="I43" s="8"/>
      <c r="J43" s="8"/>
      <c r="K43" s="8"/>
      <c r="L43" s="8"/>
      <c r="O43" s="3">
        <v>5</v>
      </c>
      <c r="P43" s="175"/>
      <c r="U43" s="6"/>
      <c r="Z43" s="175"/>
    </row>
    <row r="44" spans="2:26" s="56" customFormat="1" ht="15.7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O44" s="27"/>
      <c r="P44" s="175"/>
      <c r="U44" s="6"/>
      <c r="Z44" s="175"/>
    </row>
    <row r="45" spans="2:26" s="56" customFormat="1" ht="15.75" customHeight="1" x14ac:dyDescent="0.3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O45" s="27"/>
      <c r="P45" s="175"/>
      <c r="U45" s="6"/>
      <c r="Z45" s="175"/>
    </row>
    <row r="46" spans="2:26" s="56" customFormat="1" ht="15.7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O46" s="27"/>
      <c r="P46" s="175"/>
      <c r="U46" s="6"/>
      <c r="Z46" s="175"/>
    </row>
    <row r="47" spans="2:26" s="56" customFormat="1" ht="15.75" customHeight="1" x14ac:dyDescent="0.3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O47" s="27"/>
      <c r="P47" s="175"/>
      <c r="U47" s="6"/>
      <c r="Z47" s="175"/>
    </row>
    <row r="48" spans="2:26" s="56" customFormat="1" ht="15.75" customHeight="1" x14ac:dyDescent="0.3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O48" s="27"/>
      <c r="P48" s="175"/>
      <c r="U48" s="6"/>
      <c r="Z48" s="175"/>
    </row>
    <row r="49" spans="2:29" s="56" customFormat="1" ht="15.75" customHeight="1" x14ac:dyDescent="0.3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O49" s="27"/>
      <c r="P49" s="175"/>
      <c r="U49" s="6"/>
      <c r="Z49" s="175"/>
    </row>
    <row r="50" spans="2:29" s="56" customFormat="1" ht="15" customHeight="1" x14ac:dyDescent="0.3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O50" s="27"/>
      <c r="P50" s="175"/>
      <c r="U50" s="6"/>
      <c r="Z50" s="175"/>
    </row>
    <row r="51" spans="2:29" s="56" customFormat="1" ht="15" customHeight="1" x14ac:dyDescent="0.3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O51" s="27"/>
      <c r="P51" s="175"/>
      <c r="U51" s="6"/>
      <c r="Z51" s="175"/>
    </row>
    <row r="52" spans="2:29" ht="12.75" customHeight="1" x14ac:dyDescent="0.3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27"/>
      <c r="Q52" s="8"/>
      <c r="R52" s="8"/>
      <c r="S52" s="8"/>
      <c r="T52" s="8"/>
      <c r="V52" s="8"/>
      <c r="W52" s="8"/>
      <c r="X52" s="8"/>
      <c r="Y52" s="8"/>
      <c r="AA52" s="8"/>
      <c r="AB52" s="8"/>
      <c r="AC52" s="8"/>
    </row>
    <row r="53" spans="2:29" ht="12.75" customHeight="1" x14ac:dyDescent="0.3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27"/>
      <c r="Q53" s="8"/>
      <c r="R53" s="8"/>
      <c r="S53" s="8"/>
      <c r="T53" s="8"/>
      <c r="V53" s="8"/>
      <c r="W53" s="8"/>
      <c r="X53" s="8"/>
      <c r="Y53" s="8"/>
      <c r="AA53" s="8"/>
      <c r="AB53" s="8"/>
      <c r="AC53" s="8"/>
    </row>
    <row r="54" spans="2:29" ht="12.75" customHeight="1" x14ac:dyDescent="0.3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27"/>
      <c r="Q54" s="8"/>
      <c r="R54" s="8"/>
      <c r="S54" s="8"/>
      <c r="T54" s="8"/>
      <c r="V54" s="8"/>
      <c r="W54" s="8"/>
      <c r="X54" s="8"/>
      <c r="Y54" s="8"/>
      <c r="AA54" s="8"/>
      <c r="AB54" s="8"/>
      <c r="AC54" s="8"/>
    </row>
    <row r="55" spans="2:29" ht="12.75" customHeight="1" x14ac:dyDescent="0.3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27"/>
      <c r="Q55" s="8"/>
      <c r="R55" s="8"/>
      <c r="S55" s="8"/>
      <c r="T55" s="8"/>
      <c r="V55" s="8"/>
      <c r="W55" s="8"/>
      <c r="X55" s="8"/>
      <c r="Y55" s="8"/>
      <c r="AA55" s="8"/>
      <c r="AB55" s="8"/>
      <c r="AC55" s="8"/>
    </row>
    <row r="56" spans="2:29" ht="12.75" customHeight="1" x14ac:dyDescent="0.3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27"/>
      <c r="Q56" s="8"/>
      <c r="R56" s="8"/>
      <c r="S56" s="8"/>
      <c r="T56" s="8"/>
      <c r="V56" s="8"/>
      <c r="W56" s="8"/>
      <c r="X56" s="8"/>
      <c r="Y56" s="8"/>
      <c r="AA56" s="8"/>
      <c r="AB56" s="8"/>
      <c r="AC56" s="8"/>
    </row>
    <row r="57" spans="2:29" ht="12.75" customHeight="1" x14ac:dyDescent="0.3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27"/>
      <c r="Q57" s="8"/>
      <c r="R57" s="8"/>
      <c r="S57" s="8"/>
      <c r="T57" s="8"/>
      <c r="V57" s="8"/>
      <c r="W57" s="8"/>
      <c r="X57" s="8"/>
      <c r="Y57" s="8"/>
      <c r="AA57" s="8"/>
      <c r="AB57" s="8"/>
      <c r="AC57" s="8"/>
    </row>
    <row r="58" spans="2:29" ht="12.75" customHeight="1" x14ac:dyDescent="0.3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27"/>
      <c r="Q58" s="8"/>
      <c r="R58" s="8"/>
      <c r="S58" s="8"/>
      <c r="T58" s="8"/>
      <c r="V58" s="8"/>
      <c r="W58" s="8"/>
      <c r="X58" s="8"/>
      <c r="Y58" s="8"/>
      <c r="AA58" s="8"/>
      <c r="AB58" s="8"/>
      <c r="AC58" s="8"/>
    </row>
    <row r="59" spans="2:29" ht="12.75" customHeight="1" x14ac:dyDescent="0.3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27"/>
      <c r="Q59" s="8"/>
      <c r="R59" s="8"/>
      <c r="S59" s="8"/>
      <c r="T59" s="8"/>
      <c r="V59" s="8"/>
      <c r="W59" s="8"/>
      <c r="X59" s="8"/>
      <c r="Y59" s="8"/>
      <c r="AA59" s="8"/>
      <c r="AB59" s="8"/>
      <c r="AC59" s="8"/>
    </row>
    <row r="60" spans="2:29" ht="12.75" customHeight="1" x14ac:dyDescent="0.3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27"/>
      <c r="Q60" s="8"/>
      <c r="R60" s="8"/>
      <c r="S60" s="8"/>
      <c r="T60" s="8"/>
      <c r="V60" s="8"/>
      <c r="W60" s="8"/>
      <c r="X60" s="8"/>
      <c r="Y60" s="8"/>
      <c r="AA60" s="8"/>
      <c r="AB60" s="8"/>
      <c r="AC60" s="8"/>
    </row>
    <row r="61" spans="2:29" ht="12.75" customHeight="1" x14ac:dyDescent="0.3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27"/>
      <c r="Q61" s="8"/>
      <c r="R61" s="8"/>
      <c r="S61" s="8"/>
      <c r="T61" s="8"/>
      <c r="V61" s="8"/>
      <c r="W61" s="8"/>
      <c r="X61" s="8"/>
      <c r="Y61" s="8"/>
      <c r="AA61" s="8"/>
      <c r="AB61" s="8"/>
      <c r="AC61" s="8"/>
    </row>
    <row r="62" spans="2:29" ht="12.75" customHeight="1" x14ac:dyDescent="0.3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27"/>
      <c r="Q62" s="8"/>
      <c r="R62" s="8"/>
      <c r="S62" s="8"/>
      <c r="T62" s="8"/>
      <c r="V62" s="8"/>
      <c r="W62" s="8"/>
      <c r="X62" s="8"/>
      <c r="Y62" s="8"/>
      <c r="AA62" s="8"/>
      <c r="AB62" s="8"/>
      <c r="AC62" s="8"/>
    </row>
    <row r="63" spans="2:29" ht="12.75" customHeight="1" x14ac:dyDescent="0.3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27"/>
      <c r="Q63" s="8"/>
      <c r="R63" s="8"/>
      <c r="S63" s="8"/>
      <c r="T63" s="8"/>
      <c r="V63" s="8"/>
      <c r="W63" s="8"/>
      <c r="X63" s="8"/>
      <c r="Y63" s="8"/>
      <c r="AA63" s="8"/>
      <c r="AB63" s="8"/>
      <c r="AC63" s="8"/>
    </row>
    <row r="64" spans="2:29" ht="12.75" customHeight="1" x14ac:dyDescent="0.3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27"/>
      <c r="Q64" s="8"/>
      <c r="R64" s="8"/>
      <c r="S64" s="8"/>
      <c r="T64" s="8"/>
      <c r="V64" s="8"/>
      <c r="W64" s="8"/>
      <c r="X64" s="8"/>
      <c r="Y64" s="8"/>
      <c r="AA64" s="8"/>
      <c r="AB64" s="8"/>
      <c r="AC64" s="8"/>
    </row>
    <row r="65" spans="2:29" ht="12.75" customHeight="1" x14ac:dyDescent="0.3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27"/>
      <c r="Q65" s="8"/>
      <c r="R65" s="8"/>
      <c r="S65" s="8"/>
      <c r="T65" s="8"/>
      <c r="V65" s="8"/>
      <c r="W65" s="8"/>
      <c r="X65" s="8"/>
      <c r="Y65" s="8"/>
      <c r="AA65" s="8"/>
      <c r="AB65" s="8"/>
      <c r="AC65" s="8"/>
    </row>
    <row r="66" spans="2:29" ht="12.75" customHeight="1" x14ac:dyDescent="0.3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27"/>
      <c r="Q66" s="8"/>
      <c r="R66" s="8"/>
      <c r="S66" s="8"/>
      <c r="T66" s="8"/>
      <c r="V66" s="8"/>
      <c r="W66" s="8"/>
      <c r="X66" s="8"/>
      <c r="Y66" s="8"/>
      <c r="AA66" s="8"/>
      <c r="AB66" s="8"/>
      <c r="AC66" s="8"/>
    </row>
    <row r="67" spans="2:29" ht="12.75" customHeight="1" x14ac:dyDescent="0.3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27"/>
      <c r="Q67" s="8"/>
      <c r="R67" s="8"/>
      <c r="S67" s="8"/>
      <c r="T67" s="8"/>
      <c r="V67" s="8"/>
      <c r="W67" s="8"/>
      <c r="X67" s="8"/>
      <c r="Y67" s="8"/>
      <c r="AA67" s="8"/>
      <c r="AB67" s="8"/>
      <c r="AC67" s="8"/>
    </row>
    <row r="68" spans="2:29" ht="12.75" customHeight="1" x14ac:dyDescent="0.3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27"/>
      <c r="Q68" s="8"/>
      <c r="R68" s="8"/>
      <c r="S68" s="8"/>
      <c r="T68" s="8"/>
      <c r="V68" s="8"/>
      <c r="W68" s="8"/>
      <c r="X68" s="8"/>
      <c r="Y68" s="8"/>
      <c r="AA68" s="8"/>
      <c r="AB68" s="8"/>
      <c r="AC68" s="8"/>
    </row>
    <row r="69" spans="2:29" ht="12.75" customHeigh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27"/>
      <c r="Q69" s="8"/>
      <c r="R69" s="8"/>
      <c r="S69" s="8"/>
      <c r="T69" s="8"/>
      <c r="V69" s="8"/>
      <c r="W69" s="8"/>
      <c r="X69" s="8"/>
      <c r="Y69" s="8"/>
      <c r="AA69" s="8"/>
      <c r="AB69" s="8"/>
      <c r="AC69" s="8"/>
    </row>
    <row r="70" spans="2:29" ht="12.75" customHeight="1" x14ac:dyDescent="0.3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27"/>
      <c r="Q70" s="8"/>
      <c r="R70" s="8"/>
      <c r="S70" s="8"/>
      <c r="T70" s="8"/>
      <c r="V70" s="8"/>
      <c r="W70" s="8"/>
      <c r="X70" s="8"/>
      <c r="Y70" s="8"/>
      <c r="AA70" s="8"/>
      <c r="AB70" s="8"/>
      <c r="AC70" s="8"/>
    </row>
    <row r="71" spans="2:29" ht="12.75" customHeight="1" x14ac:dyDescent="0.3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27"/>
      <c r="Q71" s="8"/>
      <c r="R71" s="8"/>
      <c r="S71" s="8"/>
      <c r="T71" s="8"/>
      <c r="V71" s="8"/>
      <c r="W71" s="8"/>
      <c r="X71" s="8"/>
      <c r="Y71" s="8"/>
      <c r="AA71" s="8"/>
      <c r="AB71" s="8"/>
      <c r="AC71" s="8"/>
    </row>
    <row r="72" spans="2:29" ht="12.75" customHeight="1" x14ac:dyDescent="0.3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27"/>
      <c r="Q72" s="8"/>
      <c r="R72" s="8"/>
      <c r="S72" s="8"/>
      <c r="T72" s="8"/>
      <c r="V72" s="8"/>
      <c r="W72" s="8"/>
      <c r="X72" s="8"/>
      <c r="Y72" s="8"/>
      <c r="AA72" s="8"/>
      <c r="AB72" s="8"/>
      <c r="AC72" s="8"/>
    </row>
    <row r="73" spans="2:29" ht="12.75" customHeight="1" x14ac:dyDescent="0.3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27"/>
      <c r="Q73" s="8"/>
      <c r="R73" s="8"/>
      <c r="S73" s="8"/>
      <c r="T73" s="8"/>
      <c r="V73" s="8"/>
      <c r="W73" s="8"/>
      <c r="X73" s="8"/>
      <c r="Y73" s="8"/>
      <c r="AA73" s="8"/>
      <c r="AB73" s="8"/>
      <c r="AC73" s="8"/>
    </row>
    <row r="74" spans="2:29" ht="12.75" customHeight="1" x14ac:dyDescent="0.3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27"/>
      <c r="Q74" s="8"/>
      <c r="R74" s="8"/>
      <c r="S74" s="8"/>
      <c r="T74" s="8"/>
      <c r="V74" s="8"/>
      <c r="W74" s="8"/>
      <c r="X74" s="8"/>
      <c r="Y74" s="8"/>
      <c r="AA74" s="8"/>
      <c r="AB74" s="8"/>
      <c r="AC74" s="8"/>
    </row>
    <row r="75" spans="2:29" ht="12.75" customHeight="1" x14ac:dyDescent="0.3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27"/>
      <c r="Q75" s="8"/>
      <c r="R75" s="8"/>
      <c r="S75" s="8"/>
      <c r="T75" s="8"/>
      <c r="V75" s="8"/>
      <c r="W75" s="8"/>
      <c r="X75" s="8"/>
      <c r="Y75" s="8"/>
      <c r="AA75" s="8"/>
      <c r="AB75" s="8"/>
      <c r="AC75" s="8"/>
    </row>
    <row r="76" spans="2:29" ht="12.75" customHeight="1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27"/>
      <c r="Q76" s="8"/>
      <c r="R76" s="8"/>
      <c r="S76" s="8"/>
      <c r="T76" s="8"/>
      <c r="V76" s="8"/>
      <c r="W76" s="8"/>
      <c r="X76" s="8"/>
      <c r="Y76" s="8"/>
      <c r="AA76" s="8"/>
      <c r="AB76" s="8"/>
      <c r="AC76" s="8"/>
    </row>
    <row r="77" spans="2:29" ht="12.75" customHeight="1" x14ac:dyDescent="0.3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27"/>
      <c r="Q77" s="8"/>
      <c r="R77" s="8"/>
      <c r="S77" s="8"/>
      <c r="T77" s="8"/>
      <c r="V77" s="8"/>
      <c r="W77" s="8"/>
      <c r="X77" s="8"/>
      <c r="Y77" s="8"/>
      <c r="AA77" s="8"/>
      <c r="AB77" s="8"/>
      <c r="AC77" s="8"/>
    </row>
    <row r="78" spans="2:29" ht="12.75" customHeight="1" x14ac:dyDescent="0.3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27"/>
      <c r="Q78" s="8"/>
      <c r="R78" s="8"/>
      <c r="S78" s="8"/>
      <c r="T78" s="8"/>
      <c r="V78" s="8"/>
      <c r="W78" s="8"/>
      <c r="X78" s="8"/>
      <c r="Y78" s="8"/>
      <c r="AA78" s="8"/>
      <c r="AB78" s="8"/>
      <c r="AC78" s="8"/>
    </row>
    <row r="79" spans="2:29" ht="12.75" customHeight="1" x14ac:dyDescent="0.3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27"/>
      <c r="Q79" s="8"/>
      <c r="R79" s="8"/>
      <c r="S79" s="8"/>
      <c r="T79" s="8"/>
      <c r="V79" s="8"/>
      <c r="W79" s="8"/>
      <c r="X79" s="8"/>
      <c r="Y79" s="8"/>
      <c r="AA79" s="8"/>
      <c r="AB79" s="8"/>
      <c r="AC79" s="8"/>
    </row>
    <row r="80" spans="2:29" ht="12.75" customHeight="1" x14ac:dyDescent="0.3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27"/>
      <c r="Q80" s="8"/>
      <c r="R80" s="8"/>
      <c r="S80" s="8"/>
      <c r="T80" s="8"/>
      <c r="V80" s="8"/>
      <c r="W80" s="8"/>
      <c r="X80" s="8"/>
      <c r="Y80" s="8"/>
      <c r="AA80" s="8"/>
      <c r="AB80" s="8"/>
      <c r="AC80" s="8"/>
    </row>
    <row r="81" spans="2:29" ht="12.7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27"/>
      <c r="Q81" s="8"/>
      <c r="R81" s="8"/>
      <c r="S81" s="8"/>
      <c r="T81" s="8"/>
      <c r="V81" s="8"/>
      <c r="W81" s="8"/>
      <c r="X81" s="8"/>
      <c r="Y81" s="8"/>
      <c r="AA81" s="8"/>
      <c r="AB81" s="8"/>
      <c r="AC81" s="8"/>
    </row>
    <row r="82" spans="2:29" ht="12.75" customHeight="1" x14ac:dyDescent="0.3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27"/>
      <c r="Q82" s="8"/>
      <c r="R82" s="8"/>
      <c r="S82" s="8"/>
      <c r="T82" s="8"/>
      <c r="V82" s="8"/>
      <c r="W82" s="8"/>
      <c r="X82" s="8"/>
      <c r="Y82" s="8"/>
      <c r="AA82" s="8"/>
      <c r="AB82" s="8"/>
      <c r="AC82" s="8"/>
    </row>
    <row r="83" spans="2:29" ht="12.75" customHeight="1" x14ac:dyDescent="0.3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27"/>
      <c r="Q83" s="8"/>
      <c r="R83" s="8"/>
      <c r="S83" s="8"/>
      <c r="T83" s="8"/>
      <c r="V83" s="8"/>
      <c r="W83" s="8"/>
      <c r="X83" s="8"/>
      <c r="Y83" s="8"/>
      <c r="AA83" s="8"/>
      <c r="AB83" s="8"/>
      <c r="AC83" s="8"/>
    </row>
    <row r="84" spans="2:29" ht="12.75" customHeight="1" x14ac:dyDescent="0.3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27"/>
      <c r="Q84" s="8"/>
      <c r="R84" s="8"/>
      <c r="S84" s="8"/>
      <c r="T84" s="8"/>
      <c r="V84" s="8"/>
      <c r="W84" s="8"/>
      <c r="X84" s="8"/>
      <c r="Y84" s="8"/>
      <c r="AA84" s="8"/>
      <c r="AB84" s="8"/>
      <c r="AC84" s="8"/>
    </row>
    <row r="85" spans="2:29" ht="12.75" customHeight="1" x14ac:dyDescent="0.3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27"/>
      <c r="Q85" s="8"/>
      <c r="R85" s="8"/>
      <c r="S85" s="8"/>
      <c r="T85" s="8"/>
      <c r="V85" s="8"/>
      <c r="W85" s="8"/>
      <c r="X85" s="8"/>
      <c r="Y85" s="8"/>
      <c r="AA85" s="8"/>
      <c r="AB85" s="8"/>
      <c r="AC85" s="8"/>
    </row>
    <row r="86" spans="2:29" ht="12.75" customHeight="1" x14ac:dyDescent="0.3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27"/>
      <c r="Q86" s="8"/>
      <c r="R86" s="8"/>
      <c r="S86" s="8"/>
      <c r="T86" s="8"/>
      <c r="V86" s="8"/>
      <c r="W86" s="8"/>
      <c r="X86" s="8"/>
      <c r="Y86" s="8"/>
      <c r="AA86" s="8"/>
      <c r="AB86" s="8"/>
      <c r="AC86" s="8"/>
    </row>
    <row r="87" spans="2:29" ht="12.75" customHeight="1" x14ac:dyDescent="0.3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27"/>
      <c r="Q87" s="8"/>
      <c r="R87" s="8"/>
      <c r="S87" s="8"/>
      <c r="T87" s="8"/>
      <c r="V87" s="8"/>
      <c r="W87" s="8"/>
      <c r="X87" s="8"/>
      <c r="Y87" s="8"/>
      <c r="AA87" s="8"/>
      <c r="AB87" s="8"/>
      <c r="AC87" s="8"/>
    </row>
    <row r="88" spans="2:29" ht="12.75" customHeight="1" x14ac:dyDescent="0.3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27"/>
      <c r="Q88" s="8"/>
      <c r="R88" s="8"/>
      <c r="S88" s="8"/>
      <c r="T88" s="8"/>
      <c r="V88" s="8"/>
      <c r="W88" s="8"/>
      <c r="X88" s="8"/>
      <c r="Y88" s="8"/>
      <c r="AA88" s="8"/>
      <c r="AB88" s="8"/>
      <c r="AC88" s="8"/>
    </row>
    <row r="89" spans="2:29" ht="12.75" customHeight="1" x14ac:dyDescent="0.3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27"/>
      <c r="Q89" s="8"/>
      <c r="R89" s="8"/>
      <c r="S89" s="8"/>
      <c r="T89" s="8"/>
      <c r="V89" s="8"/>
      <c r="W89" s="8"/>
      <c r="X89" s="8"/>
      <c r="Y89" s="8"/>
      <c r="AA89" s="8"/>
      <c r="AB89" s="8"/>
      <c r="AC89" s="8"/>
    </row>
    <row r="90" spans="2:29" ht="12.75" customHeight="1" x14ac:dyDescent="0.3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27"/>
      <c r="Q90" s="8"/>
      <c r="R90" s="8"/>
      <c r="S90" s="8"/>
      <c r="T90" s="8"/>
      <c r="V90" s="8"/>
      <c r="W90" s="8"/>
      <c r="X90" s="8"/>
      <c r="Y90" s="8"/>
      <c r="AA90" s="8"/>
      <c r="AB90" s="8"/>
      <c r="AC90" s="8"/>
    </row>
    <row r="91" spans="2:29" ht="12.75" customHeight="1" x14ac:dyDescent="0.3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27"/>
      <c r="Q91" s="8"/>
      <c r="R91" s="8"/>
      <c r="S91" s="8"/>
      <c r="T91" s="8"/>
      <c r="V91" s="8"/>
      <c r="W91" s="8"/>
      <c r="X91" s="8"/>
      <c r="Y91" s="8"/>
      <c r="AA91" s="8"/>
      <c r="AB91" s="8"/>
      <c r="AC91" s="8"/>
    </row>
    <row r="92" spans="2:29" ht="12.75" customHeight="1" x14ac:dyDescent="0.3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27"/>
      <c r="Q92" s="8"/>
      <c r="R92" s="8"/>
      <c r="S92" s="8"/>
      <c r="T92" s="8"/>
      <c r="V92" s="8"/>
      <c r="W92" s="8"/>
      <c r="X92" s="8"/>
      <c r="Y92" s="8"/>
      <c r="AA92" s="8"/>
      <c r="AB92" s="8"/>
      <c r="AC92" s="8"/>
    </row>
    <row r="93" spans="2:29" ht="12.75" customHeight="1" x14ac:dyDescent="0.3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27"/>
      <c r="Q93" s="8"/>
      <c r="R93" s="8"/>
      <c r="S93" s="8"/>
      <c r="T93" s="8"/>
      <c r="V93" s="8"/>
      <c r="W93" s="8"/>
      <c r="X93" s="8"/>
      <c r="Y93" s="8"/>
      <c r="AA93" s="8"/>
      <c r="AB93" s="8"/>
      <c r="AC93" s="8"/>
    </row>
    <row r="94" spans="2:29" ht="12.75" customHeight="1" x14ac:dyDescent="0.3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27"/>
      <c r="Q94" s="8"/>
      <c r="R94" s="8"/>
      <c r="S94" s="8"/>
      <c r="T94" s="8"/>
      <c r="V94" s="8"/>
      <c r="W94" s="8"/>
      <c r="X94" s="8"/>
      <c r="Y94" s="8"/>
      <c r="AA94" s="8"/>
      <c r="AB94" s="8"/>
      <c r="AC94" s="8"/>
    </row>
    <row r="95" spans="2:29" ht="12.75" customHeight="1" x14ac:dyDescent="0.3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27"/>
      <c r="Q95" s="8"/>
      <c r="R95" s="8"/>
      <c r="S95" s="8"/>
      <c r="T95" s="8"/>
      <c r="V95" s="8"/>
      <c r="W95" s="8"/>
      <c r="X95" s="8"/>
      <c r="Y95" s="8"/>
      <c r="AA95" s="8"/>
      <c r="AB95" s="8"/>
      <c r="AC95" s="8"/>
    </row>
    <row r="96" spans="2:29" ht="12.75" customHeight="1" x14ac:dyDescent="0.3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27"/>
      <c r="Q96" s="8"/>
      <c r="R96" s="8"/>
      <c r="S96" s="8"/>
      <c r="T96" s="8"/>
      <c r="V96" s="8"/>
      <c r="W96" s="8"/>
      <c r="X96" s="8"/>
      <c r="Y96" s="8"/>
      <c r="AA96" s="8"/>
      <c r="AB96" s="8"/>
      <c r="AC96" s="8"/>
    </row>
    <row r="97" spans="2:29" ht="12.75" customHeigh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27"/>
      <c r="Q97" s="8"/>
      <c r="R97" s="8"/>
      <c r="S97" s="8"/>
      <c r="T97" s="8"/>
      <c r="V97" s="8"/>
      <c r="W97" s="8"/>
      <c r="X97" s="8"/>
      <c r="Y97" s="8"/>
      <c r="AA97" s="8"/>
      <c r="AB97" s="8"/>
      <c r="AC97" s="8"/>
    </row>
    <row r="98" spans="2:29" ht="12.75" customHeight="1" x14ac:dyDescent="0.3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27"/>
      <c r="Q98" s="8"/>
      <c r="R98" s="8"/>
      <c r="S98" s="8"/>
      <c r="T98" s="8"/>
      <c r="V98" s="8"/>
      <c r="W98" s="8"/>
      <c r="X98" s="8"/>
      <c r="Y98" s="8"/>
      <c r="AA98" s="8"/>
      <c r="AB98" s="8"/>
      <c r="AC98" s="8"/>
    </row>
    <row r="99" spans="2:29" ht="12.7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27"/>
      <c r="Q99" s="8"/>
      <c r="R99" s="8"/>
      <c r="S99" s="8"/>
      <c r="T99" s="8"/>
      <c r="V99" s="8"/>
      <c r="W99" s="8"/>
      <c r="X99" s="8"/>
      <c r="Y99" s="8"/>
      <c r="AA99" s="8"/>
      <c r="AB99" s="8"/>
      <c r="AC99" s="8"/>
    </row>
    <row r="100" spans="2:29" ht="12.75" customHeight="1" x14ac:dyDescent="0.3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27"/>
      <c r="Q100" s="8"/>
      <c r="R100" s="8"/>
      <c r="S100" s="8"/>
      <c r="T100" s="8"/>
      <c r="V100" s="8"/>
      <c r="W100" s="8"/>
      <c r="X100" s="8"/>
      <c r="Y100" s="8"/>
      <c r="AA100" s="8"/>
      <c r="AB100" s="8"/>
      <c r="AC100" s="8"/>
    </row>
    <row r="101" spans="2:29" ht="12.75" customHeight="1" x14ac:dyDescent="0.3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27"/>
      <c r="Q101" s="8"/>
      <c r="R101" s="8"/>
      <c r="S101" s="8"/>
      <c r="T101" s="8"/>
      <c r="V101" s="8"/>
      <c r="W101" s="8"/>
      <c r="X101" s="8"/>
      <c r="Y101" s="8"/>
      <c r="AA101" s="8"/>
      <c r="AB101" s="8"/>
      <c r="AC101" s="8"/>
    </row>
    <row r="102" spans="2:29" ht="12.75" customHeight="1" x14ac:dyDescent="0.3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</row>
    <row r="103" spans="2:29" ht="12.75" customHeight="1" x14ac:dyDescent="0.3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2:29" ht="12.75" customHeight="1" x14ac:dyDescent="0.3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</row>
    <row r="105" spans="2:29" ht="12.75" customHeight="1" x14ac:dyDescent="0.3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2:29" ht="12.75" customHeight="1" x14ac:dyDescent="0.3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</row>
    <row r="107" spans="2:29" ht="12.75" customHeight="1" x14ac:dyDescent="0.3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2:29" ht="12.75" customHeight="1" x14ac:dyDescent="0.3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</row>
    <row r="109" spans="2:29" ht="12.75" customHeight="1" x14ac:dyDescent="0.3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2:29" ht="12.75" customHeight="1" x14ac:dyDescent="0.3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</row>
    <row r="111" spans="2:29" ht="12.75" customHeight="1" x14ac:dyDescent="0.3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2:29" ht="12.75" customHeight="1" x14ac:dyDescent="0.3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2:12" ht="12.75" customHeight="1" x14ac:dyDescent="0.3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2:12" ht="12.75" customHeight="1" x14ac:dyDescent="0.3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2:12" ht="12.75" customHeight="1" x14ac:dyDescent="0.3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2:12" ht="12.7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2:12" ht="12.7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2:12" ht="12.7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</row>
    <row r="119" spans="2:12" ht="12.7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2:12" ht="12.7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2:12" ht="12.7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2:12" ht="12.7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</row>
    <row r="123" spans="2:12" ht="12.7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2:12" ht="12.7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2:12" ht="12.7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2:12" ht="12.7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</row>
    <row r="127" spans="2:12" ht="12.7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2:12" ht="12.7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</row>
    <row r="129" spans="2:12" ht="12.7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2:12" ht="12.7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2:12" ht="12.7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2:12" ht="12.7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</row>
    <row r="133" spans="2:12" ht="12.75" customHeight="1" x14ac:dyDescent="0.3"/>
    <row r="134" spans="2:12" ht="12.75" customHeight="1" x14ac:dyDescent="0.3"/>
    <row r="135" spans="2:12" ht="12.75" customHeight="1" x14ac:dyDescent="0.3"/>
    <row r="136" spans="2:12" ht="12.75" customHeight="1" x14ac:dyDescent="0.3"/>
    <row r="137" spans="2:12" ht="12.75" customHeight="1" x14ac:dyDescent="0.3"/>
    <row r="138" spans="2:12" ht="12.75" customHeight="1" x14ac:dyDescent="0.3"/>
    <row r="139" spans="2:12" ht="12.75" customHeight="1" x14ac:dyDescent="0.3"/>
    <row r="140" spans="2:12" ht="12.75" customHeight="1" x14ac:dyDescent="0.3"/>
    <row r="141" spans="2:12" ht="12.75" customHeight="1" x14ac:dyDescent="0.3"/>
    <row r="142" spans="2:12" ht="12.75" customHeight="1" x14ac:dyDescent="0.3"/>
    <row r="143" spans="2:12" ht="12.75" customHeight="1" x14ac:dyDescent="0.3"/>
    <row r="144" spans="2:12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</sheetData>
  <sheetProtection formatCells="0" formatColumns="0" formatRows="0" insertColumns="0" insertRows="0" insertHyperlinks="0" sort="0"/>
  <mergeCells count="33">
    <mergeCell ref="B23:C25"/>
    <mergeCell ref="G20:H20"/>
    <mergeCell ref="G22:H22"/>
    <mergeCell ref="G24:H24"/>
    <mergeCell ref="D21:K21"/>
    <mergeCell ref="D23:K23"/>
    <mergeCell ref="AA1:AC1"/>
    <mergeCell ref="B5:K6"/>
    <mergeCell ref="D16:K16"/>
    <mergeCell ref="D18:K18"/>
    <mergeCell ref="B15:C16"/>
    <mergeCell ref="B11:C11"/>
    <mergeCell ref="H13:H14"/>
    <mergeCell ref="G13:G14"/>
    <mergeCell ref="F13:F14"/>
    <mergeCell ref="I13:I14"/>
    <mergeCell ref="Q8:Y9"/>
    <mergeCell ref="I37:J37"/>
    <mergeCell ref="I28:J28"/>
    <mergeCell ref="I29:J29"/>
    <mergeCell ref="Q1:T1"/>
    <mergeCell ref="V1:Y1"/>
    <mergeCell ref="B31:K32"/>
    <mergeCell ref="B33:K36"/>
    <mergeCell ref="D25:K25"/>
    <mergeCell ref="J13:J14"/>
    <mergeCell ref="K13:K14"/>
    <mergeCell ref="B26:C26"/>
    <mergeCell ref="E13:E14"/>
    <mergeCell ref="B13:C14"/>
    <mergeCell ref="D13:D14"/>
    <mergeCell ref="B17:C18"/>
    <mergeCell ref="B20:C22"/>
  </mergeCells>
  <phoneticPr fontId="42" type="noConversion"/>
  <printOptions horizontalCentered="1" verticalCentered="1"/>
  <pageMargins left="0.25" right="0.25" top="0.75" bottom="0.75" header="0.3" footer="0.3"/>
  <pageSetup scale="49" orientation="landscape" r:id="rId1"/>
  <drawing r:id="rId2"/>
  <legacyDrawing r:id="rId3"/>
  <controls>
    <mc:AlternateContent xmlns:mc="http://schemas.openxmlformats.org/markup-compatibility/2006">
      <mc:Choice Requires="x14">
        <control shapeId="4153" r:id="rId4" name="ComboBox1">
          <controlPr defaultSize="0" autoLine="0" autoPict="0" linkedCell="C8" listFillRange="'Look Up Table'!B6:B14" r:id="rId5">
            <anchor moveWithCells="1" sizeWithCells="1">
              <from>
                <xdr:col>2</xdr:col>
                <xdr:colOff>31750</xdr:colOff>
                <xdr:row>7</xdr:row>
                <xdr:rowOff>31750</xdr:rowOff>
              </from>
              <to>
                <xdr:col>3</xdr:col>
                <xdr:colOff>0</xdr:colOff>
                <xdr:row>8</xdr:row>
                <xdr:rowOff>6350</xdr:rowOff>
              </to>
            </anchor>
          </controlPr>
        </control>
      </mc:Choice>
      <mc:Fallback>
        <control shapeId="4153" r:id="rId4" name="ComboBox1"/>
      </mc:Fallback>
    </mc:AlternateContent>
    <mc:AlternateContent xmlns:mc="http://schemas.openxmlformats.org/markup-compatibility/2006">
      <mc:Choice Requires="x14">
        <control shapeId="4154" r:id="rId6" name="ComboBox2">
          <controlPr defaultSize="0" print="0" autoLine="0" autoPict="0" linkedCell="F20" listFillRange="O39:O44" r:id="rId7">
            <anchor moveWithCells="1" sizeWithCells="1">
              <from>
                <xdr:col>5</xdr:col>
                <xdr:colOff>31750</xdr:colOff>
                <xdr:row>19</xdr:row>
                <xdr:rowOff>0</xdr:rowOff>
              </from>
              <to>
                <xdr:col>6</xdr:col>
                <xdr:colOff>6350</xdr:colOff>
                <xdr:row>20</xdr:row>
                <xdr:rowOff>19050</xdr:rowOff>
              </to>
            </anchor>
          </controlPr>
        </control>
      </mc:Choice>
      <mc:Fallback>
        <control shapeId="4154" r:id="rId6" name="ComboBox2"/>
      </mc:Fallback>
    </mc:AlternateContent>
    <mc:AlternateContent xmlns:mc="http://schemas.openxmlformats.org/markup-compatibility/2006">
      <mc:Choice Requires="x14">
        <control shapeId="4155" r:id="rId8" name="ComboBox3">
          <controlPr defaultSize="0" print="0" autoLine="0" autoPict="0" linkedCell="F22" listFillRange="O39:O44" r:id="rId9">
            <anchor moveWithCells="1" sizeWithCells="1">
              <from>
                <xdr:col>5</xdr:col>
                <xdr:colOff>31750</xdr:colOff>
                <xdr:row>21</xdr:row>
                <xdr:rowOff>0</xdr:rowOff>
              </from>
              <to>
                <xdr:col>6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4155" r:id="rId8" name="ComboBox3"/>
      </mc:Fallback>
    </mc:AlternateContent>
    <mc:AlternateContent xmlns:mc="http://schemas.openxmlformats.org/markup-compatibility/2006">
      <mc:Choice Requires="x14">
        <control shapeId="4156" r:id="rId10" name="ComboBox4">
          <controlPr defaultSize="0" print="0" autoLine="0" autoPict="0" linkedCell="F24" listFillRange="O39:O44" r:id="rId11">
            <anchor moveWithCells="1" sizeWithCells="1">
              <from>
                <xdr:col>5</xdr:col>
                <xdr:colOff>31750</xdr:colOff>
                <xdr:row>23</xdr:row>
                <xdr:rowOff>0</xdr:rowOff>
              </from>
              <to>
                <xdr:col>6</xdr:col>
                <xdr:colOff>12700</xdr:colOff>
                <xdr:row>24</xdr:row>
                <xdr:rowOff>19050</xdr:rowOff>
              </to>
            </anchor>
          </controlPr>
        </control>
      </mc:Choice>
      <mc:Fallback>
        <control shapeId="4156" r:id="rId10" name="ComboBox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E5B1-8BAC-4B8F-BD3F-DF513346989E}">
  <sheetPr codeName="Sheet1">
    <tabColor rgb="FFFF0000"/>
  </sheetPr>
  <dimension ref="B1:AD996"/>
  <sheetViews>
    <sheetView showGridLines="0" zoomScale="70" zoomScaleNormal="70" workbookViewId="0">
      <selection activeCell="D27" sqref="D27"/>
    </sheetView>
  </sheetViews>
  <sheetFormatPr defaultColWidth="15.3984375" defaultRowHeight="15" customHeight="1" outlineLevelCol="1" x14ac:dyDescent="0.3"/>
  <cols>
    <col min="1" max="1" width="7.69921875" style="83" customWidth="1"/>
    <col min="2" max="2" width="29.8984375" style="82" customWidth="1"/>
    <col min="3" max="3" width="16.59765625" style="82" customWidth="1"/>
    <col min="4" max="5" width="17.796875" style="82" customWidth="1"/>
    <col min="6" max="6" width="21" style="83" customWidth="1"/>
    <col min="7" max="7" width="18.59765625" style="83" customWidth="1" outlineLevel="1"/>
    <col min="8" max="8" width="21.8984375" style="83" customWidth="1"/>
    <col min="9" max="9" width="18.09765625" style="83" customWidth="1" outlineLevel="1"/>
    <col min="10" max="10" width="16.59765625" style="83" customWidth="1" outlineLevel="1"/>
    <col min="11" max="11" width="14.5" style="83" customWidth="1"/>
    <col min="12" max="12" width="20.09765625" style="101" customWidth="1"/>
    <col min="13" max="14" width="20.09765625" style="83" customWidth="1"/>
    <col min="15" max="15" width="17.8984375" style="88" customWidth="1"/>
    <col min="16" max="16" width="14.5" style="83" customWidth="1"/>
    <col min="17" max="19" width="20.09765625" style="83" customWidth="1"/>
    <col min="20" max="20" width="17.8984375" style="88" customWidth="1"/>
    <col min="21" max="22" width="7.69921875" style="83" customWidth="1"/>
    <col min="23" max="24" width="21.09765625" style="83" customWidth="1"/>
    <col min="25" max="26" width="14.09765625" style="111" customWidth="1"/>
    <col min="27" max="27" width="16.59765625" style="83" customWidth="1"/>
    <col min="28" max="28" width="19.19921875" style="83" bestFit="1" customWidth="1"/>
    <col min="29" max="16384" width="15.3984375" style="83"/>
  </cols>
  <sheetData>
    <row r="1" spans="2:26" ht="15.75" customHeight="1" x14ac:dyDescent="0.3">
      <c r="B1" s="268" t="s">
        <v>65</v>
      </c>
      <c r="C1" s="268"/>
      <c r="D1" s="268"/>
      <c r="E1" s="268"/>
      <c r="F1" s="268"/>
      <c r="G1" s="268"/>
      <c r="H1" s="268"/>
      <c r="I1" s="268"/>
      <c r="J1" s="268"/>
      <c r="L1" s="84" t="s">
        <v>38</v>
      </c>
      <c r="M1" s="69"/>
      <c r="N1" s="69"/>
      <c r="O1" s="69"/>
      <c r="Q1" s="69"/>
      <c r="R1" s="69"/>
      <c r="S1" s="69"/>
      <c r="T1" s="69"/>
      <c r="W1" s="6"/>
      <c r="X1" s="6"/>
      <c r="Y1" s="6"/>
      <c r="Z1" s="85"/>
    </row>
    <row r="2" spans="2:26" ht="18.399999999999999" customHeight="1" x14ac:dyDescent="0.3">
      <c r="B2" s="268"/>
      <c r="C2" s="268"/>
      <c r="D2" s="268"/>
      <c r="E2" s="268"/>
      <c r="F2" s="268"/>
      <c r="G2" s="268"/>
      <c r="H2" s="268"/>
      <c r="I2" s="268"/>
      <c r="J2" s="268"/>
      <c r="L2" s="261" t="s">
        <v>39</v>
      </c>
      <c r="M2" s="261"/>
      <c r="N2" s="69"/>
      <c r="O2" s="69"/>
      <c r="Q2" s="69"/>
      <c r="R2" s="69"/>
      <c r="S2" s="69"/>
      <c r="T2" s="69"/>
      <c r="W2" s="6"/>
      <c r="X2" s="6"/>
      <c r="Y2" s="6"/>
      <c r="Z2" s="85"/>
    </row>
    <row r="3" spans="2:26" ht="15" customHeight="1" x14ac:dyDescent="0.3">
      <c r="L3" s="260" t="s">
        <v>58</v>
      </c>
      <c r="M3" s="260"/>
      <c r="N3" s="260"/>
      <c r="O3" s="260"/>
      <c r="P3" s="260"/>
      <c r="Q3" s="260"/>
      <c r="R3" s="260"/>
      <c r="S3" s="69"/>
      <c r="T3" s="69"/>
      <c r="W3" s="6"/>
      <c r="X3" s="6"/>
      <c r="Y3" s="6"/>
      <c r="Z3" s="6"/>
    </row>
    <row r="4" spans="2:26" ht="35.25" customHeight="1" x14ac:dyDescent="0.35">
      <c r="B4" s="265" t="s">
        <v>14</v>
      </c>
      <c r="C4" s="265"/>
      <c r="D4" s="266" t="s">
        <v>34</v>
      </c>
      <c r="E4" s="266"/>
      <c r="F4" s="267" t="s">
        <v>33</v>
      </c>
      <c r="G4" s="267"/>
      <c r="H4" s="267"/>
      <c r="I4" s="267"/>
      <c r="J4" s="267"/>
      <c r="L4" s="260"/>
      <c r="M4" s="260"/>
      <c r="N4" s="260"/>
      <c r="O4" s="260"/>
      <c r="P4" s="260"/>
      <c r="Q4" s="260"/>
      <c r="R4" s="260"/>
      <c r="S4" s="69"/>
      <c r="T4" s="69"/>
      <c r="W4" s="6"/>
      <c r="X4" s="6"/>
      <c r="Y4" s="6"/>
      <c r="Z4" s="6"/>
    </row>
    <row r="5" spans="2:26" ht="40" customHeight="1" thickBot="1" x14ac:dyDescent="0.35">
      <c r="B5" s="173" t="s">
        <v>49</v>
      </c>
      <c r="C5" s="173" t="s">
        <v>10</v>
      </c>
      <c r="D5" s="173" t="s">
        <v>12</v>
      </c>
      <c r="E5" s="173" t="s">
        <v>15</v>
      </c>
      <c r="F5" s="263" t="s">
        <v>70</v>
      </c>
      <c r="G5" s="263"/>
      <c r="H5" s="264" t="s">
        <v>71</v>
      </c>
      <c r="I5" s="264"/>
      <c r="J5" s="166" t="s">
        <v>64</v>
      </c>
      <c r="L5" s="260"/>
      <c r="M5" s="260"/>
      <c r="N5" s="260"/>
      <c r="O5" s="260"/>
      <c r="P5" s="260"/>
      <c r="Q5" s="260"/>
      <c r="R5" s="260"/>
      <c r="S5" s="69"/>
      <c r="T5" s="69"/>
      <c r="W5" s="6"/>
      <c r="X5" s="6"/>
      <c r="Y5" s="6"/>
      <c r="Z5" s="6"/>
    </row>
    <row r="6" spans="2:26" s="86" customFormat="1" ht="32.4" customHeight="1" thickBot="1" x14ac:dyDescent="0.4">
      <c r="B6" s="167" t="s">
        <v>6</v>
      </c>
      <c r="C6" s="168">
        <v>0.5</v>
      </c>
      <c r="D6" s="168">
        <v>0.7</v>
      </c>
      <c r="E6" s="168">
        <v>0.3</v>
      </c>
      <c r="F6" s="169">
        <v>0.6</v>
      </c>
      <c r="G6" s="170">
        <f t="shared" ref="G6:G13" si="0">$F6*$D6</f>
        <v>0.42</v>
      </c>
      <c r="H6" s="171">
        <v>0.4</v>
      </c>
      <c r="I6" s="170">
        <f t="shared" ref="I6:I13" si="1">$H6*$D6</f>
        <v>0.27999999999999997</v>
      </c>
      <c r="J6" s="170">
        <f t="shared" ref="J6:J13" si="2">$E6</f>
        <v>0.3</v>
      </c>
      <c r="L6" s="112" t="s">
        <v>50</v>
      </c>
      <c r="M6" s="113" t="s">
        <v>59</v>
      </c>
      <c r="N6" s="113" t="s">
        <v>78</v>
      </c>
      <c r="O6" s="114" t="s">
        <v>35</v>
      </c>
      <c r="P6" s="87"/>
      <c r="Q6" s="112" t="s">
        <v>50</v>
      </c>
      <c r="R6" s="113" t="s">
        <v>68</v>
      </c>
      <c r="S6" s="113" t="s">
        <v>78</v>
      </c>
      <c r="T6" s="114" t="s">
        <v>35</v>
      </c>
      <c r="W6" s="6"/>
      <c r="X6" s="6"/>
      <c r="Y6" s="6"/>
      <c r="Z6" s="6"/>
    </row>
    <row r="7" spans="2:26" ht="17.649999999999999" customHeight="1" thickBot="1" x14ac:dyDescent="0.35">
      <c r="B7" s="167" t="s">
        <v>40</v>
      </c>
      <c r="C7" s="168">
        <v>0.4</v>
      </c>
      <c r="D7" s="168">
        <v>0.7</v>
      </c>
      <c r="E7" s="168">
        <v>0.3</v>
      </c>
      <c r="F7" s="169">
        <v>0.6</v>
      </c>
      <c r="G7" s="172">
        <f t="shared" si="0"/>
        <v>0.42</v>
      </c>
      <c r="H7" s="171">
        <v>0.4</v>
      </c>
      <c r="I7" s="172">
        <f t="shared" si="1"/>
        <v>0.27999999999999997</v>
      </c>
      <c r="J7" s="172">
        <f t="shared" si="2"/>
        <v>0.3</v>
      </c>
      <c r="L7" s="115">
        <f>'Short Term Incentive Calculator'!R6</f>
        <v>57.8</v>
      </c>
      <c r="M7" s="116">
        <f t="shared" ref="M7:M20" si="3">$M8-1%</f>
        <v>0.84999999999999987</v>
      </c>
      <c r="N7" s="116">
        <f>'Short Term Incentive Calculator'!T6</f>
        <v>0.5</v>
      </c>
      <c r="O7" s="117" t="s">
        <v>3</v>
      </c>
      <c r="Q7" s="115">
        <f>'Short Term Incentive Calculator'!W6</f>
        <v>10.454375515194748</v>
      </c>
      <c r="R7" s="116">
        <f t="shared" ref="R7:R15" si="4">$R8-1%</f>
        <v>0.89999999999999991</v>
      </c>
      <c r="S7" s="116">
        <f>'Short Term Incentive Calculator'!Y6</f>
        <v>0.5</v>
      </c>
      <c r="T7" s="117" t="s">
        <v>3</v>
      </c>
      <c r="W7" s="6"/>
      <c r="X7" s="6"/>
      <c r="Y7" s="6"/>
      <c r="Z7" s="6"/>
    </row>
    <row r="8" spans="2:26" ht="14.5" x14ac:dyDescent="0.3">
      <c r="B8" s="167" t="s">
        <v>72</v>
      </c>
      <c r="C8" s="168">
        <v>0.35</v>
      </c>
      <c r="D8" s="168">
        <v>0.7</v>
      </c>
      <c r="E8" s="168">
        <v>0.3</v>
      </c>
      <c r="F8" s="169">
        <v>0.6</v>
      </c>
      <c r="G8" s="172">
        <f t="shared" si="0"/>
        <v>0.42</v>
      </c>
      <c r="H8" s="171">
        <v>0.4</v>
      </c>
      <c r="I8" s="172">
        <f t="shared" si="1"/>
        <v>0.27999999999999997</v>
      </c>
      <c r="J8" s="172">
        <f t="shared" si="2"/>
        <v>0.3</v>
      </c>
      <c r="L8" s="160">
        <f t="shared" ref="L8:L21" si="5">IF(M8&lt;$M$7, $L$7, IF(M8&lt;$M$22, (($L$22 - $L$7) * (M8 - $M$7) / ($M$22 - $M$7)) + $L$7, IF(M8&lt;$M$37, (($L$37 - $L$22) * (M8 - $M$22) / ($M$37 - $M$22)) + $L$22, $L$37)))</f>
        <v>58.48</v>
      </c>
      <c r="M8" s="118">
        <f t="shared" si="3"/>
        <v>0.85999999999999988</v>
      </c>
      <c r="N8" s="119">
        <f t="shared" ref="N8:N21" si="6">IF(M8&lt;$M$7, 0, IF(M8&lt;$M$22, (($N$22 - $N$7) * (M8 - $M$7) / ($M$22 - $M$7)) + $N$7, IF(M8&lt;$M$37, (($N$37 - $N$22) * (M8 - $M$22) / ($M$37 - $M$22)) + $N$22, $N$37)))</f>
        <v>0.53333333333333333</v>
      </c>
      <c r="O8" s="120"/>
      <c r="Q8" s="131">
        <f t="shared" ref="Q8:Q16" si="7">IF(R8&lt;$R$7, $Q$7, IF(R8&lt;$R$17, (($Q$17 - $Q$7) * (R8 - $R$7) / ($R$17 - $R$7)) + $Q$7, IF(R8&lt;$R$27, (($Q$27 - $Q$17) * (R8 - $R$17) / ($R$27 - $R$17)) + $Q$17, $Q$27)))</f>
        <v>10.570535243141356</v>
      </c>
      <c r="R8" s="118">
        <f t="shared" si="4"/>
        <v>0.90999999999999992</v>
      </c>
      <c r="S8" s="119">
        <f t="shared" ref="S8:S16" si="8">IF(R8&lt;$R$7, 0, IF(R8&lt;$R$17, (($S$17 - $S$7) * (R8 - $R$7) / ($R$17 - $R$7)) + $S$7, IF(R8&lt;$R$27, (($S$27 - $S$17) * (R8 - $R$17) / ($R$27 - $R$17)) + $S$17, $S$27)))</f>
        <v>0.55000000000000004</v>
      </c>
      <c r="T8" s="121"/>
      <c r="W8" s="6"/>
      <c r="X8" s="6"/>
      <c r="Y8" s="6"/>
      <c r="Z8" s="6"/>
    </row>
    <row r="9" spans="2:26" ht="14.5" x14ac:dyDescent="0.3">
      <c r="B9" s="167" t="s">
        <v>73</v>
      </c>
      <c r="C9" s="168">
        <v>0.3</v>
      </c>
      <c r="D9" s="168">
        <v>0.7</v>
      </c>
      <c r="E9" s="168">
        <v>0.3</v>
      </c>
      <c r="F9" s="169">
        <v>0.6</v>
      </c>
      <c r="G9" s="172">
        <f t="shared" si="0"/>
        <v>0.42</v>
      </c>
      <c r="H9" s="171">
        <v>0.4</v>
      </c>
      <c r="I9" s="172">
        <f t="shared" si="1"/>
        <v>0.27999999999999997</v>
      </c>
      <c r="J9" s="172">
        <f t="shared" si="2"/>
        <v>0.3</v>
      </c>
      <c r="L9" s="160">
        <f t="shared" si="5"/>
        <v>59.16</v>
      </c>
      <c r="M9" s="118">
        <f t="shared" si="3"/>
        <v>0.86999999999999988</v>
      </c>
      <c r="N9" s="119">
        <f t="shared" si="6"/>
        <v>0.56666666666666665</v>
      </c>
      <c r="O9" s="121"/>
      <c r="Q9" s="131">
        <f t="shared" si="7"/>
        <v>10.686694971087965</v>
      </c>
      <c r="R9" s="118">
        <f t="shared" si="4"/>
        <v>0.91999999999999993</v>
      </c>
      <c r="S9" s="119">
        <f t="shared" si="8"/>
        <v>0.6</v>
      </c>
      <c r="T9" s="121"/>
      <c r="W9" s="6"/>
      <c r="X9" s="6"/>
      <c r="Y9" s="6"/>
      <c r="Z9" s="6"/>
    </row>
    <row r="10" spans="2:26" ht="14.5" x14ac:dyDescent="0.3">
      <c r="B10" s="167" t="s">
        <v>74</v>
      </c>
      <c r="C10" s="168">
        <v>0.25</v>
      </c>
      <c r="D10" s="168">
        <v>0.7</v>
      </c>
      <c r="E10" s="168">
        <v>0.3</v>
      </c>
      <c r="F10" s="169">
        <v>0.6</v>
      </c>
      <c r="G10" s="172">
        <f t="shared" si="0"/>
        <v>0.42</v>
      </c>
      <c r="H10" s="171">
        <v>0.4</v>
      </c>
      <c r="I10" s="172">
        <f t="shared" si="1"/>
        <v>0.27999999999999997</v>
      </c>
      <c r="J10" s="172">
        <f t="shared" si="2"/>
        <v>0.3</v>
      </c>
      <c r="L10" s="160">
        <f t="shared" si="5"/>
        <v>59.839999999999996</v>
      </c>
      <c r="M10" s="118">
        <f t="shared" si="3"/>
        <v>0.87999999999999989</v>
      </c>
      <c r="N10" s="119">
        <f t="shared" si="6"/>
        <v>0.6</v>
      </c>
      <c r="O10" s="121"/>
      <c r="Q10" s="131">
        <f t="shared" si="7"/>
        <v>10.802854699034572</v>
      </c>
      <c r="R10" s="118">
        <f t="shared" si="4"/>
        <v>0.92999999999999994</v>
      </c>
      <c r="S10" s="119">
        <f t="shared" si="8"/>
        <v>0.65</v>
      </c>
      <c r="T10" s="121"/>
      <c r="W10" s="6"/>
      <c r="X10" s="6"/>
      <c r="Y10" s="6"/>
      <c r="Z10" s="6"/>
    </row>
    <row r="11" spans="2:26" ht="14.5" x14ac:dyDescent="0.3">
      <c r="B11" s="167" t="s">
        <v>75</v>
      </c>
      <c r="C11" s="168">
        <v>0.2</v>
      </c>
      <c r="D11" s="168">
        <v>0.6</v>
      </c>
      <c r="E11" s="168">
        <v>0.4</v>
      </c>
      <c r="F11" s="169">
        <v>0.6</v>
      </c>
      <c r="G11" s="172">
        <f t="shared" si="0"/>
        <v>0.36</v>
      </c>
      <c r="H11" s="171">
        <v>0.4</v>
      </c>
      <c r="I11" s="172">
        <f t="shared" si="1"/>
        <v>0.24</v>
      </c>
      <c r="J11" s="172">
        <f t="shared" si="2"/>
        <v>0.4</v>
      </c>
      <c r="L11" s="160">
        <f t="shared" si="5"/>
        <v>60.519999999999996</v>
      </c>
      <c r="M11" s="118">
        <f t="shared" si="3"/>
        <v>0.8899999999999999</v>
      </c>
      <c r="N11" s="119">
        <f t="shared" si="6"/>
        <v>0.6333333333333333</v>
      </c>
      <c r="O11" s="121"/>
      <c r="Q11" s="131">
        <f t="shared" si="7"/>
        <v>10.919014426981182</v>
      </c>
      <c r="R11" s="118">
        <f t="shared" si="4"/>
        <v>0.94</v>
      </c>
      <c r="S11" s="119">
        <f t="shared" si="8"/>
        <v>0.7</v>
      </c>
      <c r="T11" s="121"/>
      <c r="W11" s="6"/>
      <c r="X11" s="6"/>
      <c r="Y11" s="6"/>
      <c r="Z11" s="6"/>
    </row>
    <row r="12" spans="2:26" ht="14.5" x14ac:dyDescent="0.3">
      <c r="B12" s="167" t="s">
        <v>76</v>
      </c>
      <c r="C12" s="168">
        <v>0.15</v>
      </c>
      <c r="D12" s="168">
        <v>0.4</v>
      </c>
      <c r="E12" s="168">
        <v>0.6</v>
      </c>
      <c r="F12" s="169">
        <v>0.6</v>
      </c>
      <c r="G12" s="172">
        <f t="shared" si="0"/>
        <v>0.24</v>
      </c>
      <c r="H12" s="171">
        <v>0.4</v>
      </c>
      <c r="I12" s="172">
        <f t="shared" si="1"/>
        <v>0.16000000000000003</v>
      </c>
      <c r="J12" s="172">
        <f t="shared" si="2"/>
        <v>0.6</v>
      </c>
      <c r="L12" s="160">
        <f t="shared" si="5"/>
        <v>61.199999999999996</v>
      </c>
      <c r="M12" s="118">
        <f t="shared" si="3"/>
        <v>0.89999999999999991</v>
      </c>
      <c r="N12" s="119">
        <f t="shared" si="6"/>
        <v>0.66666666666666663</v>
      </c>
      <c r="O12" s="121"/>
      <c r="Q12" s="131">
        <f t="shared" si="7"/>
        <v>11.035174154927789</v>
      </c>
      <c r="R12" s="118">
        <f t="shared" si="4"/>
        <v>0.95</v>
      </c>
      <c r="S12" s="119">
        <f t="shared" si="8"/>
        <v>0.75</v>
      </c>
      <c r="T12" s="121"/>
      <c r="W12" s="6"/>
      <c r="X12" s="6"/>
      <c r="Y12" s="6"/>
      <c r="Z12" s="6"/>
    </row>
    <row r="13" spans="2:26" ht="14.5" x14ac:dyDescent="0.3">
      <c r="B13" s="167" t="s">
        <v>77</v>
      </c>
      <c r="C13" s="168">
        <v>0.1</v>
      </c>
      <c r="D13" s="168">
        <v>0.5</v>
      </c>
      <c r="E13" s="168">
        <v>0.5</v>
      </c>
      <c r="F13" s="169">
        <v>0.6</v>
      </c>
      <c r="G13" s="172">
        <f t="shared" si="0"/>
        <v>0.3</v>
      </c>
      <c r="H13" s="171">
        <v>0.4</v>
      </c>
      <c r="I13" s="172">
        <f t="shared" si="1"/>
        <v>0.2</v>
      </c>
      <c r="J13" s="172">
        <f t="shared" si="2"/>
        <v>0.5</v>
      </c>
      <c r="L13" s="160">
        <f t="shared" si="5"/>
        <v>61.879999999999995</v>
      </c>
      <c r="M13" s="118">
        <f t="shared" si="3"/>
        <v>0.90999999999999992</v>
      </c>
      <c r="N13" s="119">
        <f t="shared" si="6"/>
        <v>0.7</v>
      </c>
      <c r="O13" s="121"/>
      <c r="Q13" s="131">
        <f t="shared" si="7"/>
        <v>11.151333882874397</v>
      </c>
      <c r="R13" s="118">
        <f t="shared" si="4"/>
        <v>0.96</v>
      </c>
      <c r="S13" s="119">
        <f t="shared" si="8"/>
        <v>0.8</v>
      </c>
      <c r="T13" s="121"/>
      <c r="W13" s="6"/>
      <c r="X13" s="6"/>
      <c r="Y13" s="6"/>
      <c r="Z13" s="6"/>
    </row>
    <row r="14" spans="2:26" ht="14.5" x14ac:dyDescent="0.3">
      <c r="L14" s="160">
        <f t="shared" si="5"/>
        <v>62.56</v>
      </c>
      <c r="M14" s="118">
        <f t="shared" si="3"/>
        <v>0.91999999999999993</v>
      </c>
      <c r="N14" s="119">
        <f t="shared" si="6"/>
        <v>0.73333333333333339</v>
      </c>
      <c r="O14" s="121"/>
      <c r="Q14" s="131">
        <f t="shared" si="7"/>
        <v>11.267493610821006</v>
      </c>
      <c r="R14" s="118">
        <f t="shared" si="4"/>
        <v>0.97</v>
      </c>
      <c r="S14" s="119">
        <f t="shared" si="8"/>
        <v>0.85</v>
      </c>
      <c r="T14" s="120"/>
      <c r="W14" s="6"/>
      <c r="X14" s="6"/>
      <c r="Y14" s="6"/>
      <c r="Z14" s="6"/>
    </row>
    <row r="15" spans="2:26" ht="14.5" x14ac:dyDescent="0.3">
      <c r="B15" s="262" t="s">
        <v>41</v>
      </c>
      <c r="C15" s="262"/>
      <c r="D15" s="262"/>
      <c r="E15" s="262"/>
      <c r="F15" s="262"/>
      <c r="G15" s="262"/>
      <c r="H15" s="262"/>
      <c r="I15" s="262"/>
      <c r="J15" s="262"/>
      <c r="L15" s="160">
        <f t="shared" si="5"/>
        <v>63.239999999999995</v>
      </c>
      <c r="M15" s="118">
        <f t="shared" si="3"/>
        <v>0.92999999999999994</v>
      </c>
      <c r="N15" s="119">
        <f t="shared" si="6"/>
        <v>0.76666666666666661</v>
      </c>
      <c r="O15" s="120"/>
      <c r="Q15" s="131">
        <f t="shared" si="7"/>
        <v>11.383653338767614</v>
      </c>
      <c r="R15" s="118">
        <f t="shared" si="4"/>
        <v>0.98</v>
      </c>
      <c r="S15" s="119">
        <f t="shared" si="8"/>
        <v>0.9</v>
      </c>
      <c r="T15" s="121"/>
      <c r="W15" s="6"/>
      <c r="X15" s="6"/>
      <c r="Y15" s="6"/>
      <c r="Z15" s="6"/>
    </row>
    <row r="16" spans="2:26" thickBot="1" x14ac:dyDescent="0.35">
      <c r="L16" s="160">
        <f t="shared" si="5"/>
        <v>63.92</v>
      </c>
      <c r="M16" s="118">
        <f t="shared" si="3"/>
        <v>0.94</v>
      </c>
      <c r="N16" s="119">
        <f t="shared" si="6"/>
        <v>0.8</v>
      </c>
      <c r="O16" s="121"/>
      <c r="Q16" s="131">
        <f t="shared" si="7"/>
        <v>11.499813066714223</v>
      </c>
      <c r="R16" s="118">
        <f>$R17-1%</f>
        <v>0.99</v>
      </c>
      <c r="S16" s="119">
        <f t="shared" si="8"/>
        <v>0.95</v>
      </c>
      <c r="T16" s="121"/>
      <c r="W16" s="6"/>
      <c r="X16" s="6"/>
      <c r="Y16" s="6"/>
      <c r="Z16" s="6"/>
    </row>
    <row r="17" spans="2:30" ht="18" customHeight="1" thickBot="1" x14ac:dyDescent="0.35">
      <c r="L17" s="160">
        <f t="shared" si="5"/>
        <v>64.599999999999994</v>
      </c>
      <c r="M17" s="118">
        <f t="shared" si="3"/>
        <v>0.95</v>
      </c>
      <c r="N17" s="119">
        <f t="shared" si="6"/>
        <v>0.83333333333333326</v>
      </c>
      <c r="O17" s="121"/>
      <c r="Q17" s="132">
        <f>'Short Term Incentive Calculator'!W5</f>
        <v>11.615972794660831</v>
      </c>
      <c r="R17" s="133">
        <f>'Short Term Incentive Calculator'!X5</f>
        <v>1</v>
      </c>
      <c r="S17" s="133">
        <f>'Short Term Incentive Calculator'!Y5</f>
        <v>1</v>
      </c>
      <c r="T17" s="134" t="s">
        <v>2</v>
      </c>
      <c r="W17" s="6"/>
      <c r="X17" s="6"/>
      <c r="Y17" s="6"/>
      <c r="Z17" s="6"/>
    </row>
    <row r="18" spans="2:30" ht="14.5" x14ac:dyDescent="0.3">
      <c r="L18" s="160">
        <f t="shared" si="5"/>
        <v>65.28</v>
      </c>
      <c r="M18" s="118">
        <f t="shared" si="3"/>
        <v>0.96</v>
      </c>
      <c r="N18" s="119">
        <f t="shared" si="6"/>
        <v>0.8666666666666667</v>
      </c>
      <c r="O18" s="121"/>
      <c r="Q18" s="131">
        <f t="shared" ref="Q18:Q26" si="9">IF(R18&lt;$R$7, $Q$7, IF(R18&lt;$R$17, (($Q$17 - $Q$7) * (R18 - $R$7) / ($R$17 - $R$7)) + $Q$7, IF(R18&lt;$R$27, (($Q$27 - $Q$17) * (R18 - $R$17) / ($R$27 - $R$17)) + $Q$17, $Q$27)))</f>
        <v>11.73213252260744</v>
      </c>
      <c r="R18" s="118">
        <f>$R17+1%</f>
        <v>1.01</v>
      </c>
      <c r="S18" s="119">
        <f t="shared" ref="S18:S26" si="10">IF(R18&lt;$R$7, 0, IF(R18&lt;$R$17, (($S$17 - $S$7) * (R18 - $R$7) / ($R$17 - $R$7)) + $S$7, IF(R18&lt;$R$27, (($S$27 - $S$17) * (R18 - $R$17) / ($R$27 - $R$17)) + $S$17, $S$27)))</f>
        <v>1.1000000000000001</v>
      </c>
      <c r="T18" s="121"/>
      <c r="W18" s="6"/>
      <c r="X18" s="6"/>
      <c r="Y18" s="6"/>
      <c r="Z18" s="6"/>
    </row>
    <row r="19" spans="2:30" ht="14.5" x14ac:dyDescent="0.3">
      <c r="B19" s="89"/>
      <c r="C19" s="89"/>
      <c r="D19" s="89"/>
      <c r="E19" s="89"/>
      <c r="L19" s="160">
        <f t="shared" si="5"/>
        <v>65.960000000000008</v>
      </c>
      <c r="M19" s="118">
        <f t="shared" si="3"/>
        <v>0.97</v>
      </c>
      <c r="N19" s="119">
        <f t="shared" si="6"/>
        <v>0.9</v>
      </c>
      <c r="O19" s="121"/>
      <c r="Q19" s="131">
        <f t="shared" si="9"/>
        <v>11.848292250554048</v>
      </c>
      <c r="R19" s="118">
        <f t="shared" ref="R19:R27" si="11">$R18+1%</f>
        <v>1.02</v>
      </c>
      <c r="S19" s="119">
        <f t="shared" si="10"/>
        <v>1.2</v>
      </c>
      <c r="T19" s="122"/>
      <c r="W19" s="6"/>
      <c r="X19" s="6"/>
      <c r="Y19" s="6"/>
      <c r="Z19" s="6"/>
    </row>
    <row r="20" spans="2:30" ht="14.5" x14ac:dyDescent="0.3">
      <c r="B20" s="89"/>
      <c r="C20" s="89"/>
      <c r="D20" s="89"/>
      <c r="E20" s="89"/>
      <c r="L20" s="160">
        <f t="shared" si="5"/>
        <v>66.64</v>
      </c>
      <c r="M20" s="118">
        <f t="shared" si="3"/>
        <v>0.98</v>
      </c>
      <c r="N20" s="119">
        <f t="shared" si="6"/>
        <v>0.93333333333333335</v>
      </c>
      <c r="O20" s="122"/>
      <c r="Q20" s="131">
        <f t="shared" si="9"/>
        <v>11.964451978500655</v>
      </c>
      <c r="R20" s="118">
        <f t="shared" si="11"/>
        <v>1.03</v>
      </c>
      <c r="S20" s="119">
        <f t="shared" si="10"/>
        <v>1.3</v>
      </c>
      <c r="T20" s="121"/>
      <c r="W20" s="6"/>
      <c r="X20" s="6"/>
      <c r="Y20" s="6"/>
      <c r="Z20" s="6"/>
    </row>
    <row r="21" spans="2:30" thickBot="1" x14ac:dyDescent="0.35">
      <c r="B21" s="89"/>
      <c r="C21" s="89"/>
      <c r="D21" s="89"/>
      <c r="E21" s="89"/>
      <c r="L21" s="160">
        <f t="shared" si="5"/>
        <v>67.319999999999993</v>
      </c>
      <c r="M21" s="118">
        <f>$M22-1%</f>
        <v>0.99</v>
      </c>
      <c r="N21" s="119">
        <f t="shared" si="6"/>
        <v>0.96666666666666667</v>
      </c>
      <c r="O21" s="121"/>
      <c r="Q21" s="131">
        <f t="shared" si="9"/>
        <v>12.080611706447264</v>
      </c>
      <c r="R21" s="118">
        <f t="shared" si="11"/>
        <v>1.04</v>
      </c>
      <c r="S21" s="119">
        <f t="shared" si="10"/>
        <v>1.4</v>
      </c>
      <c r="T21" s="121"/>
      <c r="W21" s="6"/>
      <c r="X21" s="6"/>
      <c r="Y21" s="6"/>
      <c r="Z21" s="6"/>
    </row>
    <row r="22" spans="2:30" ht="15.75" customHeight="1" thickBot="1" x14ac:dyDescent="0.35">
      <c r="B22" s="89"/>
      <c r="C22" s="89"/>
      <c r="D22" s="89"/>
      <c r="E22" s="89"/>
      <c r="F22" s="39"/>
      <c r="G22" s="39"/>
      <c r="H22" s="39"/>
      <c r="I22" s="39"/>
      <c r="J22" s="39"/>
      <c r="L22" s="161">
        <f>'Short Term Incentive Calculator'!R5</f>
        <v>68</v>
      </c>
      <c r="M22" s="123">
        <f>'Short Term Incentive Calculator'!S5</f>
        <v>1</v>
      </c>
      <c r="N22" s="123">
        <f>'Short Term Incentive Calculator'!T5</f>
        <v>1</v>
      </c>
      <c r="O22" s="124" t="s">
        <v>2</v>
      </c>
      <c r="Q22" s="131">
        <f t="shared" si="9"/>
        <v>12.196771434393874</v>
      </c>
      <c r="R22" s="118">
        <f t="shared" si="11"/>
        <v>1.05</v>
      </c>
      <c r="S22" s="119">
        <f t="shared" si="10"/>
        <v>1.5</v>
      </c>
      <c r="T22" s="135"/>
      <c r="W22" s="6"/>
      <c r="X22" s="6"/>
      <c r="Y22" s="6"/>
      <c r="Z22" s="6"/>
      <c r="AA22" s="39"/>
      <c r="AB22" s="39"/>
      <c r="AC22" s="39"/>
    </row>
    <row r="23" spans="2:30" ht="15.75" customHeight="1" x14ac:dyDescent="0.3">
      <c r="B23" s="89"/>
      <c r="C23" s="89"/>
      <c r="D23" s="89"/>
      <c r="E23" s="89"/>
      <c r="F23" s="39"/>
      <c r="G23" s="39"/>
      <c r="H23" s="39"/>
      <c r="I23" s="39"/>
      <c r="J23" s="39"/>
      <c r="L23" s="160">
        <f t="shared" ref="L23:L36" si="12">IF(M23&lt;$M$7, $L$7, IF(M23&lt;$M$22, (($L$22 - $L$7) * (M23 - $M$7) / ($M$22 - $M$7)) + $L$7, IF(M23&lt;$M$37, (($L$37 - $L$22) * (M23 - $M$22) / ($M$37 - $M$22)) + $L$22, $L$37)))</f>
        <v>68.679999999999993</v>
      </c>
      <c r="M23" s="118">
        <f>$M22+1%</f>
        <v>1.01</v>
      </c>
      <c r="N23" s="119">
        <f t="shared" ref="N23:N36" si="13">IF(M23&lt;$M$7, 0, IF(M23&lt;$M$22, (($N$22 - $N$7) * (M23 - $M$7) / ($M$22 - $M$7)) + $N$7, IF(M23&lt;$M$37, (($N$37 - $N$22) * (M23 - $M$22) / ($M$37 - $M$22)) + $N$22, $N$37)))</f>
        <v>1.0666666666666667</v>
      </c>
      <c r="O23" s="120"/>
      <c r="Q23" s="131">
        <f t="shared" si="9"/>
        <v>12.312931162340481</v>
      </c>
      <c r="R23" s="118">
        <f t="shared" si="11"/>
        <v>1.06</v>
      </c>
      <c r="S23" s="119">
        <f t="shared" si="10"/>
        <v>1.6</v>
      </c>
      <c r="T23" s="120"/>
      <c r="W23" s="6"/>
      <c r="X23" s="6"/>
      <c r="Y23" s="6"/>
      <c r="Z23" s="6"/>
      <c r="AA23" s="39"/>
      <c r="AB23" s="39"/>
      <c r="AC23" s="39"/>
    </row>
    <row r="24" spans="2:30" ht="15.75" customHeight="1" x14ac:dyDescent="0.3">
      <c r="B24" s="89"/>
      <c r="C24" s="89"/>
      <c r="D24" s="89"/>
      <c r="E24" s="89"/>
      <c r="F24" s="39"/>
      <c r="G24" s="39"/>
      <c r="H24" s="39"/>
      <c r="I24" s="39"/>
      <c r="J24" s="39"/>
      <c r="L24" s="160">
        <f t="shared" si="12"/>
        <v>69.36</v>
      </c>
      <c r="M24" s="118">
        <f t="shared" ref="M24:M37" si="14">$M23+1%</f>
        <v>1.02</v>
      </c>
      <c r="N24" s="119">
        <f t="shared" si="13"/>
        <v>1.1333333333333333</v>
      </c>
      <c r="O24" s="120"/>
      <c r="Q24" s="131">
        <f t="shared" si="9"/>
        <v>12.429090890287089</v>
      </c>
      <c r="R24" s="118">
        <f t="shared" si="11"/>
        <v>1.07</v>
      </c>
      <c r="S24" s="119">
        <f t="shared" si="10"/>
        <v>1.7</v>
      </c>
      <c r="T24" s="120"/>
      <c r="W24" s="6"/>
      <c r="X24" s="6"/>
      <c r="Y24" s="6"/>
      <c r="Z24" s="6"/>
      <c r="AA24" s="39"/>
      <c r="AB24" s="39"/>
      <c r="AC24" s="39"/>
      <c r="AD24" s="39"/>
    </row>
    <row r="25" spans="2:30" ht="15.75" customHeight="1" x14ac:dyDescent="0.3">
      <c r="B25" s="90"/>
      <c r="C25" s="90"/>
      <c r="D25" s="90"/>
      <c r="E25" s="90"/>
      <c r="F25" s="91"/>
      <c r="G25" s="91"/>
      <c r="H25" s="39"/>
      <c r="I25" s="39"/>
      <c r="J25" s="39"/>
      <c r="L25" s="160">
        <f t="shared" si="12"/>
        <v>70.039999999999992</v>
      </c>
      <c r="M25" s="118">
        <f t="shared" si="14"/>
        <v>1.03</v>
      </c>
      <c r="N25" s="119">
        <f t="shared" si="13"/>
        <v>1.2</v>
      </c>
      <c r="O25" s="120"/>
      <c r="Q25" s="131">
        <f t="shared" si="9"/>
        <v>12.545250618233698</v>
      </c>
      <c r="R25" s="118">
        <f t="shared" si="11"/>
        <v>1.08</v>
      </c>
      <c r="S25" s="119">
        <f t="shared" si="10"/>
        <v>1.8</v>
      </c>
      <c r="T25" s="120"/>
      <c r="W25" s="6"/>
      <c r="X25" s="6"/>
      <c r="Y25" s="6"/>
      <c r="Z25" s="6"/>
      <c r="AA25" s="39"/>
      <c r="AB25" s="39"/>
      <c r="AC25" s="39"/>
      <c r="AD25" s="39"/>
    </row>
    <row r="26" spans="2:30" ht="15.75" customHeight="1" thickBot="1" x14ac:dyDescent="0.35">
      <c r="B26" s="90"/>
      <c r="C26" s="90"/>
      <c r="D26" s="90"/>
      <c r="E26" s="90"/>
      <c r="F26" s="91"/>
      <c r="G26" s="91"/>
      <c r="H26" s="39"/>
      <c r="I26" s="39"/>
      <c r="J26" s="39"/>
      <c r="L26" s="160">
        <f t="shared" si="12"/>
        <v>70.72</v>
      </c>
      <c r="M26" s="118">
        <f t="shared" si="14"/>
        <v>1.04</v>
      </c>
      <c r="N26" s="119">
        <f t="shared" si="13"/>
        <v>1.2666666666666666</v>
      </c>
      <c r="O26" s="121"/>
      <c r="Q26" s="131">
        <f t="shared" si="9"/>
        <v>12.661410346180308</v>
      </c>
      <c r="R26" s="118">
        <f t="shared" si="11"/>
        <v>1.0900000000000001</v>
      </c>
      <c r="S26" s="119">
        <f t="shared" si="10"/>
        <v>1.9</v>
      </c>
      <c r="T26" s="121"/>
      <c r="W26" s="6"/>
      <c r="X26" s="6"/>
      <c r="Y26" s="6"/>
      <c r="Z26" s="6"/>
      <c r="AA26" s="39"/>
      <c r="AB26" s="39"/>
      <c r="AC26" s="39"/>
      <c r="AD26" s="39"/>
    </row>
    <row r="27" spans="2:30" ht="15.75" customHeight="1" thickBot="1" x14ac:dyDescent="0.35">
      <c r="B27" s="90"/>
      <c r="C27" s="90"/>
      <c r="D27" s="90"/>
      <c r="E27" s="90"/>
      <c r="F27" s="91"/>
      <c r="G27" s="91"/>
      <c r="H27" s="39"/>
      <c r="I27" s="39"/>
      <c r="J27" s="39"/>
      <c r="L27" s="160">
        <f t="shared" si="12"/>
        <v>71.399999999999991</v>
      </c>
      <c r="M27" s="118">
        <f t="shared" si="14"/>
        <v>1.05</v>
      </c>
      <c r="N27" s="119">
        <f t="shared" si="13"/>
        <v>1.3333333333333333</v>
      </c>
      <c r="O27" s="125"/>
      <c r="Q27" s="128">
        <f>'Short Term Incentive Calculator'!W4</f>
        <v>12.777570074126915</v>
      </c>
      <c r="R27" s="129">
        <f t="shared" si="11"/>
        <v>1.1000000000000001</v>
      </c>
      <c r="S27" s="129">
        <f>'Short Term Incentive Calculator'!Y4</f>
        <v>2</v>
      </c>
      <c r="T27" s="130" t="s">
        <v>1</v>
      </c>
      <c r="W27" s="6"/>
      <c r="X27" s="6"/>
      <c r="Y27" s="6"/>
      <c r="Z27" s="6"/>
      <c r="AA27" s="39"/>
      <c r="AB27" s="39"/>
      <c r="AC27" s="39"/>
      <c r="AD27" s="39"/>
    </row>
    <row r="28" spans="2:30" ht="15.75" customHeight="1" x14ac:dyDescent="0.35">
      <c r="B28" s="92"/>
      <c r="C28" s="92"/>
      <c r="D28" s="92"/>
      <c r="E28" s="92"/>
      <c r="F28" s="35"/>
      <c r="G28" s="35"/>
      <c r="H28" s="31"/>
      <c r="I28" s="31"/>
      <c r="J28" s="31"/>
      <c r="L28" s="160">
        <f t="shared" si="12"/>
        <v>72.08</v>
      </c>
      <c r="M28" s="118">
        <f t="shared" si="14"/>
        <v>1.06</v>
      </c>
      <c r="N28" s="119">
        <f t="shared" si="13"/>
        <v>1.4</v>
      </c>
      <c r="O28" s="125"/>
      <c r="Q28" s="93"/>
      <c r="R28" s="93"/>
      <c r="S28" s="93"/>
      <c r="T28" s="93"/>
      <c r="U28" s="93"/>
      <c r="V28" s="93"/>
      <c r="W28" s="6"/>
      <c r="X28" s="6"/>
      <c r="Y28" s="6"/>
      <c r="Z28" s="6"/>
      <c r="AA28" s="39"/>
      <c r="AB28" s="39"/>
      <c r="AC28" s="39"/>
      <c r="AD28" s="39"/>
    </row>
    <row r="29" spans="2:30" ht="15.75" customHeight="1" x14ac:dyDescent="0.35">
      <c r="B29" s="35"/>
      <c r="C29" s="35"/>
      <c r="D29" s="35"/>
      <c r="E29" s="35"/>
      <c r="F29" s="35"/>
      <c r="G29" s="35"/>
      <c r="H29" s="31"/>
      <c r="I29" s="31"/>
      <c r="J29" s="31"/>
      <c r="L29" s="160">
        <f t="shared" si="12"/>
        <v>72.759999999999991</v>
      </c>
      <c r="M29" s="118">
        <f t="shared" si="14"/>
        <v>1.07</v>
      </c>
      <c r="N29" s="119">
        <f t="shared" si="13"/>
        <v>1.4666666666666668</v>
      </c>
      <c r="O29" s="120"/>
      <c r="Q29" s="93"/>
      <c r="R29" s="93"/>
      <c r="S29" s="93"/>
      <c r="T29" s="93"/>
      <c r="U29" s="93"/>
      <c r="V29" s="93"/>
      <c r="W29" s="6"/>
      <c r="X29" s="6"/>
      <c r="Y29" s="6"/>
      <c r="Z29" s="6"/>
      <c r="AA29" s="39"/>
      <c r="AB29" s="39"/>
      <c r="AC29" s="39"/>
      <c r="AD29" s="39"/>
    </row>
    <row r="30" spans="2:30" ht="15.75" customHeight="1" x14ac:dyDescent="0.3">
      <c r="L30" s="160">
        <f t="shared" si="12"/>
        <v>73.44</v>
      </c>
      <c r="M30" s="118">
        <f t="shared" si="14"/>
        <v>1.08</v>
      </c>
      <c r="N30" s="119">
        <f t="shared" si="13"/>
        <v>1.5333333333333332</v>
      </c>
      <c r="O30" s="126"/>
      <c r="Q30" s="93"/>
      <c r="R30" s="93"/>
      <c r="S30" s="93"/>
      <c r="T30" s="93"/>
      <c r="U30" s="93"/>
      <c r="V30" s="93"/>
      <c r="W30" s="6"/>
      <c r="X30" s="6"/>
      <c r="Y30" s="6"/>
      <c r="Z30" s="6"/>
      <c r="AA30" s="94"/>
      <c r="AB30" s="94"/>
      <c r="AC30" s="39"/>
      <c r="AD30" s="39"/>
    </row>
    <row r="31" spans="2:30" ht="15.75" customHeight="1" x14ac:dyDescent="0.3">
      <c r="L31" s="160">
        <f t="shared" si="12"/>
        <v>74.11999999999999</v>
      </c>
      <c r="M31" s="118">
        <f t="shared" si="14"/>
        <v>1.0900000000000001</v>
      </c>
      <c r="N31" s="119">
        <f t="shared" si="13"/>
        <v>1.6</v>
      </c>
      <c r="O31" s="126"/>
      <c r="Q31" s="93"/>
      <c r="R31" s="93"/>
      <c r="S31" s="93"/>
      <c r="T31" s="93"/>
      <c r="U31" s="93"/>
      <c r="V31" s="93"/>
      <c r="W31" s="6"/>
      <c r="X31" s="6"/>
      <c r="Y31" s="6"/>
      <c r="Z31" s="6"/>
      <c r="AA31" s="95"/>
      <c r="AB31" s="96"/>
      <c r="AC31" s="39"/>
      <c r="AD31" s="39"/>
    </row>
    <row r="32" spans="2:30" ht="15.75" customHeight="1" x14ac:dyDescent="0.3">
      <c r="L32" s="160">
        <f t="shared" si="12"/>
        <v>74.8</v>
      </c>
      <c r="M32" s="118">
        <f t="shared" si="14"/>
        <v>1.1000000000000001</v>
      </c>
      <c r="N32" s="119">
        <f t="shared" si="13"/>
        <v>1.6666666666666665</v>
      </c>
      <c r="O32" s="126"/>
      <c r="Q32" s="93"/>
      <c r="R32" s="93"/>
      <c r="S32" s="93"/>
      <c r="T32" s="93"/>
      <c r="U32" s="93"/>
      <c r="V32" s="93"/>
      <c r="W32" s="6"/>
      <c r="X32" s="6"/>
      <c r="Y32" s="6"/>
      <c r="Z32" s="6"/>
      <c r="AA32" s="97"/>
      <c r="AB32" s="97"/>
      <c r="AC32" s="39"/>
      <c r="AD32" s="39"/>
    </row>
    <row r="33" spans="2:30" ht="15.75" customHeight="1" x14ac:dyDescent="0.3">
      <c r="L33" s="160">
        <f t="shared" si="12"/>
        <v>75.47999999999999</v>
      </c>
      <c r="M33" s="118">
        <f t="shared" si="14"/>
        <v>1.1100000000000001</v>
      </c>
      <c r="N33" s="119">
        <f t="shared" si="13"/>
        <v>1.7333333333333334</v>
      </c>
      <c r="O33" s="126"/>
      <c r="Q33" s="93"/>
      <c r="R33" s="93"/>
      <c r="S33" s="93"/>
      <c r="T33" s="93"/>
      <c r="U33" s="93"/>
      <c r="W33" s="6"/>
      <c r="X33" s="6"/>
      <c r="Y33" s="6"/>
      <c r="Z33" s="6"/>
      <c r="AA33" s="97"/>
      <c r="AB33" s="97"/>
      <c r="AC33" s="39"/>
      <c r="AD33" s="39"/>
    </row>
    <row r="34" spans="2:30" ht="15.75" customHeight="1" x14ac:dyDescent="0.3">
      <c r="L34" s="160">
        <f t="shared" si="12"/>
        <v>76.16</v>
      </c>
      <c r="M34" s="118">
        <f t="shared" si="14"/>
        <v>1.1200000000000001</v>
      </c>
      <c r="N34" s="119">
        <f t="shared" si="13"/>
        <v>1.8</v>
      </c>
      <c r="O34" s="127"/>
      <c r="Q34" s="93"/>
      <c r="R34" s="93"/>
      <c r="S34" s="93"/>
      <c r="T34" s="93"/>
      <c r="U34" s="93"/>
      <c r="W34" s="6"/>
      <c r="X34" s="6"/>
      <c r="Y34" s="6"/>
      <c r="Z34" s="6"/>
      <c r="AA34" s="97"/>
      <c r="AB34" s="97"/>
      <c r="AC34" s="39"/>
      <c r="AD34" s="39"/>
    </row>
    <row r="35" spans="2:30" ht="15.75" customHeight="1" x14ac:dyDescent="0.3">
      <c r="L35" s="160">
        <f t="shared" si="12"/>
        <v>76.839999999999989</v>
      </c>
      <c r="M35" s="118">
        <f t="shared" si="14"/>
        <v>1.1300000000000001</v>
      </c>
      <c r="N35" s="119">
        <f t="shared" si="13"/>
        <v>1.8666666666666667</v>
      </c>
      <c r="O35" s="126"/>
      <c r="Q35" s="93"/>
      <c r="R35" s="93"/>
      <c r="S35" s="93"/>
      <c r="T35" s="93"/>
      <c r="U35" s="93"/>
      <c r="W35" s="6"/>
      <c r="X35" s="6"/>
      <c r="Y35" s="6"/>
      <c r="Z35" s="6"/>
      <c r="AA35" s="97"/>
      <c r="AB35" s="97"/>
      <c r="AC35" s="39"/>
      <c r="AD35" s="39"/>
    </row>
    <row r="36" spans="2:30" ht="15.75" customHeight="1" thickBot="1" x14ac:dyDescent="0.35">
      <c r="L36" s="160">
        <f t="shared" si="12"/>
        <v>77.519999999999982</v>
      </c>
      <c r="M36" s="118">
        <f t="shared" si="14"/>
        <v>1.1400000000000001</v>
      </c>
      <c r="N36" s="119">
        <f t="shared" si="13"/>
        <v>1.9333333333333333</v>
      </c>
      <c r="O36" s="126"/>
      <c r="Q36" s="93"/>
      <c r="R36" s="93"/>
      <c r="S36" s="93"/>
      <c r="T36" s="93"/>
      <c r="U36" s="93"/>
      <c r="W36" s="6"/>
      <c r="X36" s="6"/>
      <c r="Y36" s="6"/>
      <c r="Z36" s="6"/>
      <c r="AA36" s="97"/>
      <c r="AB36" s="97"/>
      <c r="AC36" s="39"/>
      <c r="AD36" s="39"/>
    </row>
    <row r="37" spans="2:30" ht="15.75" customHeight="1" thickBot="1" x14ac:dyDescent="0.35">
      <c r="L37" s="128">
        <f>'Short Term Incentive Calculator'!R4</f>
        <v>78.199999999999989</v>
      </c>
      <c r="M37" s="129">
        <f t="shared" si="14"/>
        <v>1.1500000000000001</v>
      </c>
      <c r="N37" s="129">
        <f>'Short Term Incentive Calculator'!T4</f>
        <v>2</v>
      </c>
      <c r="O37" s="130" t="s">
        <v>1</v>
      </c>
      <c r="Q37" s="93"/>
      <c r="R37" s="93"/>
      <c r="S37" s="93"/>
      <c r="T37" s="93"/>
      <c r="U37" s="93"/>
      <c r="W37" s="6"/>
      <c r="X37" s="6"/>
      <c r="Y37" s="6"/>
      <c r="Z37" s="6"/>
      <c r="AA37" s="97"/>
      <c r="AB37" s="97"/>
      <c r="AC37" s="39"/>
      <c r="AD37" s="39"/>
    </row>
    <row r="38" spans="2:30" ht="15.75" customHeight="1" x14ac:dyDescent="0.3">
      <c r="L38" s="69"/>
      <c r="M38" s="69"/>
      <c r="N38" s="69"/>
      <c r="O38" s="69"/>
      <c r="Q38" s="93"/>
      <c r="R38" s="93"/>
      <c r="S38" s="93"/>
      <c r="T38" s="93"/>
      <c r="U38" s="93"/>
      <c r="W38" s="6"/>
      <c r="X38" s="6"/>
      <c r="Y38" s="6"/>
      <c r="Z38" s="6"/>
      <c r="AA38" s="97"/>
      <c r="AB38" s="97"/>
      <c r="AC38" s="39"/>
      <c r="AD38" s="39"/>
    </row>
    <row r="39" spans="2:30" ht="15.75" customHeight="1" x14ac:dyDescent="0.3">
      <c r="L39" s="69"/>
      <c r="M39" s="69"/>
      <c r="N39" s="69"/>
      <c r="O39" s="69"/>
      <c r="Q39" s="93"/>
      <c r="R39" s="93"/>
      <c r="S39" s="93"/>
      <c r="T39" s="93"/>
      <c r="U39" s="93"/>
      <c r="W39" s="6"/>
      <c r="X39" s="6"/>
      <c r="Y39" s="6"/>
      <c r="Z39" s="6"/>
      <c r="AA39" s="97"/>
      <c r="AB39" s="97"/>
      <c r="AC39" s="39"/>
      <c r="AD39" s="39"/>
    </row>
    <row r="40" spans="2:30" ht="15.75" customHeight="1" x14ac:dyDescent="0.35">
      <c r="B40" s="98"/>
      <c r="C40" s="99"/>
      <c r="D40" s="99"/>
      <c r="E40" s="99"/>
      <c r="F40" s="35"/>
      <c r="G40" s="35"/>
      <c r="H40" s="31"/>
      <c r="I40" s="31"/>
      <c r="J40" s="31"/>
      <c r="L40" s="69"/>
      <c r="M40" s="69"/>
      <c r="N40" s="69"/>
      <c r="O40" s="69"/>
      <c r="Q40" s="93"/>
      <c r="R40" s="93"/>
      <c r="S40" s="93"/>
      <c r="T40" s="93"/>
      <c r="U40" s="93"/>
      <c r="W40" s="6"/>
      <c r="X40" s="6"/>
      <c r="Y40" s="6"/>
      <c r="Z40" s="6"/>
      <c r="AA40" s="39"/>
      <c r="AB40" s="39"/>
      <c r="AC40" s="39"/>
      <c r="AD40" s="39"/>
    </row>
    <row r="41" spans="2:30" ht="15.75" customHeight="1" x14ac:dyDescent="0.3">
      <c r="B41" s="91"/>
      <c r="C41" s="91"/>
      <c r="D41" s="91"/>
      <c r="E41" s="91"/>
      <c r="F41" s="91"/>
      <c r="G41" s="91"/>
      <c r="H41" s="39"/>
      <c r="I41" s="39"/>
      <c r="J41" s="39"/>
      <c r="L41" s="69"/>
      <c r="M41" s="69"/>
      <c r="N41" s="69"/>
      <c r="O41" s="69"/>
      <c r="R41" s="100"/>
      <c r="S41" s="100"/>
      <c r="T41" s="100"/>
      <c r="U41" s="93"/>
      <c r="W41" s="6"/>
      <c r="X41" s="6"/>
      <c r="Y41" s="6"/>
      <c r="Z41" s="6"/>
      <c r="AA41" s="39"/>
      <c r="AB41" s="39"/>
      <c r="AC41" s="39"/>
      <c r="AD41" s="39"/>
    </row>
    <row r="42" spans="2:30" ht="15.75" customHeight="1" x14ac:dyDescent="0.3">
      <c r="B42" s="91"/>
      <c r="C42" s="91"/>
      <c r="D42" s="91"/>
      <c r="E42" s="91"/>
      <c r="F42" s="91"/>
      <c r="G42" s="91"/>
      <c r="H42" s="39"/>
      <c r="I42" s="39"/>
      <c r="J42" s="39"/>
      <c r="L42" s="69"/>
      <c r="M42" s="69"/>
      <c r="N42" s="69"/>
      <c r="O42" s="69"/>
      <c r="R42" s="100"/>
      <c r="S42" s="100"/>
      <c r="T42" s="100"/>
      <c r="U42" s="93"/>
      <c r="W42" s="6"/>
      <c r="X42" s="6"/>
      <c r="Y42" s="6"/>
      <c r="Z42" s="6"/>
      <c r="AA42" s="39"/>
      <c r="AB42" s="39"/>
      <c r="AC42" s="39"/>
    </row>
    <row r="43" spans="2:30" ht="15.75" customHeight="1" x14ac:dyDescent="0.3">
      <c r="B43" s="39"/>
      <c r="C43" s="39"/>
      <c r="D43" s="39"/>
      <c r="E43" s="39"/>
      <c r="F43" s="39"/>
      <c r="G43" s="39"/>
      <c r="H43" s="39"/>
      <c r="I43" s="39"/>
      <c r="J43" s="39"/>
      <c r="L43" s="69"/>
      <c r="M43" s="69"/>
      <c r="N43" s="69"/>
      <c r="O43" s="69"/>
      <c r="R43" s="100"/>
      <c r="S43" s="100"/>
      <c r="T43" s="100"/>
      <c r="U43" s="93"/>
      <c r="W43" s="6"/>
      <c r="X43" s="6"/>
      <c r="Y43" s="6"/>
      <c r="Z43" s="6"/>
      <c r="AA43" s="39"/>
      <c r="AB43" s="39"/>
      <c r="AC43" s="39"/>
    </row>
    <row r="44" spans="2:30" ht="15.75" customHeight="1" x14ac:dyDescent="0.3">
      <c r="B44" s="39"/>
      <c r="C44" s="39"/>
      <c r="D44" s="39"/>
      <c r="E44" s="39"/>
      <c r="L44" s="69"/>
      <c r="M44" s="69"/>
      <c r="N44" s="69"/>
      <c r="O44" s="69"/>
      <c r="Q44" s="100"/>
      <c r="R44" s="100"/>
      <c r="S44" s="100"/>
      <c r="T44" s="93"/>
      <c r="W44" s="6"/>
      <c r="X44" s="6"/>
      <c r="Y44" s="6"/>
      <c r="Z44" s="6"/>
    </row>
    <row r="45" spans="2:30" ht="15.75" customHeight="1" x14ac:dyDescent="0.3">
      <c r="B45" s="39"/>
      <c r="C45" s="39"/>
      <c r="D45" s="39"/>
      <c r="E45" s="39"/>
      <c r="L45" s="83"/>
      <c r="O45" s="93"/>
      <c r="Q45" s="100"/>
      <c r="R45" s="100"/>
      <c r="S45" s="100"/>
      <c r="T45" s="93"/>
      <c r="W45" s="6"/>
      <c r="X45" s="6"/>
      <c r="Y45" s="6"/>
      <c r="Z45" s="6"/>
    </row>
    <row r="46" spans="2:30" ht="15.75" customHeight="1" x14ac:dyDescent="0.3">
      <c r="B46" s="39"/>
      <c r="C46" s="39"/>
      <c r="D46" s="39"/>
      <c r="E46" s="39"/>
      <c r="L46" s="83"/>
      <c r="O46" s="93"/>
      <c r="Q46" s="100"/>
      <c r="R46" s="100"/>
      <c r="S46" s="100"/>
      <c r="T46" s="93"/>
      <c r="W46" s="6"/>
      <c r="X46" s="6"/>
      <c r="Y46" s="6"/>
      <c r="Z46" s="6"/>
    </row>
    <row r="47" spans="2:30" ht="15.75" customHeight="1" x14ac:dyDescent="0.3">
      <c r="B47" s="39"/>
      <c r="C47" s="39"/>
      <c r="D47" s="39"/>
      <c r="E47" s="39"/>
      <c r="L47" s="83"/>
      <c r="N47" s="93"/>
      <c r="O47" s="93"/>
      <c r="Q47" s="100"/>
      <c r="R47" s="100"/>
      <c r="T47" s="93"/>
      <c r="W47" s="6"/>
      <c r="X47" s="6"/>
      <c r="Y47" s="6"/>
      <c r="Z47" s="6"/>
    </row>
    <row r="48" spans="2:30" ht="15.75" customHeight="1" x14ac:dyDescent="0.3">
      <c r="L48" s="83"/>
      <c r="Q48" s="100"/>
      <c r="R48" s="100"/>
      <c r="S48" s="100"/>
      <c r="T48" s="93"/>
      <c r="W48" s="6"/>
      <c r="X48" s="6"/>
      <c r="Y48" s="6"/>
      <c r="Z48" s="6"/>
    </row>
    <row r="49" spans="12:26" ht="15.75" customHeight="1" x14ac:dyDescent="0.3">
      <c r="L49" s="83"/>
      <c r="O49" s="93"/>
      <c r="Q49" s="100"/>
      <c r="R49" s="100"/>
      <c r="S49" s="100"/>
      <c r="T49" s="93"/>
      <c r="W49" s="6"/>
      <c r="X49" s="6"/>
      <c r="Y49" s="6"/>
      <c r="Z49" s="6"/>
    </row>
    <row r="50" spans="12:26" ht="15.75" customHeight="1" x14ac:dyDescent="0.3">
      <c r="L50" s="83"/>
      <c r="O50" s="93"/>
      <c r="Q50" s="100"/>
      <c r="R50" s="100"/>
      <c r="S50" s="100"/>
      <c r="T50" s="93"/>
      <c r="W50" s="6"/>
      <c r="X50" s="6"/>
      <c r="Y50" s="6"/>
      <c r="Z50" s="6"/>
    </row>
    <row r="51" spans="12:26" ht="15.75" customHeight="1" x14ac:dyDescent="0.3">
      <c r="L51" s="83"/>
      <c r="O51" s="93"/>
      <c r="Q51" s="100"/>
      <c r="R51" s="100"/>
      <c r="S51" s="100"/>
      <c r="T51" s="93"/>
      <c r="W51" s="6"/>
      <c r="X51" s="6"/>
      <c r="Y51" s="6"/>
      <c r="Z51" s="6"/>
    </row>
    <row r="52" spans="12:26" ht="15.75" customHeight="1" x14ac:dyDescent="0.3">
      <c r="L52" s="83"/>
      <c r="Q52" s="100"/>
      <c r="R52" s="100"/>
      <c r="S52" s="100"/>
      <c r="T52" s="93"/>
      <c r="W52" s="6"/>
      <c r="X52" s="6"/>
      <c r="Y52" s="6"/>
      <c r="Z52" s="6"/>
    </row>
    <row r="53" spans="12:26" ht="15.75" customHeight="1" x14ac:dyDescent="0.3">
      <c r="O53" s="93"/>
      <c r="Q53" s="100"/>
      <c r="R53" s="100"/>
      <c r="S53" s="100"/>
      <c r="T53" s="93"/>
      <c r="W53" s="6"/>
      <c r="X53" s="6"/>
      <c r="Y53" s="6"/>
      <c r="Z53" s="6"/>
    </row>
    <row r="54" spans="12:26" ht="15.75" customHeight="1" x14ac:dyDescent="0.3">
      <c r="L54" s="102"/>
      <c r="M54" s="103"/>
      <c r="N54" s="104"/>
      <c r="O54" s="93"/>
      <c r="Q54" s="100"/>
      <c r="R54" s="100"/>
      <c r="S54" s="100"/>
      <c r="T54" s="93"/>
      <c r="W54" s="6"/>
      <c r="X54" s="6"/>
      <c r="Y54" s="6"/>
      <c r="Z54" s="6"/>
    </row>
    <row r="55" spans="12:26" ht="15.75" customHeight="1" x14ac:dyDescent="0.3">
      <c r="L55" s="102"/>
      <c r="M55" s="103"/>
      <c r="N55" s="104"/>
      <c r="O55" s="93"/>
      <c r="Q55" s="100"/>
      <c r="R55" s="100"/>
      <c r="S55" s="100"/>
      <c r="T55" s="93"/>
      <c r="W55" s="6"/>
      <c r="X55" s="6"/>
      <c r="Y55" s="6"/>
      <c r="Z55" s="6"/>
    </row>
    <row r="56" spans="12:26" ht="15.75" customHeight="1" x14ac:dyDescent="0.3">
      <c r="L56" s="102"/>
      <c r="M56" s="103"/>
      <c r="N56" s="104"/>
      <c r="O56" s="93"/>
      <c r="Q56" s="100"/>
      <c r="R56" s="100"/>
      <c r="S56" s="100"/>
      <c r="T56" s="93"/>
      <c r="W56" s="6"/>
      <c r="X56" s="6"/>
      <c r="Y56" s="6"/>
      <c r="Z56" s="6"/>
    </row>
    <row r="57" spans="12:26" ht="15.75" customHeight="1" x14ac:dyDescent="0.3">
      <c r="L57" s="102"/>
      <c r="M57" s="103"/>
      <c r="N57" s="104"/>
      <c r="O57" s="93"/>
      <c r="Q57" s="100"/>
      <c r="R57" s="100"/>
      <c r="S57" s="100"/>
      <c r="T57" s="93"/>
      <c r="W57" s="6"/>
      <c r="X57" s="6"/>
      <c r="Y57" s="6"/>
      <c r="Z57" s="6"/>
    </row>
    <row r="58" spans="12:26" ht="15.75" customHeight="1" x14ac:dyDescent="0.3">
      <c r="L58" s="102"/>
      <c r="M58" s="103"/>
      <c r="N58" s="104"/>
      <c r="O58" s="93"/>
      <c r="Q58" s="100"/>
      <c r="R58" s="100"/>
      <c r="S58" s="100"/>
      <c r="T58" s="93"/>
      <c r="W58" s="6"/>
      <c r="X58" s="6"/>
      <c r="Y58" s="6"/>
      <c r="Z58" s="6"/>
    </row>
    <row r="59" spans="12:26" ht="15.75" customHeight="1" x14ac:dyDescent="0.3">
      <c r="L59" s="102"/>
      <c r="M59" s="103"/>
      <c r="N59" s="104"/>
      <c r="O59" s="93"/>
      <c r="Q59" s="103"/>
      <c r="R59" s="103"/>
      <c r="S59" s="104"/>
      <c r="T59" s="93"/>
      <c r="W59" s="6"/>
      <c r="X59" s="6"/>
      <c r="Y59" s="6"/>
      <c r="Z59" s="6"/>
    </row>
    <row r="60" spans="12:26" ht="15.75" customHeight="1" x14ac:dyDescent="0.3">
      <c r="L60" s="102"/>
      <c r="M60" s="103"/>
      <c r="N60" s="104"/>
      <c r="O60" s="93"/>
      <c r="Q60" s="103"/>
      <c r="R60" s="103"/>
      <c r="S60" s="104"/>
      <c r="T60" s="93"/>
      <c r="W60" s="6"/>
      <c r="X60" s="6"/>
      <c r="Y60" s="6"/>
      <c r="Z60" s="6"/>
    </row>
    <row r="61" spans="12:26" ht="15.75" customHeight="1" x14ac:dyDescent="0.3">
      <c r="L61" s="102"/>
      <c r="M61" s="103"/>
      <c r="N61" s="104"/>
      <c r="O61" s="93"/>
      <c r="Q61" s="103"/>
      <c r="R61" s="103"/>
      <c r="S61" s="104"/>
      <c r="T61" s="93"/>
      <c r="W61" s="6"/>
      <c r="X61" s="6"/>
      <c r="Y61" s="6"/>
      <c r="Z61" s="6"/>
    </row>
    <row r="62" spans="12:26" ht="15.75" customHeight="1" x14ac:dyDescent="0.3">
      <c r="L62" s="102"/>
      <c r="M62" s="103"/>
      <c r="N62" s="104"/>
      <c r="O62" s="93"/>
      <c r="Q62" s="103"/>
      <c r="R62" s="103"/>
      <c r="S62" s="104"/>
      <c r="T62" s="93"/>
      <c r="W62" s="6"/>
      <c r="X62" s="6"/>
      <c r="Y62" s="6"/>
      <c r="Z62" s="6"/>
    </row>
    <row r="63" spans="12:26" ht="15.75" customHeight="1" x14ac:dyDescent="0.3">
      <c r="L63" s="102"/>
      <c r="M63" s="103"/>
      <c r="N63" s="104"/>
      <c r="O63" s="93"/>
      <c r="Q63" s="103"/>
      <c r="R63" s="103"/>
      <c r="S63" s="104"/>
      <c r="T63" s="93"/>
      <c r="Y63" s="105"/>
      <c r="Z63" s="105"/>
    </row>
    <row r="64" spans="12:26" ht="15.75" customHeight="1" x14ac:dyDescent="0.3">
      <c r="L64" s="102"/>
      <c r="M64" s="103"/>
      <c r="N64" s="104"/>
      <c r="O64" s="93"/>
      <c r="Q64" s="103"/>
      <c r="R64" s="103"/>
      <c r="S64" s="104"/>
      <c r="T64" s="93"/>
      <c r="W64" s="103"/>
      <c r="X64" s="104"/>
      <c r="Y64" s="105"/>
      <c r="Z64" s="105"/>
    </row>
    <row r="65" spans="12:26" ht="15.75" customHeight="1" x14ac:dyDescent="0.3">
      <c r="L65" s="102"/>
      <c r="M65" s="103"/>
      <c r="N65" s="104"/>
      <c r="Q65" s="103"/>
      <c r="R65" s="103"/>
      <c r="S65" s="104"/>
      <c r="W65" s="103"/>
      <c r="X65" s="104"/>
      <c r="Y65" s="106"/>
      <c r="Z65" s="106"/>
    </row>
    <row r="66" spans="12:26" ht="15.75" customHeight="1" x14ac:dyDescent="0.3">
      <c r="L66" s="102"/>
      <c r="M66" s="103"/>
      <c r="N66" s="104"/>
      <c r="Q66" s="103"/>
      <c r="R66" s="103"/>
      <c r="S66" s="104"/>
      <c r="W66" s="103"/>
      <c r="X66" s="104"/>
      <c r="Y66" s="106"/>
      <c r="Z66" s="106"/>
    </row>
    <row r="67" spans="12:26" ht="15.75" customHeight="1" x14ac:dyDescent="0.3">
      <c r="L67" s="102"/>
      <c r="M67" s="103"/>
      <c r="N67" s="104"/>
      <c r="Q67" s="103"/>
      <c r="R67" s="103"/>
      <c r="S67" s="104"/>
      <c r="W67" s="103"/>
      <c r="X67" s="104"/>
      <c r="Y67" s="106"/>
      <c r="Z67" s="106"/>
    </row>
    <row r="68" spans="12:26" ht="15.75" customHeight="1" x14ac:dyDescent="0.3">
      <c r="L68" s="102"/>
      <c r="M68" s="103"/>
      <c r="N68" s="104"/>
      <c r="Q68" s="103"/>
      <c r="R68" s="103"/>
      <c r="S68" s="104"/>
      <c r="W68" s="103"/>
      <c r="X68" s="104"/>
      <c r="Y68" s="106"/>
      <c r="Z68" s="106"/>
    </row>
    <row r="69" spans="12:26" ht="15.75" customHeight="1" x14ac:dyDescent="0.3">
      <c r="L69" s="107"/>
      <c r="M69" s="108"/>
      <c r="N69" s="108"/>
      <c r="Q69" s="108"/>
      <c r="R69" s="108"/>
      <c r="S69" s="108"/>
      <c r="W69" s="108"/>
      <c r="X69" s="108"/>
      <c r="Y69" s="106"/>
      <c r="Z69" s="106"/>
    </row>
    <row r="70" spans="12:26" ht="15.75" customHeight="1" x14ac:dyDescent="0.3">
      <c r="L70" s="107"/>
      <c r="M70" s="108"/>
      <c r="N70" s="108"/>
      <c r="Q70" s="108"/>
      <c r="R70" s="108"/>
      <c r="S70" s="108"/>
      <c r="W70" s="108"/>
      <c r="X70" s="108"/>
      <c r="Y70" s="106"/>
      <c r="Z70" s="106"/>
    </row>
    <row r="71" spans="12:26" ht="15.75" customHeight="1" x14ac:dyDescent="0.3">
      <c r="L71" s="107"/>
      <c r="M71" s="108"/>
      <c r="N71" s="108"/>
      <c r="Q71" s="108"/>
      <c r="R71" s="108"/>
      <c r="S71" s="108"/>
      <c r="W71" s="108"/>
      <c r="X71" s="108"/>
      <c r="Y71" s="106"/>
      <c r="Z71" s="106"/>
    </row>
    <row r="72" spans="12:26" ht="15.75" customHeight="1" x14ac:dyDescent="0.3">
      <c r="L72" s="107"/>
      <c r="M72" s="108"/>
      <c r="N72" s="108"/>
      <c r="Q72" s="108"/>
      <c r="R72" s="108"/>
      <c r="S72" s="108"/>
      <c r="W72" s="108"/>
      <c r="X72" s="108"/>
      <c r="Y72" s="106"/>
      <c r="Z72" s="106"/>
    </row>
    <row r="73" spans="12:26" ht="15.75" customHeight="1" x14ac:dyDescent="0.3">
      <c r="L73" s="107"/>
      <c r="M73" s="108"/>
      <c r="N73" s="108"/>
      <c r="Q73" s="108"/>
      <c r="R73" s="108"/>
      <c r="S73" s="108"/>
      <c r="W73" s="108"/>
      <c r="X73" s="108"/>
      <c r="Y73" s="106"/>
      <c r="Z73" s="106"/>
    </row>
    <row r="74" spans="12:26" ht="15.75" customHeight="1" x14ac:dyDescent="0.3">
      <c r="L74" s="107"/>
      <c r="M74" s="108"/>
      <c r="N74" s="108"/>
      <c r="Q74" s="108"/>
      <c r="R74" s="108"/>
      <c r="S74" s="108"/>
      <c r="W74" s="108"/>
      <c r="X74" s="108"/>
      <c r="Y74" s="106"/>
      <c r="Z74" s="106"/>
    </row>
    <row r="75" spans="12:26" ht="15.75" customHeight="1" x14ac:dyDescent="0.3">
      <c r="L75" s="107"/>
      <c r="M75" s="108"/>
      <c r="N75" s="108"/>
      <c r="Q75" s="108"/>
      <c r="R75" s="108"/>
      <c r="S75" s="108"/>
      <c r="W75" s="108"/>
      <c r="X75" s="108"/>
      <c r="Y75" s="106"/>
      <c r="Z75" s="106"/>
    </row>
    <row r="76" spans="12:26" ht="15.75" customHeight="1" x14ac:dyDescent="0.3">
      <c r="L76" s="107"/>
      <c r="M76" s="108"/>
      <c r="N76" s="108"/>
      <c r="Q76" s="108"/>
      <c r="R76" s="108"/>
      <c r="S76" s="108"/>
      <c r="W76" s="108"/>
      <c r="X76" s="108"/>
      <c r="Y76" s="106"/>
      <c r="Z76" s="106"/>
    </row>
    <row r="77" spans="12:26" ht="15.75" customHeight="1" x14ac:dyDescent="0.3">
      <c r="L77" s="107"/>
      <c r="M77" s="108"/>
      <c r="N77" s="108"/>
      <c r="Q77" s="108"/>
      <c r="R77" s="108"/>
      <c r="S77" s="108"/>
      <c r="W77" s="108"/>
      <c r="X77" s="108"/>
      <c r="Y77" s="106"/>
      <c r="Z77" s="106"/>
    </row>
    <row r="78" spans="12:26" ht="15.75" customHeight="1" x14ac:dyDescent="0.3">
      <c r="L78" s="107"/>
      <c r="M78" s="108"/>
      <c r="N78" s="108"/>
      <c r="Q78" s="108"/>
      <c r="R78" s="108"/>
      <c r="S78" s="108"/>
      <c r="W78" s="108"/>
      <c r="X78" s="108"/>
      <c r="Y78" s="106"/>
      <c r="Z78" s="106"/>
    </row>
    <row r="79" spans="12:26" ht="15.75" customHeight="1" x14ac:dyDescent="0.3">
      <c r="L79" s="107"/>
      <c r="M79" s="108"/>
      <c r="N79" s="108"/>
      <c r="Q79" s="108"/>
      <c r="R79" s="108"/>
      <c r="S79" s="108"/>
      <c r="W79" s="108"/>
      <c r="X79" s="108"/>
      <c r="Y79" s="106"/>
      <c r="Z79" s="106"/>
    </row>
    <row r="80" spans="12:26" ht="15.75" customHeight="1" x14ac:dyDescent="0.3">
      <c r="L80" s="109"/>
      <c r="M80" s="110"/>
      <c r="N80" s="110"/>
      <c r="Q80" s="110"/>
      <c r="R80" s="110"/>
      <c r="S80" s="110"/>
      <c r="W80" s="110"/>
      <c r="X80" s="110"/>
      <c r="Y80" s="106"/>
      <c r="Z80" s="106"/>
    </row>
    <row r="81" spans="12:26" ht="15.75" customHeight="1" x14ac:dyDescent="0.3">
      <c r="L81" s="109"/>
      <c r="M81" s="110"/>
      <c r="N81" s="110"/>
      <c r="Q81" s="110"/>
      <c r="R81" s="110"/>
      <c r="S81" s="110"/>
      <c r="W81" s="110"/>
      <c r="X81" s="110"/>
      <c r="Y81" s="106"/>
      <c r="Z81" s="106"/>
    </row>
    <row r="82" spans="12:26" ht="15.75" customHeight="1" x14ac:dyDescent="0.3">
      <c r="L82" s="109"/>
      <c r="M82" s="110"/>
      <c r="N82" s="110"/>
      <c r="Q82" s="110"/>
      <c r="R82" s="110"/>
      <c r="S82" s="110"/>
      <c r="W82" s="110"/>
      <c r="X82" s="110"/>
      <c r="Y82" s="106"/>
      <c r="Z82" s="106"/>
    </row>
    <row r="83" spans="12:26" ht="15.75" customHeight="1" x14ac:dyDescent="0.3">
      <c r="L83" s="109"/>
      <c r="M83" s="110"/>
      <c r="N83" s="110"/>
      <c r="Q83" s="110"/>
      <c r="R83" s="110"/>
      <c r="S83" s="110"/>
      <c r="W83" s="110"/>
      <c r="X83" s="110"/>
      <c r="Y83" s="106"/>
      <c r="Z83" s="106"/>
    </row>
    <row r="84" spans="12:26" ht="15.75" customHeight="1" x14ac:dyDescent="0.3">
      <c r="L84" s="109"/>
      <c r="M84" s="110"/>
      <c r="N84" s="110"/>
      <c r="Q84" s="110"/>
      <c r="R84" s="110"/>
      <c r="S84" s="110"/>
      <c r="W84" s="110"/>
      <c r="X84" s="110"/>
      <c r="Y84" s="106"/>
      <c r="Z84" s="106"/>
    </row>
    <row r="85" spans="12:26" ht="15.75" customHeight="1" x14ac:dyDescent="0.3">
      <c r="L85" s="109"/>
      <c r="M85" s="110"/>
      <c r="N85" s="110"/>
      <c r="Q85" s="110"/>
      <c r="R85" s="110"/>
      <c r="S85" s="110"/>
      <c r="W85" s="110"/>
      <c r="X85" s="110"/>
      <c r="Y85" s="106"/>
      <c r="Z85" s="106"/>
    </row>
    <row r="86" spans="12:26" ht="15.75" customHeight="1" x14ac:dyDescent="0.3">
      <c r="L86" s="109"/>
      <c r="M86" s="110"/>
      <c r="N86" s="110"/>
      <c r="Q86" s="110"/>
      <c r="R86" s="110"/>
      <c r="S86" s="110"/>
      <c r="W86" s="110"/>
      <c r="X86" s="110"/>
      <c r="Y86" s="106"/>
      <c r="Z86" s="106"/>
    </row>
    <row r="87" spans="12:26" ht="15.75" customHeight="1" x14ac:dyDescent="0.3">
      <c r="L87" s="109"/>
      <c r="M87" s="110"/>
      <c r="N87" s="110"/>
      <c r="Q87" s="110"/>
      <c r="R87" s="110"/>
      <c r="S87" s="110"/>
      <c r="W87" s="110"/>
      <c r="X87" s="110"/>
      <c r="Y87" s="106"/>
      <c r="Z87" s="106"/>
    </row>
    <row r="88" spans="12:26" ht="15.75" customHeight="1" x14ac:dyDescent="0.3">
      <c r="L88" s="109"/>
      <c r="M88" s="110"/>
      <c r="N88" s="110"/>
      <c r="Q88" s="110"/>
      <c r="R88" s="110"/>
      <c r="S88" s="110"/>
      <c r="W88" s="110"/>
      <c r="X88" s="110"/>
      <c r="Y88" s="106"/>
      <c r="Z88" s="106"/>
    </row>
    <row r="89" spans="12:26" ht="15.75" customHeight="1" x14ac:dyDescent="0.3">
      <c r="L89" s="109"/>
      <c r="M89" s="110"/>
      <c r="N89" s="110"/>
      <c r="Q89" s="110"/>
      <c r="R89" s="110"/>
      <c r="S89" s="110"/>
      <c r="W89" s="110"/>
      <c r="X89" s="110"/>
      <c r="Y89" s="106"/>
      <c r="Z89" s="106"/>
    </row>
    <row r="90" spans="12:26" ht="15.75" customHeight="1" x14ac:dyDescent="0.3">
      <c r="L90" s="109"/>
      <c r="M90" s="110"/>
      <c r="N90" s="110"/>
      <c r="Q90" s="110"/>
      <c r="R90" s="110"/>
      <c r="S90" s="110"/>
      <c r="W90" s="110"/>
      <c r="X90" s="110"/>
      <c r="Y90" s="106"/>
      <c r="Z90" s="106"/>
    </row>
    <row r="91" spans="12:26" ht="15.75" customHeight="1" x14ac:dyDescent="0.3">
      <c r="L91" s="109"/>
      <c r="M91" s="110"/>
      <c r="N91" s="110"/>
      <c r="Q91" s="110"/>
      <c r="R91" s="110"/>
      <c r="S91" s="110"/>
      <c r="W91" s="110"/>
      <c r="X91" s="110"/>
      <c r="Y91" s="106"/>
      <c r="Z91" s="106"/>
    </row>
    <row r="92" spans="12:26" ht="15.75" customHeight="1" x14ac:dyDescent="0.3">
      <c r="L92" s="109"/>
      <c r="M92" s="110"/>
      <c r="N92" s="110"/>
      <c r="Q92" s="110"/>
      <c r="R92" s="110"/>
      <c r="S92" s="110"/>
      <c r="W92" s="110"/>
      <c r="X92" s="110"/>
      <c r="Y92" s="106"/>
      <c r="Z92" s="106"/>
    </row>
    <row r="93" spans="12:26" ht="15.75" customHeight="1" x14ac:dyDescent="0.3">
      <c r="L93" s="109"/>
      <c r="M93" s="110"/>
      <c r="N93" s="110"/>
      <c r="Q93" s="110"/>
      <c r="R93" s="110"/>
      <c r="S93" s="110"/>
      <c r="W93" s="110"/>
      <c r="X93" s="110"/>
      <c r="Y93" s="106"/>
      <c r="Z93" s="106"/>
    </row>
    <row r="94" spans="12:26" ht="15.75" customHeight="1" x14ac:dyDescent="0.3">
      <c r="L94" s="109"/>
      <c r="M94" s="110"/>
      <c r="N94" s="110"/>
      <c r="Q94" s="110"/>
      <c r="R94" s="110"/>
      <c r="S94" s="110"/>
      <c r="W94" s="110"/>
      <c r="X94" s="110"/>
      <c r="Y94" s="106"/>
      <c r="Z94" s="106"/>
    </row>
    <row r="95" spans="12:26" ht="15.75" customHeight="1" x14ac:dyDescent="0.3">
      <c r="L95" s="109"/>
      <c r="M95" s="110"/>
      <c r="N95" s="110"/>
      <c r="Q95" s="110"/>
      <c r="R95" s="110"/>
      <c r="S95" s="110"/>
      <c r="W95" s="110"/>
      <c r="X95" s="110"/>
      <c r="Y95" s="106"/>
      <c r="Z95" s="106"/>
    </row>
    <row r="96" spans="12:26" ht="15.75" customHeight="1" x14ac:dyDescent="0.3">
      <c r="L96" s="109"/>
      <c r="M96" s="110"/>
      <c r="N96" s="110"/>
      <c r="Q96" s="110"/>
      <c r="R96" s="110"/>
      <c r="S96" s="110"/>
      <c r="W96" s="110"/>
      <c r="X96" s="110"/>
      <c r="Y96" s="106"/>
      <c r="Z96" s="106"/>
    </row>
    <row r="97" spans="12:26" ht="15.75" customHeight="1" x14ac:dyDescent="0.3">
      <c r="L97" s="109"/>
      <c r="M97" s="110"/>
      <c r="N97" s="110"/>
      <c r="Q97" s="110"/>
      <c r="R97" s="110"/>
      <c r="S97" s="110"/>
      <c r="W97" s="110"/>
      <c r="X97" s="110"/>
      <c r="Y97" s="106"/>
      <c r="Z97" s="106"/>
    </row>
    <row r="98" spans="12:26" ht="15.75" customHeight="1" x14ac:dyDescent="0.3">
      <c r="L98" s="109"/>
      <c r="M98" s="110"/>
      <c r="N98" s="110"/>
      <c r="Q98" s="110"/>
      <c r="R98" s="110"/>
      <c r="S98" s="110"/>
      <c r="W98" s="110"/>
      <c r="X98" s="110"/>
      <c r="Y98" s="106"/>
      <c r="Z98" s="106"/>
    </row>
    <row r="99" spans="12:26" ht="15.75" customHeight="1" x14ac:dyDescent="0.3">
      <c r="L99" s="109"/>
      <c r="M99" s="110"/>
      <c r="N99" s="110"/>
      <c r="Q99" s="110"/>
      <c r="R99" s="110"/>
      <c r="S99" s="110"/>
      <c r="W99" s="110"/>
      <c r="X99" s="110"/>
      <c r="Y99" s="106"/>
      <c r="Z99" s="106"/>
    </row>
    <row r="100" spans="12:26" ht="15.75" customHeight="1" x14ac:dyDescent="0.3">
      <c r="L100" s="109"/>
      <c r="M100" s="110"/>
      <c r="N100" s="110"/>
      <c r="Q100" s="110"/>
      <c r="R100" s="110"/>
      <c r="S100" s="110"/>
      <c r="W100" s="110"/>
      <c r="X100" s="110"/>
      <c r="Y100" s="106"/>
      <c r="Z100" s="106"/>
    </row>
    <row r="101" spans="12:26" ht="15.75" customHeight="1" x14ac:dyDescent="0.3">
      <c r="L101" s="109"/>
      <c r="M101" s="110"/>
      <c r="N101" s="110"/>
      <c r="Q101" s="110"/>
      <c r="R101" s="110"/>
      <c r="S101" s="110"/>
      <c r="W101" s="110"/>
      <c r="X101" s="110"/>
      <c r="Y101" s="106"/>
      <c r="Z101" s="106"/>
    </row>
    <row r="102" spans="12:26" ht="15.75" customHeight="1" x14ac:dyDescent="0.3">
      <c r="L102" s="109"/>
      <c r="M102" s="110"/>
      <c r="N102" s="110"/>
      <c r="Q102" s="110"/>
      <c r="R102" s="110"/>
      <c r="S102" s="110"/>
      <c r="W102" s="110"/>
      <c r="X102" s="110"/>
      <c r="Y102" s="106"/>
      <c r="Z102" s="106"/>
    </row>
    <row r="103" spans="12:26" ht="15.75" customHeight="1" x14ac:dyDescent="0.3">
      <c r="L103" s="109"/>
      <c r="M103" s="110"/>
      <c r="N103" s="110"/>
      <c r="Q103" s="110"/>
      <c r="R103" s="110"/>
      <c r="S103" s="110"/>
      <c r="W103" s="110"/>
      <c r="X103" s="110"/>
      <c r="Y103" s="106"/>
      <c r="Z103" s="106"/>
    </row>
    <row r="104" spans="12:26" ht="15.75" customHeight="1" x14ac:dyDescent="0.3">
      <c r="L104" s="109"/>
      <c r="M104" s="110"/>
      <c r="N104" s="110"/>
      <c r="Q104" s="110"/>
      <c r="R104" s="110"/>
      <c r="S104" s="110"/>
      <c r="W104" s="110"/>
      <c r="X104" s="110"/>
      <c r="Y104" s="106"/>
      <c r="Z104" s="106"/>
    </row>
    <row r="105" spans="12:26" ht="15.75" customHeight="1" x14ac:dyDescent="0.3">
      <c r="L105" s="109"/>
      <c r="M105" s="110"/>
      <c r="N105" s="110"/>
      <c r="Q105" s="110"/>
      <c r="R105" s="110"/>
      <c r="S105" s="110"/>
      <c r="W105" s="110"/>
      <c r="X105" s="110"/>
      <c r="Y105" s="106"/>
      <c r="Z105" s="106"/>
    </row>
    <row r="106" spans="12:26" ht="15.75" customHeight="1" x14ac:dyDescent="0.3">
      <c r="L106" s="109"/>
      <c r="M106" s="110"/>
      <c r="N106" s="110"/>
      <c r="Q106" s="110"/>
      <c r="R106" s="110"/>
      <c r="S106" s="110"/>
      <c r="W106" s="110"/>
      <c r="X106" s="110"/>
      <c r="Y106" s="106"/>
      <c r="Z106" s="106"/>
    </row>
    <row r="107" spans="12:26" ht="15.75" customHeight="1" x14ac:dyDescent="0.3">
      <c r="L107" s="109"/>
      <c r="M107" s="110"/>
      <c r="N107" s="110"/>
      <c r="Q107" s="110"/>
      <c r="R107" s="110"/>
      <c r="S107" s="110"/>
      <c r="W107" s="110"/>
      <c r="X107" s="110"/>
      <c r="Y107" s="106"/>
      <c r="Z107" s="106"/>
    </row>
    <row r="108" spans="12:26" ht="15.75" customHeight="1" x14ac:dyDescent="0.3">
      <c r="L108" s="109"/>
      <c r="M108" s="110"/>
      <c r="N108" s="110"/>
      <c r="Q108" s="110"/>
      <c r="R108" s="110"/>
      <c r="S108" s="110"/>
      <c r="W108" s="110"/>
      <c r="X108" s="110"/>
      <c r="Y108" s="106"/>
      <c r="Z108" s="106"/>
    </row>
    <row r="109" spans="12:26" ht="15.75" customHeight="1" x14ac:dyDescent="0.3">
      <c r="L109" s="109"/>
      <c r="M109" s="110"/>
      <c r="N109" s="110"/>
      <c r="Q109" s="110"/>
      <c r="R109" s="110"/>
      <c r="S109" s="110"/>
      <c r="W109" s="110"/>
      <c r="X109" s="110"/>
      <c r="Y109" s="106"/>
      <c r="Z109" s="106"/>
    </row>
    <row r="110" spans="12:26" ht="15.75" customHeight="1" x14ac:dyDescent="0.3">
      <c r="L110" s="109"/>
      <c r="M110" s="110"/>
      <c r="N110" s="110"/>
      <c r="Q110" s="110"/>
      <c r="R110" s="110"/>
      <c r="S110" s="110"/>
      <c r="W110" s="110"/>
      <c r="X110" s="110"/>
      <c r="Y110" s="106"/>
      <c r="Z110" s="106"/>
    </row>
    <row r="111" spans="12:26" ht="15.75" customHeight="1" x14ac:dyDescent="0.3">
      <c r="L111" s="109"/>
      <c r="M111" s="110"/>
      <c r="N111" s="110"/>
      <c r="Q111" s="110"/>
      <c r="R111" s="110"/>
      <c r="S111" s="110"/>
      <c r="W111" s="110"/>
      <c r="X111" s="110"/>
      <c r="Y111" s="106"/>
      <c r="Z111" s="106"/>
    </row>
    <row r="112" spans="12:26" ht="15.75" customHeight="1" x14ac:dyDescent="0.3">
      <c r="L112" s="109"/>
      <c r="M112" s="110"/>
      <c r="N112" s="110"/>
      <c r="Q112" s="110"/>
      <c r="R112" s="110"/>
      <c r="S112" s="110"/>
      <c r="W112" s="110"/>
      <c r="X112" s="110"/>
      <c r="Y112" s="106"/>
      <c r="Z112" s="106"/>
    </row>
    <row r="113" spans="12:26" ht="15.75" customHeight="1" x14ac:dyDescent="0.3">
      <c r="L113" s="109"/>
      <c r="M113" s="110"/>
      <c r="N113" s="110"/>
      <c r="Q113" s="110"/>
      <c r="R113" s="110"/>
      <c r="S113" s="110"/>
      <c r="W113" s="110"/>
      <c r="X113" s="110"/>
      <c r="Y113" s="106"/>
      <c r="Z113" s="106"/>
    </row>
    <row r="114" spans="12:26" ht="15.75" customHeight="1" x14ac:dyDescent="0.3">
      <c r="L114" s="109"/>
      <c r="M114" s="110"/>
      <c r="N114" s="110"/>
      <c r="Q114" s="110"/>
      <c r="R114" s="110"/>
      <c r="S114" s="110"/>
      <c r="W114" s="110"/>
      <c r="X114" s="110"/>
      <c r="Y114" s="106"/>
      <c r="Z114" s="106"/>
    </row>
    <row r="115" spans="12:26" ht="15.75" customHeight="1" x14ac:dyDescent="0.3">
      <c r="L115" s="109"/>
      <c r="M115" s="110"/>
      <c r="N115" s="110"/>
      <c r="Q115" s="110"/>
      <c r="R115" s="110"/>
      <c r="S115" s="110"/>
      <c r="W115" s="110"/>
      <c r="X115" s="110"/>
      <c r="Y115" s="106"/>
      <c r="Z115" s="106"/>
    </row>
    <row r="116" spans="12:26" ht="15.75" customHeight="1" x14ac:dyDescent="0.3">
      <c r="L116" s="109"/>
      <c r="M116" s="110"/>
      <c r="N116" s="110"/>
      <c r="Q116" s="110"/>
      <c r="R116" s="110"/>
      <c r="S116" s="110"/>
      <c r="W116" s="110"/>
      <c r="X116" s="110"/>
      <c r="Y116" s="106"/>
      <c r="Z116" s="106"/>
    </row>
    <row r="117" spans="12:26" ht="15.75" customHeight="1" x14ac:dyDescent="0.3">
      <c r="L117" s="109"/>
      <c r="M117" s="110"/>
      <c r="N117" s="110"/>
      <c r="Q117" s="110"/>
      <c r="R117" s="110"/>
      <c r="S117" s="110"/>
      <c r="W117" s="110"/>
      <c r="X117" s="110"/>
      <c r="Y117" s="106"/>
      <c r="Z117" s="106"/>
    </row>
    <row r="118" spans="12:26" ht="15.75" customHeight="1" x14ac:dyDescent="0.3">
      <c r="L118" s="109"/>
      <c r="M118" s="110"/>
      <c r="N118" s="110"/>
      <c r="Q118" s="110"/>
      <c r="R118" s="110"/>
      <c r="S118" s="110"/>
      <c r="W118" s="110"/>
      <c r="X118" s="110"/>
      <c r="Y118" s="106"/>
      <c r="Z118" s="106"/>
    </row>
    <row r="119" spans="12:26" ht="15.75" customHeight="1" x14ac:dyDescent="0.3">
      <c r="L119" s="109"/>
      <c r="M119" s="110"/>
      <c r="N119" s="110"/>
      <c r="Q119" s="110"/>
      <c r="R119" s="110"/>
      <c r="S119" s="110"/>
      <c r="W119" s="110"/>
      <c r="X119" s="110"/>
      <c r="Y119" s="106"/>
      <c r="Z119" s="106"/>
    </row>
    <row r="120" spans="12:26" ht="15.75" customHeight="1" x14ac:dyDescent="0.3">
      <c r="L120" s="109"/>
      <c r="M120" s="110"/>
      <c r="N120" s="110"/>
      <c r="Q120" s="110"/>
      <c r="R120" s="110"/>
      <c r="S120" s="110"/>
      <c r="W120" s="110"/>
      <c r="X120" s="110"/>
      <c r="Y120" s="106"/>
      <c r="Z120" s="106"/>
    </row>
    <row r="121" spans="12:26" ht="15.75" customHeight="1" x14ac:dyDescent="0.3">
      <c r="L121" s="109"/>
      <c r="M121" s="110"/>
      <c r="N121" s="110"/>
      <c r="Q121" s="110"/>
      <c r="R121" s="110"/>
      <c r="S121" s="110"/>
      <c r="W121" s="110"/>
      <c r="X121" s="110"/>
      <c r="Y121" s="106"/>
      <c r="Z121" s="106"/>
    </row>
    <row r="122" spans="12:26" ht="15.75" customHeight="1" x14ac:dyDescent="0.3">
      <c r="L122" s="109"/>
      <c r="M122" s="110"/>
      <c r="N122" s="110"/>
      <c r="Q122" s="110"/>
      <c r="R122" s="110"/>
      <c r="S122" s="110"/>
      <c r="W122" s="110"/>
      <c r="X122" s="110"/>
      <c r="Y122" s="106"/>
      <c r="Z122" s="106"/>
    </row>
    <row r="123" spans="12:26" ht="15.75" customHeight="1" x14ac:dyDescent="0.3">
      <c r="L123" s="109"/>
      <c r="M123" s="110"/>
      <c r="N123" s="110"/>
      <c r="Q123" s="110"/>
      <c r="R123" s="110"/>
      <c r="S123" s="110"/>
      <c r="W123" s="110"/>
      <c r="X123" s="110"/>
      <c r="Y123" s="106"/>
      <c r="Z123" s="106"/>
    </row>
    <row r="124" spans="12:26" ht="15.75" customHeight="1" x14ac:dyDescent="0.3">
      <c r="L124" s="109"/>
      <c r="M124" s="110"/>
      <c r="N124" s="110"/>
      <c r="Q124" s="110"/>
      <c r="R124" s="110"/>
      <c r="S124" s="110"/>
      <c r="W124" s="110"/>
      <c r="X124" s="110"/>
      <c r="Y124" s="106"/>
      <c r="Z124" s="106"/>
    </row>
    <row r="125" spans="12:26" ht="15.75" customHeight="1" x14ac:dyDescent="0.3">
      <c r="L125" s="109"/>
      <c r="M125" s="110"/>
      <c r="N125" s="110"/>
      <c r="Q125" s="110"/>
      <c r="R125" s="110"/>
      <c r="S125" s="110"/>
      <c r="W125" s="110"/>
      <c r="X125" s="110"/>
      <c r="Y125" s="106"/>
      <c r="Z125" s="106"/>
    </row>
    <row r="126" spans="12:26" ht="15.75" customHeight="1" x14ac:dyDescent="0.3">
      <c r="L126" s="109"/>
      <c r="M126" s="110"/>
      <c r="N126" s="110"/>
      <c r="Q126" s="110"/>
      <c r="R126" s="110"/>
      <c r="S126" s="110"/>
      <c r="W126" s="110"/>
      <c r="X126" s="110"/>
      <c r="Y126" s="106"/>
      <c r="Z126" s="106"/>
    </row>
    <row r="127" spans="12:26" ht="15.75" customHeight="1" x14ac:dyDescent="0.3">
      <c r="L127" s="109"/>
      <c r="M127" s="110"/>
      <c r="N127" s="110"/>
      <c r="Q127" s="110"/>
      <c r="R127" s="110"/>
      <c r="S127" s="110"/>
      <c r="W127" s="110"/>
      <c r="X127" s="110"/>
      <c r="Y127" s="106"/>
      <c r="Z127" s="106"/>
    </row>
    <row r="128" spans="12:26" ht="15.75" customHeight="1" x14ac:dyDescent="0.3">
      <c r="L128" s="109"/>
      <c r="M128" s="110"/>
      <c r="N128" s="110"/>
      <c r="Q128" s="110"/>
      <c r="R128" s="110"/>
      <c r="S128" s="110"/>
      <c r="W128" s="110"/>
      <c r="X128" s="110"/>
      <c r="Y128" s="106"/>
      <c r="Z128" s="106"/>
    </row>
    <row r="129" spans="12:26" ht="15.75" customHeight="1" x14ac:dyDescent="0.3">
      <c r="L129" s="109"/>
      <c r="M129" s="110"/>
      <c r="N129" s="110"/>
      <c r="Q129" s="110"/>
      <c r="R129" s="110"/>
      <c r="S129" s="110"/>
      <c r="W129" s="110"/>
      <c r="X129" s="110"/>
      <c r="Y129" s="106"/>
      <c r="Z129" s="106"/>
    </row>
    <row r="130" spans="12:26" ht="15.75" customHeight="1" x14ac:dyDescent="0.3">
      <c r="L130" s="109"/>
      <c r="M130" s="110"/>
      <c r="N130" s="110"/>
      <c r="Q130" s="110"/>
      <c r="R130" s="110"/>
      <c r="S130" s="110"/>
      <c r="W130" s="110"/>
      <c r="X130" s="110"/>
      <c r="Y130" s="106"/>
      <c r="Z130" s="106"/>
    </row>
    <row r="131" spans="12:26" ht="15.75" customHeight="1" x14ac:dyDescent="0.3">
      <c r="L131" s="109"/>
      <c r="M131" s="110"/>
      <c r="N131" s="110"/>
      <c r="Q131" s="110"/>
      <c r="R131" s="110"/>
      <c r="S131" s="110"/>
      <c r="W131" s="110"/>
      <c r="X131" s="110"/>
      <c r="Y131" s="106"/>
      <c r="Z131" s="106"/>
    </row>
    <row r="132" spans="12:26" ht="15.75" customHeight="1" x14ac:dyDescent="0.3">
      <c r="L132" s="109"/>
      <c r="M132" s="110"/>
      <c r="N132" s="110"/>
      <c r="Q132" s="110"/>
      <c r="R132" s="110"/>
      <c r="S132" s="110"/>
      <c r="W132" s="110"/>
      <c r="X132" s="110"/>
      <c r="Y132" s="106"/>
      <c r="Z132" s="106"/>
    </row>
    <row r="133" spans="12:26" ht="15.75" customHeight="1" x14ac:dyDescent="0.3">
      <c r="L133" s="109"/>
      <c r="M133" s="110"/>
      <c r="N133" s="110"/>
      <c r="Q133" s="110"/>
      <c r="R133" s="110"/>
      <c r="S133" s="110"/>
      <c r="W133" s="110"/>
      <c r="X133" s="110"/>
      <c r="Y133" s="106"/>
      <c r="Z133" s="106"/>
    </row>
    <row r="134" spans="12:26" ht="15.75" customHeight="1" x14ac:dyDescent="0.3">
      <c r="L134" s="109"/>
      <c r="M134" s="110"/>
      <c r="N134" s="110"/>
      <c r="Q134" s="110"/>
      <c r="R134" s="110"/>
      <c r="S134" s="110"/>
      <c r="W134" s="110"/>
      <c r="X134" s="110"/>
      <c r="Y134" s="106"/>
      <c r="Z134" s="106"/>
    </row>
    <row r="135" spans="12:26" ht="15.75" customHeight="1" x14ac:dyDescent="0.3">
      <c r="L135" s="109"/>
      <c r="M135" s="110"/>
      <c r="N135" s="110"/>
      <c r="Q135" s="110"/>
      <c r="R135" s="110"/>
      <c r="S135" s="110"/>
      <c r="W135" s="110"/>
      <c r="X135" s="110"/>
      <c r="Y135" s="106"/>
      <c r="Z135" s="106"/>
    </row>
    <row r="136" spans="12:26" ht="15.75" customHeight="1" x14ac:dyDescent="0.3">
      <c r="L136" s="109"/>
      <c r="M136" s="110"/>
      <c r="N136" s="110"/>
      <c r="Q136" s="110"/>
      <c r="R136" s="110"/>
      <c r="S136" s="110"/>
      <c r="W136" s="110"/>
      <c r="X136" s="110"/>
      <c r="Y136" s="106"/>
      <c r="Z136" s="106"/>
    </row>
    <row r="137" spans="12:26" ht="15.75" customHeight="1" x14ac:dyDescent="0.3">
      <c r="L137" s="109"/>
      <c r="M137" s="110"/>
      <c r="N137" s="110"/>
      <c r="Q137" s="110"/>
      <c r="R137" s="110"/>
      <c r="S137" s="110"/>
      <c r="W137" s="110"/>
      <c r="X137" s="110"/>
      <c r="Y137" s="106"/>
      <c r="Z137" s="106"/>
    </row>
    <row r="138" spans="12:26" ht="15.75" customHeight="1" x14ac:dyDescent="0.3">
      <c r="L138" s="109"/>
      <c r="M138" s="110"/>
      <c r="N138" s="110"/>
      <c r="Q138" s="110"/>
      <c r="R138" s="110"/>
      <c r="S138" s="110"/>
      <c r="W138" s="110"/>
      <c r="X138" s="110"/>
      <c r="Y138" s="106"/>
      <c r="Z138" s="106"/>
    </row>
    <row r="139" spans="12:26" ht="15.75" customHeight="1" x14ac:dyDescent="0.3">
      <c r="L139" s="109"/>
      <c r="M139" s="110"/>
      <c r="N139" s="110"/>
      <c r="Q139" s="110"/>
      <c r="R139" s="110"/>
      <c r="S139" s="110"/>
      <c r="W139" s="110"/>
      <c r="X139" s="110"/>
      <c r="Y139" s="106"/>
      <c r="Z139" s="106"/>
    </row>
    <row r="140" spans="12:26" ht="15.75" customHeight="1" x14ac:dyDescent="0.3">
      <c r="L140" s="109"/>
      <c r="M140" s="110"/>
      <c r="N140" s="110"/>
      <c r="Q140" s="110"/>
      <c r="R140" s="110"/>
      <c r="S140" s="110"/>
      <c r="W140" s="110"/>
      <c r="X140" s="110"/>
      <c r="Y140" s="106"/>
      <c r="Z140" s="106"/>
    </row>
    <row r="141" spans="12:26" ht="15.75" customHeight="1" x14ac:dyDescent="0.3">
      <c r="L141" s="109"/>
      <c r="M141" s="110"/>
      <c r="N141" s="110"/>
      <c r="Q141" s="110"/>
      <c r="R141" s="110"/>
      <c r="S141" s="110"/>
      <c r="W141" s="110"/>
      <c r="X141" s="110"/>
      <c r="Y141" s="106"/>
      <c r="Z141" s="106"/>
    </row>
    <row r="142" spans="12:26" ht="15.75" customHeight="1" x14ac:dyDescent="0.3">
      <c r="L142" s="109"/>
      <c r="M142" s="110"/>
      <c r="N142" s="110"/>
      <c r="Q142" s="110"/>
      <c r="R142" s="110"/>
      <c r="S142" s="110"/>
      <c r="W142" s="110"/>
      <c r="X142" s="110"/>
      <c r="Y142" s="106"/>
      <c r="Z142" s="106"/>
    </row>
    <row r="143" spans="12:26" ht="15.75" customHeight="1" x14ac:dyDescent="0.3">
      <c r="L143" s="109"/>
      <c r="M143" s="110"/>
      <c r="N143" s="110"/>
      <c r="Q143" s="110"/>
      <c r="R143" s="110"/>
      <c r="S143" s="110"/>
      <c r="W143" s="110"/>
      <c r="X143" s="110"/>
      <c r="Y143" s="106"/>
      <c r="Z143" s="106"/>
    </row>
    <row r="144" spans="12:26" ht="15.75" customHeight="1" x14ac:dyDescent="0.3">
      <c r="L144" s="109"/>
      <c r="M144" s="110"/>
      <c r="N144" s="110"/>
      <c r="Q144" s="110"/>
      <c r="R144" s="110"/>
      <c r="S144" s="110"/>
      <c r="W144" s="110"/>
      <c r="X144" s="110"/>
      <c r="Y144" s="106"/>
      <c r="Z144" s="106"/>
    </row>
    <row r="145" spans="12:26" ht="15.75" customHeight="1" x14ac:dyDescent="0.3">
      <c r="L145" s="109"/>
      <c r="M145" s="110"/>
      <c r="N145" s="110"/>
      <c r="Q145" s="110"/>
      <c r="R145" s="110"/>
      <c r="S145" s="110"/>
      <c r="W145" s="110"/>
      <c r="X145" s="110"/>
      <c r="Y145" s="106"/>
      <c r="Z145" s="106"/>
    </row>
    <row r="146" spans="12:26" ht="15.75" customHeight="1" x14ac:dyDescent="0.3">
      <c r="L146" s="109"/>
      <c r="M146" s="110"/>
      <c r="N146" s="110"/>
      <c r="Q146" s="110"/>
      <c r="R146" s="110"/>
      <c r="S146" s="110"/>
      <c r="W146" s="110"/>
      <c r="X146" s="110"/>
      <c r="Y146" s="106"/>
      <c r="Z146" s="106"/>
    </row>
    <row r="147" spans="12:26" ht="15.75" customHeight="1" x14ac:dyDescent="0.3">
      <c r="L147" s="109"/>
      <c r="M147" s="110"/>
      <c r="N147" s="110"/>
      <c r="Q147" s="110"/>
      <c r="R147" s="110"/>
      <c r="S147" s="110"/>
      <c r="W147" s="110"/>
      <c r="X147" s="110"/>
      <c r="Y147" s="106"/>
      <c r="Z147" s="106"/>
    </row>
    <row r="148" spans="12:26" ht="15.75" customHeight="1" x14ac:dyDescent="0.3">
      <c r="L148" s="109"/>
      <c r="M148" s="110"/>
      <c r="N148" s="110"/>
      <c r="Q148" s="110"/>
      <c r="R148" s="110"/>
      <c r="S148" s="110"/>
      <c r="W148" s="110"/>
      <c r="X148" s="110"/>
      <c r="Y148" s="106"/>
      <c r="Z148" s="106"/>
    </row>
    <row r="149" spans="12:26" ht="15.75" customHeight="1" x14ac:dyDescent="0.3">
      <c r="L149" s="109"/>
      <c r="M149" s="110"/>
      <c r="N149" s="110"/>
      <c r="Q149" s="110"/>
      <c r="R149" s="110"/>
      <c r="S149" s="110"/>
      <c r="W149" s="110"/>
      <c r="X149" s="110"/>
      <c r="Y149" s="106"/>
      <c r="Z149" s="106"/>
    </row>
    <row r="150" spans="12:26" ht="15.75" customHeight="1" x14ac:dyDescent="0.3">
      <c r="L150" s="109"/>
      <c r="M150" s="110"/>
      <c r="N150" s="110"/>
      <c r="Q150" s="110"/>
      <c r="R150" s="110"/>
      <c r="S150" s="110"/>
      <c r="W150" s="110"/>
      <c r="X150" s="110"/>
      <c r="Y150" s="106"/>
      <c r="Z150" s="106"/>
    </row>
    <row r="151" spans="12:26" ht="15.75" customHeight="1" x14ac:dyDescent="0.3">
      <c r="L151" s="109"/>
      <c r="M151" s="110"/>
      <c r="N151" s="110"/>
      <c r="Q151" s="110"/>
      <c r="R151" s="110"/>
      <c r="S151" s="110"/>
      <c r="W151" s="110"/>
      <c r="X151" s="110"/>
      <c r="Y151" s="106"/>
      <c r="Z151" s="106"/>
    </row>
    <row r="152" spans="12:26" ht="15.75" customHeight="1" x14ac:dyDescent="0.3">
      <c r="L152" s="109"/>
      <c r="M152" s="110"/>
      <c r="N152" s="110"/>
      <c r="Q152" s="110"/>
      <c r="R152" s="110"/>
      <c r="S152" s="110"/>
      <c r="W152" s="110"/>
      <c r="X152" s="110"/>
      <c r="Y152" s="106"/>
      <c r="Z152" s="106"/>
    </row>
    <row r="153" spans="12:26" ht="15.75" customHeight="1" x14ac:dyDescent="0.3">
      <c r="L153" s="109"/>
      <c r="M153" s="110"/>
      <c r="N153" s="110"/>
      <c r="Q153" s="110"/>
      <c r="R153" s="110"/>
      <c r="S153" s="110"/>
      <c r="W153" s="110"/>
      <c r="X153" s="110"/>
      <c r="Y153" s="106"/>
      <c r="Z153" s="106"/>
    </row>
    <row r="154" spans="12:26" ht="15.75" customHeight="1" x14ac:dyDescent="0.3">
      <c r="L154" s="109"/>
      <c r="M154" s="110"/>
      <c r="N154" s="110"/>
      <c r="Q154" s="110"/>
      <c r="R154" s="110"/>
      <c r="S154" s="110"/>
      <c r="W154" s="110"/>
      <c r="X154" s="110"/>
      <c r="Y154" s="106"/>
      <c r="Z154" s="106"/>
    </row>
    <row r="155" spans="12:26" ht="15.75" customHeight="1" x14ac:dyDescent="0.3">
      <c r="L155" s="109"/>
      <c r="M155" s="110"/>
      <c r="N155" s="110"/>
      <c r="Q155" s="110"/>
      <c r="R155" s="110"/>
      <c r="S155" s="110"/>
      <c r="W155" s="110"/>
      <c r="X155" s="110"/>
      <c r="Y155" s="106"/>
      <c r="Z155" s="106"/>
    </row>
    <row r="156" spans="12:26" ht="15.75" customHeight="1" x14ac:dyDescent="0.3">
      <c r="L156" s="109"/>
      <c r="M156" s="110"/>
      <c r="N156" s="110"/>
      <c r="Q156" s="110"/>
      <c r="R156" s="110"/>
      <c r="S156" s="110"/>
      <c r="W156" s="110"/>
      <c r="X156" s="110"/>
      <c r="Y156" s="106"/>
      <c r="Z156" s="106"/>
    </row>
    <row r="157" spans="12:26" ht="15.75" customHeight="1" x14ac:dyDescent="0.3">
      <c r="L157" s="109"/>
      <c r="M157" s="110"/>
      <c r="N157" s="110"/>
      <c r="Q157" s="110"/>
      <c r="R157" s="110"/>
      <c r="S157" s="110"/>
      <c r="W157" s="110"/>
      <c r="X157" s="110"/>
      <c r="Y157" s="106"/>
      <c r="Z157" s="106"/>
    </row>
    <row r="158" spans="12:26" ht="15.75" customHeight="1" x14ac:dyDescent="0.3">
      <c r="L158" s="109"/>
      <c r="M158" s="110"/>
      <c r="N158" s="110"/>
      <c r="Q158" s="110"/>
      <c r="R158" s="110"/>
      <c r="S158" s="110"/>
      <c r="W158" s="110"/>
      <c r="X158" s="110"/>
      <c r="Y158" s="106"/>
      <c r="Z158" s="106"/>
    </row>
    <row r="159" spans="12:26" ht="15.75" customHeight="1" x14ac:dyDescent="0.3">
      <c r="L159" s="109"/>
      <c r="M159" s="110"/>
      <c r="N159" s="110"/>
      <c r="Q159" s="110"/>
      <c r="R159" s="110"/>
      <c r="S159" s="110"/>
      <c r="W159" s="110"/>
      <c r="X159" s="110"/>
      <c r="Y159" s="106"/>
      <c r="Z159" s="106"/>
    </row>
    <row r="160" spans="12:26" ht="15.75" customHeight="1" x14ac:dyDescent="0.3">
      <c r="L160" s="109"/>
      <c r="M160" s="110"/>
      <c r="N160" s="110"/>
      <c r="Q160" s="110"/>
      <c r="R160" s="110"/>
      <c r="S160" s="110"/>
      <c r="W160" s="110"/>
      <c r="X160" s="110"/>
      <c r="Y160" s="106"/>
      <c r="Z160" s="106"/>
    </row>
    <row r="161" spans="12:26" ht="15.75" customHeight="1" x14ac:dyDescent="0.3">
      <c r="L161" s="109"/>
      <c r="M161" s="110"/>
      <c r="N161" s="110"/>
      <c r="Q161" s="110"/>
      <c r="R161" s="110"/>
      <c r="S161" s="110"/>
      <c r="W161" s="110"/>
      <c r="X161" s="110"/>
      <c r="Y161" s="106"/>
      <c r="Z161" s="106"/>
    </row>
    <row r="162" spans="12:26" ht="15.75" customHeight="1" x14ac:dyDescent="0.3">
      <c r="L162" s="109"/>
      <c r="M162" s="110"/>
      <c r="N162" s="110"/>
      <c r="Q162" s="110"/>
      <c r="R162" s="110"/>
      <c r="S162" s="110"/>
      <c r="W162" s="110"/>
      <c r="X162" s="110"/>
      <c r="Y162" s="106"/>
      <c r="Z162" s="106"/>
    </row>
    <row r="163" spans="12:26" ht="15.75" customHeight="1" x14ac:dyDescent="0.3">
      <c r="L163" s="109"/>
      <c r="M163" s="110"/>
      <c r="N163" s="110"/>
      <c r="Q163" s="110"/>
      <c r="R163" s="110"/>
      <c r="S163" s="110"/>
      <c r="W163" s="110"/>
      <c r="X163" s="110"/>
      <c r="Y163" s="106"/>
      <c r="Z163" s="106"/>
    </row>
    <row r="164" spans="12:26" ht="15.75" customHeight="1" x14ac:dyDescent="0.3">
      <c r="L164" s="109"/>
      <c r="M164" s="110"/>
      <c r="N164" s="110"/>
      <c r="Q164" s="110"/>
      <c r="R164" s="110"/>
      <c r="S164" s="110"/>
      <c r="W164" s="110"/>
      <c r="X164" s="110"/>
      <c r="Y164" s="106"/>
      <c r="Z164" s="106"/>
    </row>
    <row r="165" spans="12:26" ht="15.75" customHeight="1" x14ac:dyDescent="0.3">
      <c r="L165" s="109"/>
      <c r="M165" s="110"/>
      <c r="N165" s="110"/>
      <c r="Q165" s="110"/>
      <c r="R165" s="110"/>
      <c r="S165" s="110"/>
      <c r="W165" s="110"/>
      <c r="X165" s="110"/>
      <c r="Y165" s="106"/>
      <c r="Z165" s="106"/>
    </row>
    <row r="166" spans="12:26" ht="15.75" customHeight="1" x14ac:dyDescent="0.3">
      <c r="L166" s="109"/>
      <c r="M166" s="110"/>
      <c r="N166" s="110"/>
      <c r="Q166" s="110"/>
      <c r="R166" s="110"/>
      <c r="S166" s="110"/>
      <c r="W166" s="110"/>
      <c r="X166" s="110"/>
      <c r="Y166" s="106"/>
      <c r="Z166" s="106"/>
    </row>
    <row r="167" spans="12:26" ht="15.75" customHeight="1" x14ac:dyDescent="0.3">
      <c r="L167" s="109"/>
      <c r="M167" s="110"/>
      <c r="N167" s="110"/>
      <c r="Q167" s="110"/>
      <c r="R167" s="110"/>
      <c r="S167" s="110"/>
      <c r="W167" s="110"/>
      <c r="X167" s="110"/>
      <c r="Y167" s="106"/>
      <c r="Z167" s="106"/>
    </row>
    <row r="168" spans="12:26" ht="15.75" customHeight="1" x14ac:dyDescent="0.3">
      <c r="L168" s="109"/>
      <c r="M168" s="110"/>
      <c r="N168" s="110"/>
      <c r="Q168" s="110"/>
      <c r="R168" s="110"/>
      <c r="S168" s="110"/>
      <c r="W168" s="110"/>
      <c r="X168" s="110"/>
      <c r="Y168" s="106"/>
      <c r="Z168" s="106"/>
    </row>
    <row r="169" spans="12:26" ht="15.75" customHeight="1" x14ac:dyDescent="0.3">
      <c r="L169" s="109"/>
      <c r="M169" s="110"/>
      <c r="N169" s="110"/>
      <c r="Q169" s="110"/>
      <c r="R169" s="110"/>
      <c r="S169" s="110"/>
      <c r="W169" s="110"/>
      <c r="X169" s="110"/>
      <c r="Y169" s="106"/>
      <c r="Z169" s="106"/>
    </row>
    <row r="170" spans="12:26" ht="15.75" customHeight="1" x14ac:dyDescent="0.3">
      <c r="L170" s="109"/>
      <c r="M170" s="110"/>
      <c r="N170" s="110"/>
      <c r="Q170" s="110"/>
      <c r="R170" s="110"/>
      <c r="S170" s="110"/>
      <c r="W170" s="110"/>
      <c r="X170" s="110"/>
      <c r="Y170" s="106"/>
      <c r="Z170" s="106"/>
    </row>
    <row r="171" spans="12:26" ht="15.75" customHeight="1" x14ac:dyDescent="0.3">
      <c r="L171" s="109"/>
      <c r="M171" s="110"/>
      <c r="N171" s="110"/>
      <c r="Q171" s="110"/>
      <c r="R171" s="110"/>
      <c r="S171" s="110"/>
      <c r="W171" s="110"/>
      <c r="X171" s="110"/>
      <c r="Y171" s="106"/>
      <c r="Z171" s="106"/>
    </row>
    <row r="172" spans="12:26" ht="15.75" customHeight="1" x14ac:dyDescent="0.3">
      <c r="L172" s="109"/>
      <c r="M172" s="110"/>
      <c r="N172" s="110"/>
      <c r="Q172" s="110"/>
      <c r="R172" s="110"/>
      <c r="S172" s="110"/>
      <c r="W172" s="110"/>
      <c r="X172" s="110"/>
      <c r="Y172" s="106"/>
      <c r="Z172" s="106"/>
    </row>
    <row r="173" spans="12:26" ht="15.75" customHeight="1" x14ac:dyDescent="0.3">
      <c r="L173" s="109"/>
      <c r="M173" s="110"/>
      <c r="N173" s="110"/>
      <c r="Q173" s="110"/>
      <c r="R173" s="110"/>
      <c r="S173" s="110"/>
      <c r="W173" s="110"/>
      <c r="X173" s="110"/>
      <c r="Y173" s="106"/>
      <c r="Z173" s="106"/>
    </row>
    <row r="174" spans="12:26" ht="15.75" customHeight="1" x14ac:dyDescent="0.3">
      <c r="L174" s="109"/>
      <c r="M174" s="110"/>
      <c r="N174" s="110"/>
      <c r="Q174" s="110"/>
      <c r="R174" s="110"/>
      <c r="S174" s="110"/>
      <c r="W174" s="110"/>
      <c r="X174" s="110"/>
      <c r="Y174" s="106"/>
      <c r="Z174" s="106"/>
    </row>
    <row r="175" spans="12:26" ht="15.75" customHeight="1" x14ac:dyDescent="0.3">
      <c r="L175" s="109"/>
      <c r="M175" s="110"/>
      <c r="N175" s="110"/>
      <c r="Q175" s="110"/>
      <c r="R175" s="110"/>
      <c r="S175" s="110"/>
      <c r="W175" s="110"/>
      <c r="X175" s="110"/>
      <c r="Y175" s="106"/>
      <c r="Z175" s="106"/>
    </row>
    <row r="176" spans="12:26" ht="15.75" customHeight="1" x14ac:dyDescent="0.3">
      <c r="L176" s="109"/>
      <c r="M176" s="110"/>
      <c r="N176" s="110"/>
      <c r="Q176" s="110"/>
      <c r="R176" s="110"/>
      <c r="S176" s="110"/>
      <c r="W176" s="110"/>
      <c r="X176" s="110"/>
      <c r="Y176" s="106"/>
      <c r="Z176" s="106"/>
    </row>
    <row r="177" spans="12:26" ht="15.75" customHeight="1" x14ac:dyDescent="0.3">
      <c r="L177" s="109"/>
      <c r="M177" s="110"/>
      <c r="N177" s="110"/>
      <c r="Q177" s="110"/>
      <c r="R177" s="110"/>
      <c r="S177" s="110"/>
      <c r="W177" s="110"/>
      <c r="X177" s="110"/>
      <c r="Y177" s="106"/>
      <c r="Z177" s="106"/>
    </row>
    <row r="178" spans="12:26" ht="15.75" customHeight="1" x14ac:dyDescent="0.3">
      <c r="L178" s="109"/>
      <c r="M178" s="110"/>
      <c r="N178" s="110"/>
      <c r="Q178" s="110"/>
      <c r="R178" s="110"/>
      <c r="S178" s="110"/>
      <c r="W178" s="110"/>
      <c r="X178" s="110"/>
      <c r="Y178" s="106"/>
      <c r="Z178" s="106"/>
    </row>
    <row r="179" spans="12:26" ht="15.75" customHeight="1" x14ac:dyDescent="0.3">
      <c r="L179" s="109"/>
      <c r="M179" s="110"/>
      <c r="N179" s="110"/>
      <c r="Q179" s="110"/>
      <c r="R179" s="110"/>
      <c r="S179" s="110"/>
      <c r="W179" s="110"/>
      <c r="X179" s="110"/>
      <c r="Y179" s="106"/>
      <c r="Z179" s="106"/>
    </row>
    <row r="180" spans="12:26" ht="15.75" customHeight="1" x14ac:dyDescent="0.3">
      <c r="L180" s="109"/>
      <c r="M180" s="110"/>
      <c r="N180" s="110"/>
      <c r="Q180" s="110"/>
      <c r="R180" s="110"/>
      <c r="S180" s="110"/>
      <c r="W180" s="110"/>
      <c r="X180" s="110"/>
      <c r="Y180" s="106"/>
      <c r="Z180" s="106"/>
    </row>
    <row r="181" spans="12:26" ht="15.75" customHeight="1" x14ac:dyDescent="0.3">
      <c r="L181" s="109"/>
      <c r="M181" s="110"/>
      <c r="N181" s="110"/>
      <c r="Q181" s="110"/>
      <c r="R181" s="110"/>
      <c r="S181" s="110"/>
      <c r="W181" s="110"/>
      <c r="X181" s="110"/>
      <c r="Y181" s="106"/>
      <c r="Z181" s="106"/>
    </row>
    <row r="182" spans="12:26" ht="15.75" customHeight="1" x14ac:dyDescent="0.3">
      <c r="L182" s="109"/>
      <c r="M182" s="110"/>
      <c r="N182" s="110"/>
      <c r="Q182" s="110"/>
      <c r="R182" s="110"/>
      <c r="S182" s="110"/>
      <c r="W182" s="110"/>
      <c r="X182" s="110"/>
      <c r="Y182" s="106"/>
      <c r="Z182" s="106"/>
    </row>
    <row r="183" spans="12:26" ht="15.75" customHeight="1" x14ac:dyDescent="0.3">
      <c r="L183" s="109"/>
      <c r="M183" s="110"/>
      <c r="N183" s="110"/>
      <c r="Q183" s="110"/>
      <c r="R183" s="110"/>
      <c r="S183" s="110"/>
      <c r="W183" s="110"/>
      <c r="X183" s="110"/>
      <c r="Y183" s="106"/>
      <c r="Z183" s="106"/>
    </row>
    <row r="184" spans="12:26" ht="15.75" customHeight="1" x14ac:dyDescent="0.3">
      <c r="L184" s="109"/>
      <c r="M184" s="110"/>
      <c r="N184" s="110"/>
      <c r="Q184" s="110"/>
      <c r="R184" s="110"/>
      <c r="S184" s="110"/>
      <c r="W184" s="110"/>
      <c r="X184" s="110"/>
      <c r="Y184" s="106"/>
      <c r="Z184" s="106"/>
    </row>
    <row r="185" spans="12:26" ht="15.75" customHeight="1" x14ac:dyDescent="0.3">
      <c r="L185" s="109"/>
      <c r="M185" s="110"/>
      <c r="N185" s="110"/>
      <c r="Q185" s="110"/>
      <c r="R185" s="110"/>
      <c r="S185" s="110"/>
      <c r="W185" s="110"/>
      <c r="X185" s="110"/>
      <c r="Y185" s="106"/>
      <c r="Z185" s="106"/>
    </row>
    <row r="186" spans="12:26" ht="15.75" customHeight="1" x14ac:dyDescent="0.3">
      <c r="L186" s="109"/>
      <c r="M186" s="110"/>
      <c r="N186" s="110"/>
      <c r="Q186" s="110"/>
      <c r="R186" s="110"/>
      <c r="S186" s="110"/>
      <c r="W186" s="110"/>
      <c r="X186" s="110"/>
      <c r="Y186" s="106"/>
      <c r="Z186" s="106"/>
    </row>
    <row r="187" spans="12:26" ht="15.75" customHeight="1" x14ac:dyDescent="0.3">
      <c r="L187" s="109"/>
      <c r="M187" s="110"/>
      <c r="N187" s="110"/>
      <c r="Q187" s="110"/>
      <c r="R187" s="110"/>
      <c r="S187" s="110"/>
      <c r="W187" s="110"/>
      <c r="X187" s="110"/>
      <c r="Y187" s="106"/>
      <c r="Z187" s="106"/>
    </row>
    <row r="188" spans="12:26" ht="15.75" customHeight="1" x14ac:dyDescent="0.3">
      <c r="L188" s="109"/>
      <c r="M188" s="110"/>
      <c r="N188" s="110"/>
      <c r="Q188" s="110"/>
      <c r="R188" s="110"/>
      <c r="S188" s="110"/>
      <c r="W188" s="110"/>
      <c r="X188" s="110"/>
      <c r="Y188" s="106"/>
      <c r="Z188" s="106"/>
    </row>
    <row r="189" spans="12:26" ht="15.75" customHeight="1" x14ac:dyDescent="0.3">
      <c r="L189" s="109"/>
      <c r="M189" s="110"/>
      <c r="N189" s="110"/>
      <c r="Q189" s="110"/>
      <c r="R189" s="110"/>
      <c r="S189" s="110"/>
      <c r="W189" s="110"/>
      <c r="X189" s="110"/>
      <c r="Y189" s="106"/>
      <c r="Z189" s="106"/>
    </row>
    <row r="190" spans="12:26" ht="15.75" customHeight="1" x14ac:dyDescent="0.3">
      <c r="L190" s="109"/>
      <c r="M190" s="110"/>
      <c r="N190" s="110"/>
      <c r="Q190" s="110"/>
      <c r="R190" s="110"/>
      <c r="S190" s="110"/>
      <c r="W190" s="110"/>
      <c r="X190" s="110"/>
      <c r="Y190" s="106"/>
      <c r="Z190" s="106"/>
    </row>
    <row r="191" spans="12:26" ht="15.75" customHeight="1" x14ac:dyDescent="0.3">
      <c r="L191" s="109"/>
      <c r="M191" s="110"/>
      <c r="N191" s="110"/>
      <c r="Q191" s="110"/>
      <c r="R191" s="110"/>
      <c r="S191" s="110"/>
      <c r="W191" s="110"/>
      <c r="X191" s="110"/>
      <c r="Y191" s="106"/>
      <c r="Z191" s="106"/>
    </row>
    <row r="192" spans="12:26" ht="15.75" customHeight="1" x14ac:dyDescent="0.3">
      <c r="L192" s="109"/>
      <c r="M192" s="110"/>
      <c r="N192" s="110"/>
      <c r="Q192" s="110"/>
      <c r="R192" s="110"/>
      <c r="S192" s="110"/>
      <c r="W192" s="110"/>
      <c r="X192" s="110"/>
      <c r="Y192" s="106"/>
      <c r="Z192" s="106"/>
    </row>
    <row r="193" spans="12:26" ht="15.75" customHeight="1" x14ac:dyDescent="0.3">
      <c r="L193" s="109"/>
      <c r="M193" s="110"/>
      <c r="N193" s="110"/>
      <c r="Q193" s="110"/>
      <c r="R193" s="110"/>
      <c r="S193" s="110"/>
      <c r="W193" s="110"/>
      <c r="X193" s="110"/>
      <c r="Y193" s="106"/>
      <c r="Z193" s="106"/>
    </row>
    <row r="194" spans="12:26" ht="15.75" customHeight="1" x14ac:dyDescent="0.3">
      <c r="L194" s="109"/>
      <c r="M194" s="110"/>
      <c r="N194" s="110"/>
      <c r="Q194" s="110"/>
      <c r="R194" s="110"/>
      <c r="S194" s="110"/>
      <c r="W194" s="110"/>
      <c r="X194" s="110"/>
      <c r="Y194" s="106"/>
      <c r="Z194" s="106"/>
    </row>
    <row r="195" spans="12:26" ht="15.75" customHeight="1" x14ac:dyDescent="0.3">
      <c r="L195" s="109"/>
      <c r="M195" s="110"/>
      <c r="N195" s="110"/>
      <c r="Q195" s="110"/>
      <c r="R195" s="110"/>
      <c r="S195" s="110"/>
      <c r="W195" s="110"/>
      <c r="X195" s="110"/>
      <c r="Y195" s="106"/>
      <c r="Z195" s="106"/>
    </row>
    <row r="196" spans="12:26" ht="15.75" customHeight="1" x14ac:dyDescent="0.3">
      <c r="L196" s="109"/>
      <c r="M196" s="110"/>
      <c r="N196" s="110"/>
      <c r="Q196" s="110"/>
      <c r="R196" s="110"/>
      <c r="S196" s="110"/>
      <c r="W196" s="110"/>
      <c r="X196" s="110"/>
      <c r="Y196" s="106"/>
      <c r="Z196" s="106"/>
    </row>
    <row r="197" spans="12:26" ht="15.75" customHeight="1" x14ac:dyDescent="0.3">
      <c r="L197" s="109"/>
      <c r="M197" s="110"/>
      <c r="N197" s="110"/>
      <c r="Q197" s="110"/>
      <c r="R197" s="110"/>
      <c r="S197" s="110"/>
      <c r="W197" s="110"/>
      <c r="X197" s="110"/>
      <c r="Y197" s="106"/>
      <c r="Z197" s="106"/>
    </row>
    <row r="198" spans="12:26" ht="15.75" customHeight="1" x14ac:dyDescent="0.3">
      <c r="L198" s="109"/>
      <c r="M198" s="110"/>
      <c r="N198" s="110"/>
      <c r="Q198" s="110"/>
      <c r="R198" s="110"/>
      <c r="S198" s="110"/>
      <c r="W198" s="110"/>
      <c r="X198" s="110"/>
      <c r="Y198" s="106"/>
      <c r="Z198" s="106"/>
    </row>
    <row r="199" spans="12:26" ht="15.75" customHeight="1" x14ac:dyDescent="0.3">
      <c r="L199" s="109"/>
      <c r="M199" s="110"/>
      <c r="N199" s="110"/>
      <c r="Q199" s="110"/>
      <c r="R199" s="110"/>
      <c r="S199" s="110"/>
      <c r="W199" s="110"/>
      <c r="X199" s="110"/>
      <c r="Y199" s="106"/>
      <c r="Z199" s="106"/>
    </row>
    <row r="200" spans="12:26" ht="15.75" customHeight="1" x14ac:dyDescent="0.3">
      <c r="L200" s="109"/>
      <c r="M200" s="110"/>
      <c r="N200" s="110"/>
      <c r="Q200" s="110"/>
      <c r="R200" s="110"/>
      <c r="S200" s="110"/>
      <c r="W200" s="110"/>
      <c r="X200" s="110"/>
      <c r="Y200" s="106"/>
      <c r="Z200" s="106"/>
    </row>
    <row r="201" spans="12:26" ht="15.75" customHeight="1" x14ac:dyDescent="0.3">
      <c r="L201" s="109"/>
      <c r="M201" s="110"/>
      <c r="N201" s="110"/>
      <c r="Q201" s="110"/>
      <c r="R201" s="110"/>
      <c r="S201" s="110"/>
      <c r="W201" s="110"/>
      <c r="X201" s="110"/>
      <c r="Y201" s="106"/>
      <c r="Z201" s="106"/>
    </row>
    <row r="202" spans="12:26" ht="15.75" customHeight="1" x14ac:dyDescent="0.3">
      <c r="L202" s="109"/>
      <c r="M202" s="110"/>
      <c r="N202" s="110"/>
      <c r="Q202" s="110"/>
      <c r="R202" s="110"/>
      <c r="S202" s="110"/>
      <c r="W202" s="110"/>
      <c r="X202" s="110"/>
      <c r="Y202" s="106"/>
      <c r="Z202" s="106"/>
    </row>
    <row r="203" spans="12:26" ht="15.75" customHeight="1" x14ac:dyDescent="0.3">
      <c r="L203" s="109"/>
      <c r="M203" s="110"/>
      <c r="N203" s="110"/>
      <c r="Q203" s="110"/>
      <c r="R203" s="110"/>
      <c r="S203" s="110"/>
      <c r="W203" s="110"/>
      <c r="X203" s="110"/>
      <c r="Y203" s="106"/>
      <c r="Z203" s="106"/>
    </row>
    <row r="204" spans="12:26" ht="15.75" customHeight="1" x14ac:dyDescent="0.3">
      <c r="L204" s="109"/>
      <c r="M204" s="110"/>
      <c r="N204" s="110"/>
      <c r="Q204" s="110"/>
      <c r="R204" s="110"/>
      <c r="S204" s="110"/>
      <c r="W204" s="110"/>
      <c r="X204" s="110"/>
      <c r="Y204" s="106"/>
      <c r="Z204" s="106"/>
    </row>
    <row r="205" spans="12:26" ht="15.75" customHeight="1" x14ac:dyDescent="0.3">
      <c r="L205" s="109"/>
      <c r="M205" s="110"/>
      <c r="N205" s="110"/>
      <c r="Q205" s="110"/>
      <c r="R205" s="110"/>
      <c r="S205" s="110"/>
      <c r="W205" s="110"/>
      <c r="X205" s="110"/>
      <c r="Y205" s="106"/>
      <c r="Z205" s="106"/>
    </row>
    <row r="206" spans="12:26" ht="15.75" customHeight="1" x14ac:dyDescent="0.3">
      <c r="L206" s="109"/>
      <c r="M206" s="110"/>
      <c r="N206" s="110"/>
      <c r="Q206" s="110"/>
      <c r="R206" s="110"/>
      <c r="S206" s="110"/>
      <c r="W206" s="110"/>
      <c r="X206" s="110"/>
      <c r="Y206" s="106"/>
      <c r="Z206" s="106"/>
    </row>
    <row r="207" spans="12:26" ht="15.75" customHeight="1" x14ac:dyDescent="0.3">
      <c r="L207" s="109"/>
      <c r="M207" s="110"/>
      <c r="N207" s="110"/>
      <c r="Q207" s="110"/>
      <c r="R207" s="110"/>
      <c r="S207" s="110"/>
      <c r="W207" s="110"/>
      <c r="X207" s="110"/>
      <c r="Y207" s="106"/>
      <c r="Z207" s="106"/>
    </row>
    <row r="208" spans="12:26" ht="15.75" customHeight="1" x14ac:dyDescent="0.3">
      <c r="L208" s="109"/>
      <c r="M208" s="110"/>
      <c r="N208" s="110"/>
      <c r="Q208" s="110"/>
      <c r="R208" s="110"/>
      <c r="S208" s="110"/>
      <c r="W208" s="110"/>
      <c r="X208" s="110"/>
      <c r="Y208" s="106"/>
      <c r="Z208" s="106"/>
    </row>
    <row r="209" spans="12:26" ht="15.75" customHeight="1" x14ac:dyDescent="0.3">
      <c r="L209" s="109"/>
      <c r="M209" s="110"/>
      <c r="N209" s="110"/>
      <c r="Q209" s="110"/>
      <c r="R209" s="110"/>
      <c r="S209" s="110"/>
      <c r="W209" s="110"/>
      <c r="X209" s="110"/>
      <c r="Y209" s="106"/>
      <c r="Z209" s="106"/>
    </row>
    <row r="210" spans="12:26" ht="15.75" customHeight="1" x14ac:dyDescent="0.3">
      <c r="L210" s="109"/>
      <c r="M210" s="110"/>
      <c r="N210" s="110"/>
      <c r="Q210" s="110"/>
      <c r="R210" s="110"/>
      <c r="S210" s="110"/>
      <c r="W210" s="110"/>
      <c r="X210" s="110"/>
      <c r="Y210" s="106"/>
      <c r="Z210" s="106"/>
    </row>
    <row r="211" spans="12:26" ht="15.75" customHeight="1" x14ac:dyDescent="0.3">
      <c r="L211" s="109"/>
      <c r="M211" s="110"/>
      <c r="N211" s="110"/>
      <c r="Q211" s="110"/>
      <c r="R211" s="110"/>
      <c r="S211" s="110"/>
      <c r="W211" s="110"/>
      <c r="X211" s="110"/>
      <c r="Y211" s="106"/>
      <c r="Z211" s="106"/>
    </row>
    <row r="212" spans="12:26" ht="15.75" customHeight="1" x14ac:dyDescent="0.3">
      <c r="L212" s="109"/>
      <c r="M212" s="110"/>
      <c r="N212" s="110"/>
      <c r="Q212" s="110"/>
      <c r="R212" s="110"/>
      <c r="S212" s="110"/>
      <c r="W212" s="110"/>
      <c r="X212" s="110"/>
      <c r="Y212" s="106"/>
      <c r="Z212" s="106"/>
    </row>
    <row r="213" spans="12:26" ht="15.75" customHeight="1" x14ac:dyDescent="0.3">
      <c r="L213" s="109"/>
      <c r="M213" s="110"/>
      <c r="N213" s="110"/>
      <c r="Q213" s="110"/>
      <c r="R213" s="110"/>
      <c r="S213" s="110"/>
      <c r="W213" s="110"/>
      <c r="X213" s="110"/>
      <c r="Y213" s="106"/>
      <c r="Z213" s="106"/>
    </row>
    <row r="214" spans="12:26" ht="15.75" customHeight="1" x14ac:dyDescent="0.3">
      <c r="L214" s="109"/>
      <c r="M214" s="110"/>
      <c r="N214" s="110"/>
      <c r="Q214" s="110"/>
      <c r="R214" s="110"/>
      <c r="S214" s="110"/>
      <c r="W214" s="110"/>
      <c r="X214" s="110"/>
      <c r="Y214" s="106"/>
      <c r="Z214" s="106"/>
    </row>
    <row r="215" spans="12:26" ht="15.75" customHeight="1" x14ac:dyDescent="0.3">
      <c r="L215" s="109"/>
      <c r="M215" s="110"/>
      <c r="N215" s="110"/>
      <c r="Q215" s="110"/>
      <c r="R215" s="110"/>
      <c r="S215" s="110"/>
      <c r="W215" s="110"/>
      <c r="X215" s="110"/>
      <c r="Y215" s="106"/>
      <c r="Z215" s="106"/>
    </row>
    <row r="216" spans="12:26" ht="15.75" customHeight="1" x14ac:dyDescent="0.3">
      <c r="L216" s="109"/>
      <c r="M216" s="110"/>
      <c r="N216" s="110"/>
      <c r="Q216" s="110"/>
      <c r="R216" s="110"/>
      <c r="S216" s="110"/>
      <c r="W216" s="110"/>
      <c r="X216" s="110"/>
      <c r="Y216" s="106"/>
      <c r="Z216" s="106"/>
    </row>
    <row r="217" spans="12:26" ht="15.75" customHeight="1" x14ac:dyDescent="0.3">
      <c r="L217" s="109"/>
      <c r="M217" s="110"/>
      <c r="N217" s="110"/>
      <c r="Q217" s="110"/>
      <c r="R217" s="110"/>
      <c r="S217" s="110"/>
      <c r="W217" s="110"/>
      <c r="X217" s="110"/>
      <c r="Y217" s="106"/>
      <c r="Z217" s="106"/>
    </row>
    <row r="218" spans="12:26" ht="15.75" customHeight="1" x14ac:dyDescent="0.3">
      <c r="L218" s="109"/>
      <c r="M218" s="110"/>
      <c r="N218" s="110"/>
      <c r="Q218" s="110"/>
      <c r="R218" s="110"/>
      <c r="S218" s="110"/>
      <c r="W218" s="110"/>
      <c r="X218" s="110"/>
      <c r="Y218" s="106"/>
      <c r="Z218" s="106"/>
    </row>
    <row r="219" spans="12:26" ht="15.75" customHeight="1" x14ac:dyDescent="0.3">
      <c r="L219" s="109"/>
      <c r="M219" s="110"/>
      <c r="N219" s="110"/>
      <c r="Q219" s="110"/>
      <c r="R219" s="110"/>
      <c r="S219" s="110"/>
      <c r="W219" s="110"/>
      <c r="X219" s="110"/>
      <c r="Y219" s="106"/>
      <c r="Z219" s="106"/>
    </row>
    <row r="220" spans="12:26" ht="15.75" customHeight="1" x14ac:dyDescent="0.3">
      <c r="L220" s="109"/>
      <c r="M220" s="110"/>
      <c r="N220" s="110"/>
      <c r="Q220" s="110"/>
      <c r="R220" s="110"/>
      <c r="S220" s="110"/>
      <c r="W220" s="110"/>
      <c r="X220" s="110"/>
      <c r="Y220" s="106"/>
      <c r="Z220" s="106"/>
    </row>
    <row r="221" spans="12:26" ht="15.75" customHeight="1" x14ac:dyDescent="0.3">
      <c r="L221" s="109"/>
      <c r="M221" s="110"/>
      <c r="N221" s="110"/>
      <c r="Q221" s="110"/>
      <c r="R221" s="110"/>
      <c r="S221" s="110"/>
      <c r="W221" s="110"/>
      <c r="X221" s="110"/>
      <c r="Y221" s="106"/>
      <c r="Z221" s="106"/>
    </row>
    <row r="222" spans="12:26" ht="15.75" customHeight="1" x14ac:dyDescent="0.3">
      <c r="L222" s="109"/>
      <c r="M222" s="110"/>
      <c r="N222" s="110"/>
      <c r="Q222" s="110"/>
      <c r="R222" s="110"/>
      <c r="S222" s="110"/>
      <c r="W222" s="110"/>
      <c r="X222" s="110"/>
      <c r="Y222" s="106"/>
      <c r="Z222" s="106"/>
    </row>
    <row r="223" spans="12:26" ht="15.75" customHeight="1" x14ac:dyDescent="0.3">
      <c r="L223" s="109"/>
      <c r="M223" s="110"/>
      <c r="N223" s="110"/>
      <c r="Q223" s="110"/>
      <c r="R223" s="110"/>
      <c r="S223" s="110"/>
      <c r="W223" s="110"/>
      <c r="X223" s="110"/>
      <c r="Y223" s="106"/>
      <c r="Z223" s="106"/>
    </row>
    <row r="224" spans="12:26" ht="15.75" customHeight="1" x14ac:dyDescent="0.3">
      <c r="L224" s="109"/>
      <c r="M224" s="110"/>
      <c r="N224" s="110"/>
      <c r="Q224" s="110"/>
      <c r="R224" s="110"/>
      <c r="S224" s="110"/>
      <c r="W224" s="110"/>
      <c r="X224" s="110"/>
      <c r="Y224" s="106"/>
      <c r="Z224" s="106"/>
    </row>
    <row r="225" spans="12:26" ht="15.75" customHeight="1" x14ac:dyDescent="0.3">
      <c r="L225" s="109"/>
      <c r="M225" s="110"/>
      <c r="N225" s="110"/>
      <c r="Q225" s="110"/>
      <c r="R225" s="110"/>
      <c r="S225" s="110"/>
      <c r="W225" s="110"/>
      <c r="X225" s="110"/>
      <c r="Y225" s="106"/>
      <c r="Z225" s="106"/>
    </row>
    <row r="226" spans="12:26" ht="15.75" customHeight="1" x14ac:dyDescent="0.3">
      <c r="L226" s="109"/>
      <c r="M226" s="110"/>
      <c r="N226" s="110"/>
      <c r="Q226" s="110"/>
      <c r="R226" s="110"/>
      <c r="S226" s="110"/>
      <c r="W226" s="110"/>
      <c r="X226" s="110"/>
      <c r="Y226" s="106"/>
      <c r="Z226" s="106"/>
    </row>
    <row r="227" spans="12:26" ht="15.75" customHeight="1" x14ac:dyDescent="0.3">
      <c r="L227" s="109"/>
      <c r="M227" s="110"/>
      <c r="N227" s="110"/>
      <c r="Q227" s="110"/>
      <c r="R227" s="110"/>
      <c r="S227" s="110"/>
      <c r="W227" s="110"/>
      <c r="X227" s="110"/>
      <c r="Y227" s="106"/>
      <c r="Z227" s="106"/>
    </row>
    <row r="228" spans="12:26" ht="15.75" customHeight="1" x14ac:dyDescent="0.3">
      <c r="L228" s="109"/>
      <c r="M228" s="110"/>
      <c r="N228" s="110"/>
      <c r="Q228" s="110"/>
      <c r="R228" s="110"/>
      <c r="S228" s="110"/>
      <c r="W228" s="110"/>
      <c r="X228" s="110"/>
      <c r="Y228" s="106"/>
      <c r="Z228" s="106"/>
    </row>
    <row r="229" spans="12:26" ht="15.75" customHeight="1" x14ac:dyDescent="0.3">
      <c r="L229" s="109"/>
      <c r="M229" s="110"/>
      <c r="N229" s="110"/>
      <c r="Q229" s="110"/>
      <c r="R229" s="110"/>
      <c r="S229" s="110"/>
      <c r="W229" s="110"/>
      <c r="X229" s="110"/>
      <c r="Y229" s="106"/>
      <c r="Z229" s="106"/>
    </row>
    <row r="230" spans="12:26" ht="15.75" customHeight="1" x14ac:dyDescent="0.3">
      <c r="L230" s="109"/>
      <c r="M230" s="110"/>
      <c r="N230" s="110"/>
      <c r="Q230" s="110"/>
      <c r="R230" s="110"/>
      <c r="S230" s="110"/>
      <c r="W230" s="110"/>
      <c r="X230" s="110"/>
      <c r="Y230" s="106"/>
      <c r="Z230" s="106"/>
    </row>
    <row r="231" spans="12:26" ht="15.75" customHeight="1" x14ac:dyDescent="0.3">
      <c r="L231" s="109"/>
      <c r="M231" s="110"/>
      <c r="N231" s="110"/>
      <c r="Q231" s="110"/>
      <c r="R231" s="110"/>
      <c r="S231" s="110"/>
      <c r="W231" s="110"/>
      <c r="X231" s="110"/>
      <c r="Y231" s="106"/>
      <c r="Z231" s="106"/>
    </row>
    <row r="232" spans="12:26" ht="15.75" customHeight="1" x14ac:dyDescent="0.3">
      <c r="L232" s="109"/>
      <c r="M232" s="110"/>
      <c r="N232" s="110"/>
      <c r="Q232" s="110"/>
      <c r="R232" s="110"/>
      <c r="S232" s="110"/>
      <c r="W232" s="110"/>
      <c r="X232" s="110"/>
      <c r="Y232" s="106"/>
      <c r="Z232" s="106"/>
    </row>
    <row r="233" spans="12:26" ht="15.75" customHeight="1" x14ac:dyDescent="0.3">
      <c r="L233" s="109"/>
      <c r="M233" s="110"/>
      <c r="N233" s="110"/>
      <c r="Q233" s="110"/>
      <c r="R233" s="110"/>
      <c r="S233" s="110"/>
      <c r="W233" s="110"/>
      <c r="X233" s="110"/>
      <c r="Y233" s="106"/>
      <c r="Z233" s="106"/>
    </row>
    <row r="234" spans="12:26" ht="15.75" customHeight="1" x14ac:dyDescent="0.3">
      <c r="L234" s="109"/>
      <c r="M234" s="110"/>
      <c r="N234" s="110"/>
      <c r="Q234" s="110"/>
      <c r="R234" s="110"/>
      <c r="S234" s="110"/>
      <c r="W234" s="110"/>
      <c r="X234" s="110"/>
      <c r="Y234" s="106"/>
      <c r="Z234" s="106"/>
    </row>
    <row r="235" spans="12:26" ht="15.75" customHeight="1" x14ac:dyDescent="0.3">
      <c r="L235" s="109"/>
      <c r="M235" s="110"/>
      <c r="N235" s="110"/>
      <c r="Q235" s="110"/>
      <c r="R235" s="110"/>
      <c r="S235" s="110"/>
      <c r="W235" s="110"/>
      <c r="X235" s="110"/>
      <c r="Y235" s="106"/>
      <c r="Z235" s="106"/>
    </row>
    <row r="236" spans="12:26" ht="15.75" customHeight="1" x14ac:dyDescent="0.3">
      <c r="L236" s="109"/>
      <c r="M236" s="110"/>
      <c r="N236" s="110"/>
      <c r="Q236" s="110"/>
      <c r="R236" s="110"/>
      <c r="S236" s="110"/>
      <c r="W236" s="110"/>
      <c r="X236" s="110"/>
      <c r="Y236" s="106"/>
      <c r="Z236" s="106"/>
    </row>
    <row r="237" spans="12:26" ht="15.75" customHeight="1" x14ac:dyDescent="0.3">
      <c r="L237" s="109"/>
      <c r="M237" s="110"/>
      <c r="N237" s="110"/>
      <c r="Q237" s="110"/>
      <c r="R237" s="110"/>
      <c r="S237" s="110"/>
      <c r="W237" s="110"/>
      <c r="X237" s="110"/>
      <c r="Y237" s="106"/>
      <c r="Z237" s="106"/>
    </row>
    <row r="238" spans="12:26" ht="15.75" customHeight="1" x14ac:dyDescent="0.3">
      <c r="L238" s="109"/>
      <c r="M238" s="110"/>
      <c r="N238" s="110"/>
      <c r="Q238" s="110"/>
      <c r="R238" s="110"/>
      <c r="S238" s="110"/>
      <c r="W238" s="110"/>
      <c r="X238" s="110"/>
      <c r="Y238" s="106"/>
      <c r="Z238" s="106"/>
    </row>
    <row r="239" spans="12:26" ht="15.75" customHeight="1" x14ac:dyDescent="0.3">
      <c r="L239" s="109"/>
      <c r="M239" s="110"/>
      <c r="N239" s="110"/>
      <c r="Q239" s="110"/>
      <c r="R239" s="110"/>
      <c r="S239" s="110"/>
      <c r="W239" s="110"/>
      <c r="X239" s="110"/>
      <c r="Y239" s="106"/>
      <c r="Z239" s="106"/>
    </row>
    <row r="240" spans="12:26" ht="15.75" customHeight="1" x14ac:dyDescent="0.3">
      <c r="L240" s="109"/>
      <c r="M240" s="110"/>
      <c r="N240" s="110"/>
      <c r="Q240" s="110"/>
      <c r="R240" s="110"/>
      <c r="S240" s="110"/>
      <c r="W240" s="110"/>
      <c r="X240" s="110"/>
      <c r="Y240" s="106"/>
      <c r="Z240" s="106"/>
    </row>
    <row r="241" spans="12:26" ht="15.75" customHeight="1" x14ac:dyDescent="0.3">
      <c r="L241" s="109"/>
      <c r="M241" s="110"/>
      <c r="N241" s="110"/>
      <c r="Q241" s="110"/>
      <c r="R241" s="110"/>
      <c r="S241" s="110"/>
      <c r="W241" s="110"/>
      <c r="X241" s="110"/>
      <c r="Y241" s="106"/>
      <c r="Z241" s="106"/>
    </row>
    <row r="242" spans="12:26" ht="15.75" customHeight="1" x14ac:dyDescent="0.3">
      <c r="L242" s="109"/>
      <c r="M242" s="110"/>
      <c r="N242" s="110"/>
      <c r="Q242" s="110"/>
      <c r="R242" s="110"/>
      <c r="S242" s="110"/>
      <c r="W242" s="110"/>
      <c r="X242" s="110"/>
      <c r="Y242" s="106"/>
      <c r="Z242" s="106"/>
    </row>
    <row r="243" spans="12:26" ht="15.75" customHeight="1" x14ac:dyDescent="0.3">
      <c r="L243" s="109"/>
      <c r="M243" s="110"/>
      <c r="N243" s="110"/>
      <c r="Q243" s="110"/>
      <c r="R243" s="110"/>
      <c r="S243" s="110"/>
      <c r="W243" s="110"/>
      <c r="X243" s="110"/>
      <c r="Y243" s="106"/>
      <c r="Z243" s="106"/>
    </row>
    <row r="244" spans="12:26" ht="15.75" customHeight="1" x14ac:dyDescent="0.3">
      <c r="L244" s="109"/>
      <c r="M244" s="110"/>
      <c r="N244" s="110"/>
      <c r="Q244" s="110"/>
      <c r="R244" s="110"/>
      <c r="S244" s="110"/>
      <c r="W244" s="110"/>
      <c r="X244" s="110"/>
      <c r="Y244" s="106"/>
      <c r="Z244" s="106"/>
    </row>
    <row r="245" spans="12:26" ht="15.75" customHeight="1" x14ac:dyDescent="0.3">
      <c r="L245" s="109"/>
      <c r="M245" s="110"/>
      <c r="N245" s="110"/>
      <c r="Q245" s="110"/>
      <c r="R245" s="110"/>
      <c r="S245" s="110"/>
      <c r="W245" s="110"/>
      <c r="X245" s="110"/>
      <c r="Y245" s="106"/>
      <c r="Z245" s="106"/>
    </row>
    <row r="246" spans="12:26" ht="15.75" customHeight="1" x14ac:dyDescent="0.3">
      <c r="L246" s="109"/>
      <c r="M246" s="110"/>
      <c r="N246" s="110"/>
      <c r="Q246" s="110"/>
      <c r="R246" s="110"/>
      <c r="S246" s="110"/>
      <c r="W246" s="110"/>
      <c r="X246" s="110"/>
      <c r="Y246" s="106"/>
      <c r="Z246" s="106"/>
    </row>
    <row r="247" spans="12:26" ht="15.75" customHeight="1" x14ac:dyDescent="0.3">
      <c r="L247" s="109"/>
      <c r="M247" s="110"/>
      <c r="N247" s="110"/>
      <c r="Q247" s="110"/>
      <c r="R247" s="110"/>
      <c r="S247" s="110"/>
      <c r="W247" s="110"/>
      <c r="X247" s="110"/>
      <c r="Y247" s="106"/>
      <c r="Z247" s="106"/>
    </row>
    <row r="248" spans="12:26" ht="15.75" customHeight="1" x14ac:dyDescent="0.3">
      <c r="L248" s="109"/>
      <c r="M248" s="110"/>
      <c r="N248" s="110"/>
      <c r="Q248" s="110"/>
      <c r="R248" s="110"/>
      <c r="S248" s="110"/>
      <c r="W248" s="110"/>
      <c r="X248" s="110"/>
      <c r="Y248" s="106"/>
      <c r="Z248" s="106"/>
    </row>
    <row r="249" spans="12:26" ht="15.75" customHeight="1" x14ac:dyDescent="0.3">
      <c r="L249" s="109"/>
      <c r="M249" s="110"/>
      <c r="N249" s="110"/>
      <c r="Q249" s="110"/>
      <c r="R249" s="110"/>
      <c r="S249" s="110"/>
      <c r="W249" s="110"/>
      <c r="X249" s="110"/>
      <c r="Y249" s="106"/>
      <c r="Z249" s="106"/>
    </row>
    <row r="250" spans="12:26" ht="15.75" customHeight="1" x14ac:dyDescent="0.3">
      <c r="L250" s="109"/>
      <c r="M250" s="110"/>
      <c r="N250" s="110"/>
      <c r="Q250" s="110"/>
      <c r="R250" s="110"/>
      <c r="S250" s="110"/>
      <c r="W250" s="110"/>
      <c r="X250" s="110"/>
      <c r="Y250" s="106"/>
      <c r="Z250" s="106"/>
    </row>
    <row r="251" spans="12:26" ht="15.75" customHeight="1" x14ac:dyDescent="0.3">
      <c r="L251" s="109"/>
      <c r="M251" s="110"/>
      <c r="N251" s="110"/>
      <c r="Q251" s="110"/>
      <c r="R251" s="110"/>
      <c r="S251" s="110"/>
      <c r="W251" s="110"/>
      <c r="X251" s="110"/>
      <c r="Y251" s="106"/>
      <c r="Z251" s="106"/>
    </row>
    <row r="252" spans="12:26" ht="15.75" customHeight="1" x14ac:dyDescent="0.3">
      <c r="L252" s="109"/>
      <c r="M252" s="110"/>
      <c r="N252" s="110"/>
      <c r="Q252" s="110"/>
      <c r="R252" s="110"/>
      <c r="S252" s="110"/>
      <c r="W252" s="110"/>
      <c r="X252" s="110"/>
      <c r="Y252" s="106"/>
      <c r="Z252" s="106"/>
    </row>
    <row r="253" spans="12:26" ht="15.75" customHeight="1" x14ac:dyDescent="0.3">
      <c r="L253" s="109"/>
      <c r="M253" s="110"/>
      <c r="N253" s="110"/>
      <c r="Q253" s="110"/>
      <c r="R253" s="110"/>
      <c r="S253" s="110"/>
      <c r="W253" s="110"/>
      <c r="X253" s="110"/>
      <c r="Y253" s="106"/>
      <c r="Z253" s="106"/>
    </row>
    <row r="254" spans="12:26" ht="15.75" customHeight="1" x14ac:dyDescent="0.3">
      <c r="L254" s="109"/>
      <c r="M254" s="110"/>
      <c r="N254" s="110"/>
      <c r="Q254" s="110"/>
      <c r="R254" s="110"/>
      <c r="S254" s="110"/>
      <c r="W254" s="110"/>
      <c r="X254" s="110"/>
      <c r="Y254" s="106"/>
      <c r="Z254" s="106"/>
    </row>
    <row r="255" spans="12:26" ht="15.75" customHeight="1" x14ac:dyDescent="0.3">
      <c r="L255" s="109"/>
      <c r="M255" s="110"/>
      <c r="N255" s="110"/>
      <c r="Q255" s="110"/>
      <c r="R255" s="110"/>
      <c r="S255" s="110"/>
      <c r="W255" s="110"/>
      <c r="X255" s="110"/>
      <c r="Y255" s="106"/>
      <c r="Z255" s="106"/>
    </row>
    <row r="256" spans="12:26" ht="15.75" customHeight="1" x14ac:dyDescent="0.3">
      <c r="L256" s="109"/>
      <c r="M256" s="110"/>
      <c r="N256" s="110"/>
      <c r="Q256" s="110"/>
      <c r="R256" s="110"/>
      <c r="S256" s="110"/>
      <c r="W256" s="110"/>
      <c r="X256" s="110"/>
      <c r="Y256" s="106"/>
      <c r="Z256" s="106"/>
    </row>
    <row r="257" spans="12:26" ht="15.75" customHeight="1" x14ac:dyDescent="0.3">
      <c r="L257" s="109"/>
      <c r="M257" s="110"/>
      <c r="N257" s="110"/>
      <c r="Q257" s="110"/>
      <c r="R257" s="110"/>
      <c r="S257" s="110"/>
      <c r="W257" s="110"/>
      <c r="X257" s="110"/>
      <c r="Y257" s="106"/>
      <c r="Z257" s="106"/>
    </row>
    <row r="258" spans="12:26" ht="15.75" customHeight="1" x14ac:dyDescent="0.3">
      <c r="L258" s="109"/>
      <c r="M258" s="110"/>
      <c r="N258" s="110"/>
      <c r="Q258" s="110"/>
      <c r="R258" s="110"/>
      <c r="S258" s="110"/>
      <c r="W258" s="110"/>
      <c r="X258" s="110"/>
      <c r="Y258" s="106"/>
      <c r="Z258" s="106"/>
    </row>
    <row r="259" spans="12:26" ht="15.75" customHeight="1" x14ac:dyDescent="0.3">
      <c r="L259" s="109"/>
      <c r="M259" s="110"/>
      <c r="N259" s="110"/>
      <c r="Q259" s="110"/>
      <c r="R259" s="110"/>
      <c r="S259" s="110"/>
      <c r="W259" s="110"/>
      <c r="X259" s="110"/>
      <c r="Y259" s="106"/>
      <c r="Z259" s="106"/>
    </row>
    <row r="260" spans="12:26" ht="15.75" customHeight="1" x14ac:dyDescent="0.3">
      <c r="L260" s="109"/>
      <c r="M260" s="110"/>
      <c r="N260" s="110"/>
      <c r="Q260" s="110"/>
      <c r="R260" s="110"/>
      <c r="S260" s="110"/>
      <c r="W260" s="110"/>
      <c r="X260" s="110"/>
      <c r="Y260" s="106"/>
      <c r="Z260" s="106"/>
    </row>
    <row r="261" spans="12:26" ht="15.75" customHeight="1" x14ac:dyDescent="0.3">
      <c r="L261" s="109"/>
      <c r="M261" s="110"/>
      <c r="N261" s="110"/>
      <c r="Q261" s="110"/>
      <c r="R261" s="110"/>
      <c r="S261" s="110"/>
      <c r="W261" s="110"/>
      <c r="X261" s="110"/>
      <c r="Y261" s="106"/>
      <c r="Z261" s="106"/>
    </row>
    <row r="262" spans="12:26" ht="15.75" customHeight="1" x14ac:dyDescent="0.3">
      <c r="L262" s="109"/>
      <c r="M262" s="110"/>
      <c r="N262" s="110"/>
      <c r="Q262" s="110"/>
      <c r="R262" s="110"/>
      <c r="S262" s="110"/>
      <c r="W262" s="110"/>
      <c r="X262" s="110"/>
      <c r="Y262" s="106"/>
      <c r="Z262" s="106"/>
    </row>
    <row r="263" spans="12:26" ht="15.75" customHeight="1" x14ac:dyDescent="0.3">
      <c r="L263" s="109"/>
      <c r="M263" s="110"/>
      <c r="N263" s="110"/>
      <c r="Q263" s="110"/>
      <c r="R263" s="110"/>
      <c r="S263" s="110"/>
      <c r="W263" s="110"/>
      <c r="X263" s="110"/>
      <c r="Y263" s="106"/>
      <c r="Z263" s="106"/>
    </row>
    <row r="264" spans="12:26" ht="15.75" customHeight="1" x14ac:dyDescent="0.3">
      <c r="L264" s="109"/>
      <c r="M264" s="110"/>
      <c r="N264" s="110"/>
      <c r="Q264" s="110"/>
      <c r="R264" s="110"/>
      <c r="S264" s="110"/>
      <c r="W264" s="110"/>
      <c r="X264" s="110"/>
      <c r="Y264" s="106"/>
      <c r="Z264" s="106"/>
    </row>
    <row r="265" spans="12:26" ht="15.75" customHeight="1" x14ac:dyDescent="0.3">
      <c r="L265" s="109"/>
      <c r="M265" s="110"/>
      <c r="N265" s="110"/>
      <c r="Q265" s="110"/>
      <c r="R265" s="110"/>
      <c r="S265" s="110"/>
      <c r="W265" s="110"/>
      <c r="X265" s="110"/>
      <c r="Y265" s="106"/>
      <c r="Z265" s="106"/>
    </row>
    <row r="266" spans="12:26" ht="15.75" customHeight="1" x14ac:dyDescent="0.3">
      <c r="L266" s="109"/>
      <c r="M266" s="110"/>
      <c r="N266" s="110"/>
      <c r="Q266" s="110"/>
      <c r="R266" s="110"/>
      <c r="S266" s="110"/>
      <c r="W266" s="110"/>
      <c r="X266" s="110"/>
      <c r="Y266" s="106"/>
      <c r="Z266" s="106"/>
    </row>
    <row r="267" spans="12:26" ht="15.75" customHeight="1" x14ac:dyDescent="0.3">
      <c r="L267" s="109"/>
      <c r="M267" s="110"/>
      <c r="N267" s="110"/>
      <c r="Q267" s="110"/>
      <c r="R267" s="110"/>
      <c r="S267" s="110"/>
      <c r="W267" s="110"/>
      <c r="X267" s="110"/>
      <c r="Y267" s="106"/>
      <c r="Z267" s="106"/>
    </row>
    <row r="268" spans="12:26" ht="15.75" customHeight="1" x14ac:dyDescent="0.3">
      <c r="L268" s="109"/>
      <c r="M268" s="110"/>
      <c r="N268" s="110"/>
      <c r="Q268" s="110"/>
      <c r="R268" s="110"/>
      <c r="S268" s="110"/>
      <c r="W268" s="110"/>
      <c r="X268" s="110"/>
      <c r="Y268" s="106"/>
      <c r="Z268" s="106"/>
    </row>
    <row r="269" spans="12:26" ht="15.75" customHeight="1" x14ac:dyDescent="0.3">
      <c r="L269" s="109"/>
      <c r="M269" s="110"/>
      <c r="N269" s="110"/>
      <c r="Q269" s="110"/>
      <c r="R269" s="110"/>
      <c r="S269" s="110"/>
      <c r="W269" s="110"/>
      <c r="X269" s="110"/>
      <c r="Y269" s="106"/>
      <c r="Z269" s="106"/>
    </row>
    <row r="270" spans="12:26" ht="15.75" customHeight="1" x14ac:dyDescent="0.3">
      <c r="L270" s="109"/>
      <c r="M270" s="110"/>
      <c r="N270" s="110"/>
      <c r="Q270" s="110"/>
      <c r="R270" s="110"/>
      <c r="S270" s="110"/>
      <c r="W270" s="110"/>
      <c r="X270" s="110"/>
      <c r="Y270" s="106"/>
      <c r="Z270" s="106"/>
    </row>
    <row r="271" spans="12:26" ht="15.75" customHeight="1" x14ac:dyDescent="0.3">
      <c r="L271" s="109"/>
      <c r="M271" s="110"/>
      <c r="N271" s="110"/>
      <c r="Q271" s="110"/>
      <c r="R271" s="110"/>
      <c r="S271" s="110"/>
      <c r="W271" s="110"/>
      <c r="X271" s="110"/>
      <c r="Y271" s="106"/>
      <c r="Z271" s="106"/>
    </row>
    <row r="272" spans="12:26" ht="15.75" customHeight="1" x14ac:dyDescent="0.3">
      <c r="L272" s="109"/>
      <c r="M272" s="110"/>
      <c r="N272" s="110"/>
      <c r="Q272" s="110"/>
      <c r="R272" s="110"/>
      <c r="S272" s="110"/>
      <c r="W272" s="110"/>
      <c r="X272" s="110"/>
      <c r="Y272" s="106"/>
      <c r="Z272" s="106"/>
    </row>
    <row r="273" spans="12:26" ht="15.75" customHeight="1" x14ac:dyDescent="0.3">
      <c r="L273" s="109"/>
      <c r="M273" s="110"/>
      <c r="N273" s="110"/>
      <c r="Q273" s="110"/>
      <c r="R273" s="110"/>
      <c r="S273" s="110"/>
      <c r="W273" s="110"/>
      <c r="X273" s="110"/>
      <c r="Y273" s="106"/>
      <c r="Z273" s="106"/>
    </row>
    <row r="274" spans="12:26" ht="15.75" customHeight="1" x14ac:dyDescent="0.3">
      <c r="L274" s="109"/>
      <c r="M274" s="110"/>
      <c r="N274" s="110"/>
      <c r="Q274" s="110"/>
      <c r="R274" s="110"/>
      <c r="S274" s="110"/>
      <c r="W274" s="110"/>
      <c r="X274" s="110"/>
      <c r="Y274" s="106"/>
      <c r="Z274" s="106"/>
    </row>
    <row r="275" spans="12:26" ht="15.75" customHeight="1" x14ac:dyDescent="0.3">
      <c r="L275" s="109"/>
      <c r="M275" s="110"/>
      <c r="N275" s="110"/>
      <c r="Q275" s="110"/>
      <c r="R275" s="110"/>
      <c r="S275" s="110"/>
      <c r="W275" s="110"/>
      <c r="X275" s="110"/>
      <c r="Y275" s="106"/>
      <c r="Z275" s="106"/>
    </row>
    <row r="276" spans="12:26" ht="15.75" customHeight="1" x14ac:dyDescent="0.3">
      <c r="L276" s="109"/>
      <c r="M276" s="110"/>
      <c r="N276" s="110"/>
      <c r="Q276" s="110"/>
      <c r="R276" s="110"/>
      <c r="S276" s="110"/>
      <c r="W276" s="110"/>
      <c r="X276" s="110"/>
      <c r="Y276" s="106"/>
      <c r="Z276" s="106"/>
    </row>
    <row r="277" spans="12:26" ht="15.75" customHeight="1" x14ac:dyDescent="0.3">
      <c r="L277" s="109"/>
      <c r="M277" s="110"/>
      <c r="N277" s="110"/>
      <c r="Q277" s="110"/>
      <c r="R277" s="110"/>
      <c r="S277" s="110"/>
      <c r="W277" s="110"/>
      <c r="X277" s="110"/>
      <c r="Y277" s="106"/>
      <c r="Z277" s="106"/>
    </row>
    <row r="278" spans="12:26" ht="15.75" customHeight="1" x14ac:dyDescent="0.3">
      <c r="L278" s="109"/>
      <c r="M278" s="110"/>
      <c r="N278" s="110"/>
      <c r="Q278" s="110"/>
      <c r="R278" s="110"/>
      <c r="S278" s="110"/>
      <c r="W278" s="110"/>
      <c r="X278" s="110"/>
      <c r="Y278" s="106"/>
      <c r="Z278" s="106"/>
    </row>
    <row r="279" spans="12:26" ht="15.75" customHeight="1" x14ac:dyDescent="0.3">
      <c r="L279" s="109"/>
      <c r="M279" s="110"/>
      <c r="N279" s="110"/>
      <c r="Q279" s="110"/>
      <c r="R279" s="110"/>
      <c r="S279" s="110"/>
      <c r="W279" s="110"/>
      <c r="X279" s="110"/>
      <c r="Y279" s="106"/>
      <c r="Z279" s="106"/>
    </row>
    <row r="280" spans="12:26" ht="15.75" customHeight="1" x14ac:dyDescent="0.3">
      <c r="L280" s="109"/>
      <c r="M280" s="110"/>
      <c r="N280" s="110"/>
      <c r="Q280" s="110"/>
      <c r="R280" s="110"/>
      <c r="S280" s="110"/>
      <c r="W280" s="110"/>
      <c r="X280" s="110"/>
      <c r="Y280" s="106"/>
      <c r="Z280" s="106"/>
    </row>
    <row r="281" spans="12:26" ht="15.75" customHeight="1" x14ac:dyDescent="0.3">
      <c r="L281" s="109"/>
      <c r="M281" s="110"/>
      <c r="N281" s="110"/>
      <c r="Q281" s="110"/>
      <c r="R281" s="110"/>
      <c r="S281" s="110"/>
      <c r="W281" s="110"/>
      <c r="X281" s="110"/>
      <c r="Y281" s="106"/>
      <c r="Z281" s="106"/>
    </row>
    <row r="282" spans="12:26" ht="15.75" customHeight="1" x14ac:dyDescent="0.3">
      <c r="L282" s="109"/>
      <c r="M282" s="110"/>
      <c r="N282" s="110"/>
      <c r="Q282" s="110"/>
      <c r="R282" s="110"/>
      <c r="S282" s="110"/>
      <c r="W282" s="110"/>
      <c r="X282" s="110"/>
      <c r="Y282" s="106"/>
      <c r="Z282" s="106"/>
    </row>
    <row r="283" spans="12:26" ht="15.75" customHeight="1" x14ac:dyDescent="0.3">
      <c r="L283" s="109"/>
      <c r="M283" s="110"/>
      <c r="N283" s="110"/>
      <c r="Q283" s="110"/>
      <c r="R283" s="110"/>
      <c r="S283" s="110"/>
      <c r="W283" s="110"/>
      <c r="X283" s="110"/>
      <c r="Y283" s="106"/>
      <c r="Z283" s="106"/>
    </row>
    <row r="284" spans="12:26" ht="15.75" customHeight="1" x14ac:dyDescent="0.3">
      <c r="L284" s="109"/>
      <c r="M284" s="110"/>
      <c r="N284" s="110"/>
      <c r="Q284" s="110"/>
      <c r="R284" s="110"/>
      <c r="S284" s="110"/>
      <c r="W284" s="110"/>
      <c r="X284" s="110"/>
      <c r="Y284" s="106"/>
      <c r="Z284" s="106"/>
    </row>
    <row r="285" spans="12:26" ht="15.75" customHeight="1" x14ac:dyDescent="0.3">
      <c r="L285" s="109"/>
      <c r="M285" s="110"/>
      <c r="N285" s="110"/>
      <c r="Q285" s="110"/>
      <c r="R285" s="110"/>
      <c r="S285" s="110"/>
      <c r="W285" s="110"/>
      <c r="X285" s="110"/>
      <c r="Y285" s="106"/>
      <c r="Z285" s="106"/>
    </row>
    <row r="286" spans="12:26" ht="15.75" customHeight="1" x14ac:dyDescent="0.3">
      <c r="L286" s="109"/>
      <c r="M286" s="110"/>
      <c r="N286" s="110"/>
      <c r="Q286" s="110"/>
      <c r="R286" s="110"/>
      <c r="S286" s="110"/>
      <c r="W286" s="110"/>
      <c r="X286" s="110"/>
      <c r="Y286" s="106"/>
      <c r="Z286" s="106"/>
    </row>
    <row r="287" spans="12:26" ht="15.75" customHeight="1" x14ac:dyDescent="0.3">
      <c r="L287" s="109"/>
      <c r="M287" s="110"/>
      <c r="N287" s="110"/>
      <c r="Q287" s="110"/>
      <c r="R287" s="110"/>
      <c r="S287" s="110"/>
      <c r="W287" s="110"/>
      <c r="X287" s="110"/>
      <c r="Y287" s="106"/>
      <c r="Z287" s="106"/>
    </row>
    <row r="288" spans="12:26" ht="15.75" customHeight="1" x14ac:dyDescent="0.3">
      <c r="L288" s="109"/>
      <c r="M288" s="110"/>
      <c r="N288" s="110"/>
      <c r="Q288" s="110"/>
      <c r="R288" s="110"/>
      <c r="S288" s="110"/>
      <c r="W288" s="110"/>
      <c r="X288" s="110"/>
      <c r="Y288" s="106"/>
      <c r="Z288" s="106"/>
    </row>
    <row r="289" spans="12:26" ht="15.75" customHeight="1" x14ac:dyDescent="0.3">
      <c r="L289" s="109"/>
      <c r="M289" s="110"/>
      <c r="N289" s="110"/>
      <c r="Q289" s="110"/>
      <c r="R289" s="110"/>
      <c r="S289" s="110"/>
      <c r="W289" s="110"/>
      <c r="X289" s="110"/>
      <c r="Y289" s="106"/>
      <c r="Z289" s="106"/>
    </row>
    <row r="290" spans="12:26" ht="15.75" customHeight="1" x14ac:dyDescent="0.3">
      <c r="L290" s="109"/>
      <c r="M290" s="110"/>
      <c r="N290" s="110"/>
      <c r="Q290" s="110"/>
      <c r="R290" s="110"/>
      <c r="S290" s="110"/>
      <c r="W290" s="110"/>
      <c r="X290" s="110"/>
      <c r="Y290" s="106"/>
      <c r="Z290" s="106"/>
    </row>
    <row r="291" spans="12:26" ht="15.75" customHeight="1" x14ac:dyDescent="0.3">
      <c r="L291" s="109"/>
      <c r="M291" s="110"/>
      <c r="N291" s="110"/>
      <c r="Q291" s="110"/>
      <c r="R291" s="110"/>
      <c r="S291" s="110"/>
      <c r="W291" s="110"/>
      <c r="X291" s="110"/>
      <c r="Y291" s="106"/>
      <c r="Z291" s="106"/>
    </row>
    <row r="292" spans="12:26" ht="15.75" customHeight="1" x14ac:dyDescent="0.3">
      <c r="L292" s="109"/>
      <c r="M292" s="110"/>
      <c r="N292" s="110"/>
      <c r="Q292" s="110"/>
      <c r="R292" s="110"/>
      <c r="S292" s="110"/>
      <c r="W292" s="110"/>
      <c r="X292" s="110"/>
      <c r="Y292" s="106"/>
      <c r="Z292" s="106"/>
    </row>
    <row r="293" spans="12:26" ht="15.75" customHeight="1" x14ac:dyDescent="0.3">
      <c r="L293" s="109"/>
      <c r="M293" s="110"/>
      <c r="N293" s="110"/>
      <c r="Q293" s="110"/>
      <c r="R293" s="110"/>
      <c r="S293" s="110"/>
      <c r="W293" s="110"/>
      <c r="X293" s="110"/>
      <c r="Y293" s="106"/>
      <c r="Z293" s="106"/>
    </row>
    <row r="294" spans="12:26" ht="15.75" customHeight="1" x14ac:dyDescent="0.3">
      <c r="L294" s="109"/>
      <c r="M294" s="110"/>
      <c r="N294" s="110"/>
      <c r="Q294" s="110"/>
      <c r="R294" s="110"/>
      <c r="S294" s="110"/>
      <c r="W294" s="110"/>
      <c r="X294" s="110"/>
      <c r="Y294" s="106"/>
      <c r="Z294" s="106"/>
    </row>
    <row r="295" spans="12:26" ht="15.75" customHeight="1" x14ac:dyDescent="0.3">
      <c r="L295" s="109"/>
      <c r="M295" s="110"/>
      <c r="N295" s="110"/>
      <c r="Q295" s="110"/>
      <c r="R295" s="110"/>
      <c r="S295" s="110"/>
      <c r="W295" s="110"/>
      <c r="X295" s="110"/>
      <c r="Y295" s="106"/>
      <c r="Z295" s="106"/>
    </row>
    <row r="296" spans="12:26" ht="15.75" customHeight="1" x14ac:dyDescent="0.3">
      <c r="L296" s="109"/>
      <c r="M296" s="110"/>
      <c r="N296" s="110"/>
      <c r="Q296" s="110"/>
      <c r="R296" s="110"/>
      <c r="S296" s="110"/>
      <c r="W296" s="110"/>
      <c r="X296" s="110"/>
      <c r="Y296" s="106"/>
      <c r="Z296" s="106"/>
    </row>
    <row r="297" spans="12:26" ht="15.75" customHeight="1" x14ac:dyDescent="0.3">
      <c r="L297" s="109"/>
      <c r="M297" s="110"/>
      <c r="N297" s="110"/>
      <c r="Q297" s="110"/>
      <c r="R297" s="110"/>
      <c r="S297" s="110"/>
      <c r="W297" s="110"/>
      <c r="X297" s="110"/>
      <c r="Y297" s="106"/>
      <c r="Z297" s="106"/>
    </row>
    <row r="298" spans="12:26" ht="15.75" customHeight="1" x14ac:dyDescent="0.3">
      <c r="L298" s="109"/>
      <c r="M298" s="110"/>
      <c r="N298" s="110"/>
      <c r="Q298" s="110"/>
      <c r="R298" s="110"/>
      <c r="S298" s="110"/>
      <c r="W298" s="110"/>
      <c r="X298" s="110"/>
      <c r="Y298" s="106"/>
      <c r="Z298" s="106"/>
    </row>
    <row r="299" spans="12:26" ht="15.75" customHeight="1" x14ac:dyDescent="0.3">
      <c r="L299" s="109"/>
      <c r="M299" s="110"/>
      <c r="N299" s="110"/>
      <c r="Q299" s="110"/>
      <c r="R299" s="110"/>
      <c r="S299" s="110"/>
      <c r="W299" s="110"/>
      <c r="X299" s="110"/>
      <c r="Y299" s="106"/>
      <c r="Z299" s="106"/>
    </row>
    <row r="300" spans="12:26" ht="15.75" customHeight="1" x14ac:dyDescent="0.3">
      <c r="L300" s="109"/>
      <c r="M300" s="110"/>
      <c r="N300" s="110"/>
      <c r="Q300" s="110"/>
      <c r="R300" s="110"/>
      <c r="S300" s="110"/>
      <c r="W300" s="110"/>
      <c r="X300" s="110"/>
      <c r="Y300" s="106"/>
      <c r="Z300" s="106"/>
    </row>
    <row r="301" spans="12:26" ht="15.75" customHeight="1" x14ac:dyDescent="0.3">
      <c r="L301" s="109"/>
      <c r="M301" s="110"/>
      <c r="N301" s="110"/>
      <c r="Q301" s="110"/>
      <c r="R301" s="110"/>
      <c r="S301" s="110"/>
      <c r="W301" s="110"/>
      <c r="X301" s="110"/>
      <c r="Y301" s="106"/>
      <c r="Z301" s="106"/>
    </row>
    <row r="302" spans="12:26" ht="15.75" customHeight="1" x14ac:dyDescent="0.3">
      <c r="L302" s="109"/>
      <c r="M302" s="110"/>
      <c r="N302" s="110"/>
      <c r="Q302" s="110"/>
      <c r="R302" s="110"/>
      <c r="S302" s="110"/>
      <c r="W302" s="110"/>
      <c r="X302" s="110"/>
      <c r="Y302" s="106"/>
      <c r="Z302" s="106"/>
    </row>
    <row r="303" spans="12:26" ht="15.75" customHeight="1" x14ac:dyDescent="0.3">
      <c r="L303" s="109"/>
      <c r="M303" s="110"/>
      <c r="N303" s="110"/>
      <c r="Q303" s="110"/>
      <c r="R303" s="110"/>
      <c r="S303" s="110"/>
      <c r="W303" s="110"/>
      <c r="X303" s="110"/>
      <c r="Y303" s="106"/>
      <c r="Z303" s="106"/>
    </row>
    <row r="304" spans="12:26" ht="15.75" customHeight="1" x14ac:dyDescent="0.3">
      <c r="L304" s="109"/>
      <c r="M304" s="110"/>
      <c r="N304" s="110"/>
      <c r="Q304" s="110"/>
      <c r="R304" s="110"/>
      <c r="S304" s="110"/>
      <c r="W304" s="110"/>
      <c r="X304" s="110"/>
      <c r="Y304" s="106"/>
      <c r="Z304" s="106"/>
    </row>
    <row r="305" spans="12:26" ht="15.75" customHeight="1" x14ac:dyDescent="0.3">
      <c r="L305" s="109"/>
      <c r="M305" s="110"/>
      <c r="N305" s="110"/>
      <c r="Q305" s="110"/>
      <c r="R305" s="110"/>
      <c r="S305" s="110"/>
      <c r="W305" s="110"/>
      <c r="X305" s="110"/>
      <c r="Y305" s="106"/>
      <c r="Z305" s="106"/>
    </row>
    <row r="306" spans="12:26" ht="15.75" customHeight="1" x14ac:dyDescent="0.3">
      <c r="L306" s="109"/>
      <c r="M306" s="110"/>
      <c r="N306" s="110"/>
      <c r="Q306" s="110"/>
      <c r="R306" s="110"/>
      <c r="S306" s="110"/>
      <c r="W306" s="110"/>
      <c r="X306" s="110"/>
      <c r="Y306" s="106"/>
      <c r="Z306" s="106"/>
    </row>
    <row r="307" spans="12:26" ht="15.75" customHeight="1" x14ac:dyDescent="0.3">
      <c r="L307" s="109"/>
      <c r="M307" s="110"/>
      <c r="N307" s="110"/>
      <c r="Q307" s="110"/>
      <c r="R307" s="110"/>
      <c r="S307" s="110"/>
      <c r="W307" s="110"/>
      <c r="X307" s="110"/>
      <c r="Y307" s="106"/>
      <c r="Z307" s="106"/>
    </row>
    <row r="308" spans="12:26" ht="15.75" customHeight="1" x14ac:dyDescent="0.3">
      <c r="L308" s="109"/>
      <c r="M308" s="110"/>
      <c r="N308" s="110"/>
      <c r="Q308" s="110"/>
      <c r="R308" s="110"/>
      <c r="S308" s="110"/>
      <c r="W308" s="110"/>
      <c r="X308" s="110"/>
      <c r="Y308" s="106"/>
      <c r="Z308" s="106"/>
    </row>
    <row r="309" spans="12:26" ht="15.75" customHeight="1" x14ac:dyDescent="0.3">
      <c r="L309" s="109"/>
      <c r="M309" s="110"/>
      <c r="N309" s="110"/>
      <c r="Q309" s="110"/>
      <c r="R309" s="110"/>
      <c r="S309" s="110"/>
      <c r="W309" s="110"/>
      <c r="X309" s="110"/>
      <c r="Y309" s="106"/>
      <c r="Z309" s="106"/>
    </row>
    <row r="310" spans="12:26" ht="15.75" customHeight="1" x14ac:dyDescent="0.3">
      <c r="L310" s="109"/>
      <c r="M310" s="110"/>
      <c r="N310" s="110"/>
      <c r="Q310" s="110"/>
      <c r="R310" s="110"/>
      <c r="S310" s="110"/>
      <c r="W310" s="110"/>
      <c r="X310" s="110"/>
      <c r="Y310" s="106"/>
      <c r="Z310" s="106"/>
    </row>
    <row r="311" spans="12:26" ht="15.75" customHeight="1" x14ac:dyDescent="0.3">
      <c r="L311" s="109"/>
      <c r="M311" s="110"/>
      <c r="N311" s="110"/>
      <c r="Q311" s="110"/>
      <c r="R311" s="110"/>
      <c r="S311" s="110"/>
      <c r="W311" s="110"/>
      <c r="X311" s="110"/>
      <c r="Y311" s="106"/>
      <c r="Z311" s="106"/>
    </row>
    <row r="312" spans="12:26" ht="15.75" customHeight="1" x14ac:dyDescent="0.3">
      <c r="L312" s="109"/>
      <c r="M312" s="110"/>
      <c r="N312" s="110"/>
      <c r="Q312" s="110"/>
      <c r="R312" s="110"/>
      <c r="S312" s="110"/>
      <c r="W312" s="110"/>
      <c r="X312" s="110"/>
      <c r="Y312" s="106"/>
      <c r="Z312" s="106"/>
    </row>
    <row r="313" spans="12:26" ht="15.75" customHeight="1" x14ac:dyDescent="0.3">
      <c r="L313" s="109"/>
      <c r="M313" s="110"/>
      <c r="N313" s="110"/>
      <c r="Q313" s="110"/>
      <c r="R313" s="110"/>
      <c r="S313" s="110"/>
      <c r="W313" s="110"/>
      <c r="X313" s="110"/>
      <c r="Y313" s="106"/>
      <c r="Z313" s="106"/>
    </row>
    <row r="314" spans="12:26" ht="15.75" customHeight="1" x14ac:dyDescent="0.3">
      <c r="L314" s="109"/>
      <c r="M314" s="110"/>
      <c r="N314" s="110"/>
      <c r="Q314" s="110"/>
      <c r="R314" s="110"/>
      <c r="S314" s="110"/>
      <c r="W314" s="110"/>
      <c r="X314" s="110"/>
      <c r="Y314" s="106"/>
      <c r="Z314" s="106"/>
    </row>
    <row r="315" spans="12:26" ht="15.75" customHeight="1" x14ac:dyDescent="0.3">
      <c r="L315" s="109"/>
      <c r="M315" s="110"/>
      <c r="N315" s="110"/>
      <c r="Q315" s="110"/>
      <c r="R315" s="110"/>
      <c r="S315" s="110"/>
      <c r="W315" s="110"/>
      <c r="X315" s="110"/>
      <c r="Y315" s="106"/>
      <c r="Z315" s="106"/>
    </row>
    <row r="316" spans="12:26" ht="15.75" customHeight="1" x14ac:dyDescent="0.3">
      <c r="L316" s="109"/>
      <c r="M316" s="110"/>
      <c r="N316" s="110"/>
      <c r="Q316" s="110"/>
      <c r="R316" s="110"/>
      <c r="S316" s="110"/>
      <c r="W316" s="110"/>
      <c r="X316" s="110"/>
      <c r="Y316" s="106"/>
      <c r="Z316" s="106"/>
    </row>
    <row r="317" spans="12:26" ht="15.75" customHeight="1" x14ac:dyDescent="0.3">
      <c r="L317" s="109"/>
      <c r="M317" s="110"/>
      <c r="N317" s="110"/>
      <c r="Q317" s="110"/>
      <c r="R317" s="110"/>
      <c r="S317" s="110"/>
      <c r="W317" s="110"/>
      <c r="X317" s="110"/>
      <c r="Y317" s="106"/>
      <c r="Z317" s="106"/>
    </row>
    <row r="318" spans="12:26" ht="15.75" customHeight="1" x14ac:dyDescent="0.3">
      <c r="L318" s="109"/>
      <c r="M318" s="110"/>
      <c r="N318" s="110"/>
      <c r="Q318" s="110"/>
      <c r="R318" s="110"/>
      <c r="S318" s="110"/>
      <c r="W318" s="110"/>
      <c r="X318" s="110"/>
      <c r="Y318" s="106"/>
      <c r="Z318" s="106"/>
    </row>
    <row r="319" spans="12:26" ht="15.75" customHeight="1" x14ac:dyDescent="0.3">
      <c r="L319" s="109"/>
      <c r="M319" s="110"/>
      <c r="N319" s="110"/>
      <c r="Q319" s="110"/>
      <c r="R319" s="110"/>
      <c r="S319" s="110"/>
      <c r="W319" s="110"/>
      <c r="X319" s="110"/>
      <c r="Y319" s="106"/>
      <c r="Z319" s="106"/>
    </row>
    <row r="320" spans="12:26" ht="15.75" customHeight="1" x14ac:dyDescent="0.3">
      <c r="L320" s="109"/>
      <c r="M320" s="110"/>
      <c r="N320" s="110"/>
      <c r="Q320" s="110"/>
      <c r="R320" s="110"/>
      <c r="S320" s="110"/>
      <c r="W320" s="110"/>
      <c r="X320" s="110"/>
      <c r="Y320" s="106"/>
      <c r="Z320" s="106"/>
    </row>
    <row r="321" spans="12:26" ht="15.75" customHeight="1" x14ac:dyDescent="0.3">
      <c r="L321" s="109"/>
      <c r="M321" s="110"/>
      <c r="N321" s="110"/>
      <c r="Q321" s="110"/>
      <c r="R321" s="110"/>
      <c r="S321" s="110"/>
      <c r="W321" s="110"/>
      <c r="X321" s="110"/>
      <c r="Y321" s="106"/>
      <c r="Z321" s="106"/>
    </row>
    <row r="322" spans="12:26" ht="15.75" customHeight="1" x14ac:dyDescent="0.3">
      <c r="L322" s="109"/>
      <c r="M322" s="110"/>
      <c r="N322" s="110"/>
      <c r="Q322" s="110"/>
      <c r="R322" s="110"/>
      <c r="S322" s="110"/>
      <c r="W322" s="110"/>
      <c r="X322" s="110"/>
      <c r="Y322" s="106"/>
      <c r="Z322" s="106"/>
    </row>
    <row r="323" spans="12:26" ht="15.75" customHeight="1" x14ac:dyDescent="0.3">
      <c r="L323" s="109"/>
      <c r="M323" s="110"/>
      <c r="N323" s="110"/>
      <c r="Q323" s="110"/>
      <c r="R323" s="110"/>
      <c r="S323" s="110"/>
      <c r="W323" s="110"/>
      <c r="X323" s="110"/>
      <c r="Y323" s="106"/>
      <c r="Z323" s="106"/>
    </row>
    <row r="324" spans="12:26" ht="15.75" customHeight="1" x14ac:dyDescent="0.3">
      <c r="L324" s="109"/>
      <c r="M324" s="110"/>
      <c r="N324" s="110"/>
      <c r="Q324" s="110"/>
      <c r="R324" s="110"/>
      <c r="S324" s="110"/>
      <c r="W324" s="110"/>
      <c r="X324" s="110"/>
      <c r="Y324" s="106"/>
      <c r="Z324" s="106"/>
    </row>
    <row r="325" spans="12:26" ht="15.75" customHeight="1" x14ac:dyDescent="0.3">
      <c r="L325" s="109"/>
      <c r="M325" s="110"/>
      <c r="N325" s="110"/>
      <c r="Q325" s="110"/>
      <c r="R325" s="110"/>
      <c r="S325" s="110"/>
      <c r="W325" s="110"/>
      <c r="X325" s="110"/>
      <c r="Y325" s="106"/>
      <c r="Z325" s="106"/>
    </row>
    <row r="326" spans="12:26" ht="15.75" customHeight="1" x14ac:dyDescent="0.3">
      <c r="L326" s="109"/>
      <c r="M326" s="110"/>
      <c r="N326" s="110"/>
      <c r="Q326" s="110"/>
      <c r="R326" s="110"/>
      <c r="S326" s="110"/>
      <c r="W326" s="110"/>
      <c r="X326" s="110"/>
      <c r="Y326" s="106"/>
      <c r="Z326" s="106"/>
    </row>
    <row r="327" spans="12:26" ht="15.75" customHeight="1" x14ac:dyDescent="0.3">
      <c r="L327" s="109"/>
      <c r="M327" s="110"/>
      <c r="N327" s="110"/>
      <c r="Q327" s="110"/>
      <c r="R327" s="110"/>
      <c r="S327" s="110"/>
      <c r="W327" s="110"/>
      <c r="X327" s="110"/>
      <c r="Y327" s="106"/>
      <c r="Z327" s="106"/>
    </row>
    <row r="328" spans="12:26" ht="15.75" customHeight="1" x14ac:dyDescent="0.3">
      <c r="L328" s="109"/>
      <c r="M328" s="110"/>
      <c r="N328" s="110"/>
      <c r="Q328" s="110"/>
      <c r="R328" s="110"/>
      <c r="S328" s="110"/>
      <c r="W328" s="110"/>
      <c r="X328" s="110"/>
      <c r="Y328" s="106"/>
      <c r="Z328" s="106"/>
    </row>
    <row r="329" spans="12:26" ht="15.75" customHeight="1" x14ac:dyDescent="0.3">
      <c r="L329" s="109"/>
      <c r="M329" s="110"/>
      <c r="N329" s="110"/>
      <c r="Q329" s="110"/>
      <c r="R329" s="110"/>
      <c r="S329" s="110"/>
      <c r="W329" s="110"/>
      <c r="X329" s="110"/>
      <c r="Y329" s="106"/>
      <c r="Z329" s="106"/>
    </row>
    <row r="330" spans="12:26" ht="15.75" customHeight="1" x14ac:dyDescent="0.3">
      <c r="L330" s="109"/>
      <c r="M330" s="110"/>
      <c r="N330" s="110"/>
      <c r="Q330" s="110"/>
      <c r="R330" s="110"/>
      <c r="S330" s="110"/>
      <c r="W330" s="110"/>
      <c r="X330" s="110"/>
      <c r="Y330" s="106"/>
      <c r="Z330" s="106"/>
    </row>
    <row r="331" spans="12:26" ht="15.75" customHeight="1" x14ac:dyDescent="0.3">
      <c r="L331" s="109"/>
      <c r="M331" s="110"/>
      <c r="N331" s="110"/>
      <c r="Q331" s="110"/>
      <c r="R331" s="110"/>
      <c r="S331" s="110"/>
      <c r="W331" s="110"/>
      <c r="X331" s="110"/>
      <c r="Y331" s="106"/>
      <c r="Z331" s="106"/>
    </row>
    <row r="332" spans="12:26" ht="15.75" customHeight="1" x14ac:dyDescent="0.3">
      <c r="L332" s="109"/>
      <c r="M332" s="110"/>
      <c r="N332" s="110"/>
      <c r="Q332" s="110"/>
      <c r="R332" s="110"/>
      <c r="S332" s="110"/>
      <c r="W332" s="110"/>
      <c r="X332" s="110"/>
      <c r="Y332" s="106"/>
      <c r="Z332" s="106"/>
    </row>
    <row r="333" spans="12:26" ht="15.75" customHeight="1" x14ac:dyDescent="0.3">
      <c r="L333" s="109"/>
      <c r="M333" s="110"/>
      <c r="N333" s="110"/>
      <c r="Q333" s="110"/>
      <c r="R333" s="110"/>
      <c r="S333" s="110"/>
      <c r="W333" s="110"/>
      <c r="X333" s="110"/>
      <c r="Y333" s="106"/>
      <c r="Z333" s="106"/>
    </row>
    <row r="334" spans="12:26" ht="15.75" customHeight="1" x14ac:dyDescent="0.3">
      <c r="L334" s="109"/>
      <c r="M334" s="110"/>
      <c r="N334" s="110"/>
      <c r="Q334" s="110"/>
      <c r="R334" s="110"/>
      <c r="S334" s="110"/>
      <c r="W334" s="110"/>
      <c r="X334" s="110"/>
      <c r="Y334" s="106"/>
      <c r="Z334" s="106"/>
    </row>
    <row r="335" spans="12:26" ht="15.75" customHeight="1" x14ac:dyDescent="0.3">
      <c r="L335" s="109"/>
      <c r="M335" s="110"/>
      <c r="N335" s="110"/>
      <c r="Q335" s="110"/>
      <c r="R335" s="110"/>
      <c r="S335" s="110"/>
      <c r="W335" s="110"/>
      <c r="X335" s="110"/>
      <c r="Y335" s="106"/>
      <c r="Z335" s="106"/>
    </row>
    <row r="336" spans="12:26" ht="15.75" customHeight="1" x14ac:dyDescent="0.3">
      <c r="L336" s="109"/>
      <c r="M336" s="110"/>
      <c r="N336" s="110"/>
      <c r="Q336" s="110"/>
      <c r="R336" s="110"/>
      <c r="S336" s="110"/>
      <c r="W336" s="110"/>
      <c r="X336" s="110"/>
      <c r="Y336" s="106"/>
      <c r="Z336" s="106"/>
    </row>
    <row r="337" spans="12:26" ht="15.75" customHeight="1" x14ac:dyDescent="0.3">
      <c r="L337" s="109"/>
      <c r="M337" s="110"/>
      <c r="N337" s="110"/>
      <c r="Q337" s="110"/>
      <c r="R337" s="110"/>
      <c r="S337" s="110"/>
      <c r="W337" s="110"/>
      <c r="X337" s="110"/>
      <c r="Y337" s="106"/>
      <c r="Z337" s="106"/>
    </row>
    <row r="338" spans="12:26" ht="15.75" customHeight="1" x14ac:dyDescent="0.3">
      <c r="L338" s="109"/>
      <c r="M338" s="110"/>
      <c r="N338" s="110"/>
      <c r="Q338" s="110"/>
      <c r="R338" s="110"/>
      <c r="S338" s="110"/>
      <c r="W338" s="110"/>
      <c r="X338" s="110"/>
      <c r="Y338" s="106"/>
      <c r="Z338" s="106"/>
    </row>
    <row r="339" spans="12:26" ht="15.75" customHeight="1" x14ac:dyDescent="0.3">
      <c r="L339" s="109"/>
      <c r="M339" s="110"/>
      <c r="N339" s="110"/>
      <c r="Q339" s="110"/>
      <c r="R339" s="110"/>
      <c r="S339" s="110"/>
      <c r="W339" s="110"/>
      <c r="X339" s="110"/>
      <c r="Y339" s="106"/>
      <c r="Z339" s="106"/>
    </row>
    <row r="340" spans="12:26" ht="15.75" customHeight="1" x14ac:dyDescent="0.3">
      <c r="L340" s="109"/>
      <c r="M340" s="110"/>
      <c r="N340" s="110"/>
      <c r="Q340" s="110"/>
      <c r="R340" s="110"/>
      <c r="S340" s="110"/>
      <c r="W340" s="110"/>
      <c r="X340" s="110"/>
      <c r="Y340" s="106"/>
      <c r="Z340" s="106"/>
    </row>
    <row r="341" spans="12:26" ht="15.75" customHeight="1" x14ac:dyDescent="0.3">
      <c r="L341" s="109"/>
      <c r="M341" s="110"/>
      <c r="N341" s="110"/>
      <c r="Q341" s="110"/>
      <c r="R341" s="110"/>
      <c r="S341" s="110"/>
      <c r="W341" s="110"/>
      <c r="X341" s="110"/>
      <c r="Y341" s="106"/>
      <c r="Z341" s="106"/>
    </row>
    <row r="342" spans="12:26" ht="15.75" customHeight="1" x14ac:dyDescent="0.3">
      <c r="L342" s="109"/>
      <c r="M342" s="110"/>
      <c r="N342" s="110"/>
      <c r="Q342" s="110"/>
      <c r="R342" s="110"/>
      <c r="S342" s="110"/>
      <c r="W342" s="110"/>
      <c r="X342" s="110"/>
      <c r="Y342" s="106"/>
      <c r="Z342" s="106"/>
    </row>
    <row r="343" spans="12:26" ht="15.75" customHeight="1" x14ac:dyDescent="0.3">
      <c r="L343" s="109"/>
      <c r="M343" s="110"/>
      <c r="N343" s="110"/>
      <c r="Q343" s="110"/>
      <c r="R343" s="110"/>
      <c r="S343" s="110"/>
      <c r="W343" s="110"/>
      <c r="X343" s="110"/>
      <c r="Y343" s="106"/>
      <c r="Z343" s="106"/>
    </row>
    <row r="344" spans="12:26" ht="15.75" customHeight="1" x14ac:dyDescent="0.3">
      <c r="L344" s="109"/>
      <c r="M344" s="110"/>
      <c r="N344" s="110"/>
      <c r="Q344" s="110"/>
      <c r="R344" s="110"/>
      <c r="S344" s="110"/>
      <c r="W344" s="110"/>
      <c r="X344" s="110"/>
      <c r="Y344" s="106"/>
      <c r="Z344" s="106"/>
    </row>
    <row r="345" spans="12:26" ht="15.75" customHeight="1" x14ac:dyDescent="0.3">
      <c r="L345" s="109"/>
      <c r="M345" s="110"/>
      <c r="N345" s="110"/>
      <c r="Q345" s="110"/>
      <c r="R345" s="110"/>
      <c r="S345" s="110"/>
      <c r="W345" s="110"/>
      <c r="X345" s="110"/>
      <c r="Y345" s="106"/>
      <c r="Z345" s="106"/>
    </row>
    <row r="346" spans="12:26" ht="15.75" customHeight="1" x14ac:dyDescent="0.3">
      <c r="L346" s="109"/>
      <c r="M346" s="110"/>
      <c r="N346" s="110"/>
      <c r="Q346" s="110"/>
      <c r="R346" s="110"/>
      <c r="S346" s="110"/>
      <c r="W346" s="110"/>
      <c r="X346" s="110"/>
      <c r="Y346" s="106"/>
      <c r="Z346" s="106"/>
    </row>
    <row r="347" spans="12:26" ht="15.75" customHeight="1" x14ac:dyDescent="0.3">
      <c r="L347" s="109"/>
      <c r="M347" s="110"/>
      <c r="N347" s="110"/>
      <c r="Q347" s="110"/>
      <c r="R347" s="110"/>
      <c r="S347" s="110"/>
      <c r="W347" s="110"/>
      <c r="X347" s="110"/>
      <c r="Y347" s="106"/>
      <c r="Z347" s="106"/>
    </row>
    <row r="348" spans="12:26" ht="15.75" customHeight="1" x14ac:dyDescent="0.3">
      <c r="L348" s="109"/>
      <c r="M348" s="110"/>
      <c r="N348" s="110"/>
      <c r="Q348" s="110"/>
      <c r="R348" s="110"/>
      <c r="S348" s="110"/>
      <c r="W348" s="110"/>
      <c r="X348" s="110"/>
      <c r="Y348" s="106"/>
      <c r="Z348" s="106"/>
    </row>
    <row r="349" spans="12:26" ht="15.75" customHeight="1" x14ac:dyDescent="0.3">
      <c r="L349" s="109"/>
      <c r="M349" s="110"/>
      <c r="N349" s="110"/>
      <c r="Q349" s="110"/>
      <c r="R349" s="110"/>
      <c r="S349" s="110"/>
      <c r="W349" s="110"/>
      <c r="X349" s="110"/>
      <c r="Y349" s="106"/>
      <c r="Z349" s="106"/>
    </row>
    <row r="350" spans="12:26" ht="15.75" customHeight="1" x14ac:dyDescent="0.3">
      <c r="L350" s="109"/>
      <c r="M350" s="110"/>
      <c r="N350" s="110"/>
      <c r="Q350" s="110"/>
      <c r="R350" s="110"/>
      <c r="S350" s="110"/>
      <c r="W350" s="110"/>
      <c r="X350" s="110"/>
      <c r="Y350" s="106"/>
      <c r="Z350" s="106"/>
    </row>
    <row r="351" spans="12:26" ht="15.75" customHeight="1" x14ac:dyDescent="0.3">
      <c r="L351" s="109"/>
      <c r="M351" s="110"/>
      <c r="N351" s="110"/>
      <c r="Q351" s="110"/>
      <c r="R351" s="110"/>
      <c r="S351" s="110"/>
      <c r="W351" s="110"/>
      <c r="X351" s="110"/>
      <c r="Y351" s="106"/>
      <c r="Z351" s="106"/>
    </row>
    <row r="352" spans="12:26" ht="15.75" customHeight="1" x14ac:dyDescent="0.3">
      <c r="L352" s="109"/>
      <c r="M352" s="110"/>
      <c r="N352" s="110"/>
      <c r="Q352" s="110"/>
      <c r="R352" s="110"/>
      <c r="S352" s="110"/>
      <c r="W352" s="110"/>
      <c r="X352" s="110"/>
      <c r="Y352" s="106"/>
      <c r="Z352" s="106"/>
    </row>
    <row r="353" spans="12:26" ht="15.75" customHeight="1" x14ac:dyDescent="0.3">
      <c r="L353" s="109"/>
      <c r="M353" s="110"/>
      <c r="N353" s="110"/>
      <c r="Q353" s="110"/>
      <c r="R353" s="110"/>
      <c r="S353" s="110"/>
      <c r="W353" s="110"/>
      <c r="X353" s="110"/>
      <c r="Y353" s="106"/>
      <c r="Z353" s="106"/>
    </row>
    <row r="354" spans="12:26" ht="15.75" customHeight="1" x14ac:dyDescent="0.3">
      <c r="L354" s="109"/>
      <c r="M354" s="110"/>
      <c r="N354" s="110"/>
      <c r="Q354" s="110"/>
      <c r="R354" s="110"/>
      <c r="S354" s="110"/>
      <c r="W354" s="110"/>
      <c r="X354" s="110"/>
      <c r="Y354" s="106"/>
      <c r="Z354" s="106"/>
    </row>
    <row r="355" spans="12:26" ht="15.75" customHeight="1" x14ac:dyDescent="0.3">
      <c r="L355" s="109"/>
      <c r="M355" s="110"/>
      <c r="N355" s="110"/>
      <c r="Q355" s="110"/>
      <c r="R355" s="110"/>
      <c r="S355" s="110"/>
      <c r="W355" s="110"/>
      <c r="X355" s="110"/>
      <c r="Y355" s="106"/>
      <c r="Z355" s="106"/>
    </row>
    <row r="356" spans="12:26" ht="15.75" customHeight="1" x14ac:dyDescent="0.3">
      <c r="L356" s="109"/>
      <c r="M356" s="110"/>
      <c r="N356" s="110"/>
      <c r="Q356" s="110"/>
      <c r="R356" s="110"/>
      <c r="S356" s="110"/>
      <c r="W356" s="110"/>
      <c r="X356" s="110"/>
      <c r="Y356" s="106"/>
      <c r="Z356" s="106"/>
    </row>
    <row r="357" spans="12:26" ht="15.75" customHeight="1" x14ac:dyDescent="0.3">
      <c r="L357" s="109"/>
      <c r="M357" s="110"/>
      <c r="N357" s="110"/>
      <c r="Q357" s="110"/>
      <c r="R357" s="110"/>
      <c r="S357" s="110"/>
      <c r="W357" s="110"/>
      <c r="X357" s="110"/>
      <c r="Y357" s="106"/>
      <c r="Z357" s="106"/>
    </row>
    <row r="358" spans="12:26" ht="15.75" customHeight="1" x14ac:dyDescent="0.3">
      <c r="L358" s="109"/>
      <c r="M358" s="110"/>
      <c r="N358" s="110"/>
      <c r="Q358" s="110"/>
      <c r="R358" s="110"/>
      <c r="S358" s="110"/>
      <c r="W358" s="110"/>
      <c r="X358" s="110"/>
      <c r="Y358" s="106"/>
      <c r="Z358" s="106"/>
    </row>
    <row r="359" spans="12:26" ht="15.75" customHeight="1" x14ac:dyDescent="0.3">
      <c r="L359" s="109"/>
      <c r="M359" s="110"/>
      <c r="N359" s="110"/>
      <c r="Q359" s="110"/>
      <c r="R359" s="110"/>
      <c r="S359" s="110"/>
      <c r="W359" s="110"/>
      <c r="X359" s="110"/>
      <c r="Y359" s="106"/>
      <c r="Z359" s="106"/>
    </row>
    <row r="360" spans="12:26" ht="15.75" customHeight="1" x14ac:dyDescent="0.3">
      <c r="L360" s="109"/>
      <c r="M360" s="110"/>
      <c r="N360" s="110"/>
      <c r="Q360" s="110"/>
      <c r="R360" s="110"/>
      <c r="S360" s="110"/>
      <c r="W360" s="110"/>
      <c r="X360" s="110"/>
      <c r="Y360" s="106"/>
      <c r="Z360" s="106"/>
    </row>
    <row r="361" spans="12:26" ht="15.75" customHeight="1" x14ac:dyDescent="0.3">
      <c r="L361" s="109"/>
      <c r="M361" s="110"/>
      <c r="N361" s="110"/>
      <c r="Q361" s="110"/>
      <c r="R361" s="110"/>
      <c r="S361" s="110"/>
      <c r="W361" s="110"/>
      <c r="X361" s="110"/>
      <c r="Y361" s="106"/>
      <c r="Z361" s="106"/>
    </row>
    <row r="362" spans="12:26" ht="15.75" customHeight="1" x14ac:dyDescent="0.3">
      <c r="L362" s="109"/>
      <c r="M362" s="110"/>
      <c r="N362" s="110"/>
      <c r="Q362" s="110"/>
      <c r="R362" s="110"/>
      <c r="S362" s="110"/>
      <c r="W362" s="110"/>
      <c r="X362" s="110"/>
      <c r="Y362" s="106"/>
      <c r="Z362" s="106"/>
    </row>
    <row r="363" spans="12:26" ht="15.75" customHeight="1" x14ac:dyDescent="0.3">
      <c r="L363" s="109"/>
      <c r="M363" s="110"/>
      <c r="N363" s="110"/>
      <c r="Q363" s="110"/>
      <c r="R363" s="110"/>
      <c r="S363" s="110"/>
      <c r="W363" s="110"/>
      <c r="X363" s="110"/>
      <c r="Y363" s="106"/>
      <c r="Z363" s="106"/>
    </row>
    <row r="364" spans="12:26" ht="15.75" customHeight="1" x14ac:dyDescent="0.3">
      <c r="L364" s="109"/>
      <c r="M364" s="110"/>
      <c r="N364" s="110"/>
      <c r="Q364" s="110"/>
      <c r="R364" s="110"/>
      <c r="S364" s="110"/>
      <c r="W364" s="110"/>
      <c r="X364" s="110"/>
      <c r="Y364" s="106"/>
      <c r="Z364" s="106"/>
    </row>
    <row r="365" spans="12:26" ht="15.75" customHeight="1" x14ac:dyDescent="0.3">
      <c r="L365" s="109"/>
      <c r="M365" s="110"/>
      <c r="N365" s="110"/>
      <c r="Q365" s="110"/>
      <c r="R365" s="110"/>
      <c r="S365" s="110"/>
      <c r="W365" s="110"/>
      <c r="X365" s="110"/>
      <c r="Y365" s="106"/>
      <c r="Z365" s="106"/>
    </row>
    <row r="366" spans="12:26" ht="15.75" customHeight="1" x14ac:dyDescent="0.3">
      <c r="L366" s="109"/>
      <c r="M366" s="110"/>
      <c r="N366" s="110"/>
      <c r="Q366" s="110"/>
      <c r="R366" s="110"/>
      <c r="S366" s="110"/>
      <c r="W366" s="110"/>
      <c r="X366" s="110"/>
      <c r="Y366" s="106"/>
      <c r="Z366" s="106"/>
    </row>
    <row r="367" spans="12:26" ht="15.75" customHeight="1" x14ac:dyDescent="0.3">
      <c r="L367" s="109"/>
      <c r="M367" s="110"/>
      <c r="N367" s="110"/>
      <c r="Q367" s="110"/>
      <c r="R367" s="110"/>
      <c r="S367" s="110"/>
      <c r="W367" s="110"/>
      <c r="X367" s="110"/>
      <c r="Y367" s="106"/>
      <c r="Z367" s="106"/>
    </row>
    <row r="368" spans="12:26" ht="15.75" customHeight="1" x14ac:dyDescent="0.3">
      <c r="L368" s="109"/>
      <c r="M368" s="110"/>
      <c r="N368" s="110"/>
      <c r="Q368" s="110"/>
      <c r="R368" s="110"/>
      <c r="S368" s="110"/>
      <c r="W368" s="110"/>
      <c r="X368" s="110"/>
      <c r="Y368" s="106"/>
      <c r="Z368" s="106"/>
    </row>
    <row r="369" spans="12:26" ht="15.75" customHeight="1" x14ac:dyDescent="0.3">
      <c r="L369" s="109"/>
      <c r="M369" s="110"/>
      <c r="N369" s="110"/>
      <c r="Q369" s="110"/>
      <c r="R369" s="110"/>
      <c r="S369" s="110"/>
      <c r="W369" s="110"/>
      <c r="X369" s="110"/>
      <c r="Y369" s="106"/>
      <c r="Z369" s="106"/>
    </row>
    <row r="370" spans="12:26" ht="15.75" customHeight="1" x14ac:dyDescent="0.3">
      <c r="L370" s="109"/>
      <c r="M370" s="110"/>
      <c r="N370" s="110"/>
      <c r="Q370" s="110"/>
      <c r="R370" s="110"/>
      <c r="S370" s="110"/>
      <c r="W370" s="110"/>
      <c r="X370" s="110"/>
      <c r="Y370" s="106"/>
      <c r="Z370" s="106"/>
    </row>
    <row r="371" spans="12:26" ht="15.75" customHeight="1" x14ac:dyDescent="0.3">
      <c r="L371" s="109"/>
      <c r="M371" s="110"/>
      <c r="N371" s="110"/>
      <c r="Q371" s="110"/>
      <c r="R371" s="110"/>
      <c r="S371" s="110"/>
      <c r="W371" s="110"/>
      <c r="X371" s="110"/>
      <c r="Y371" s="106"/>
      <c r="Z371" s="106"/>
    </row>
    <row r="372" spans="12:26" ht="15.75" customHeight="1" x14ac:dyDescent="0.3">
      <c r="L372" s="109"/>
      <c r="M372" s="110"/>
      <c r="N372" s="110"/>
      <c r="Q372" s="110"/>
      <c r="R372" s="110"/>
      <c r="S372" s="110"/>
      <c r="W372" s="110"/>
      <c r="X372" s="110"/>
      <c r="Y372" s="106"/>
      <c r="Z372" s="106"/>
    </row>
    <row r="373" spans="12:26" ht="15.75" customHeight="1" x14ac:dyDescent="0.3">
      <c r="L373" s="109"/>
      <c r="M373" s="110"/>
      <c r="N373" s="110"/>
      <c r="Q373" s="110"/>
      <c r="R373" s="110"/>
      <c r="S373" s="110"/>
      <c r="W373" s="110"/>
      <c r="X373" s="110"/>
      <c r="Y373" s="106"/>
      <c r="Z373" s="106"/>
    </row>
    <row r="374" spans="12:26" ht="15.75" customHeight="1" x14ac:dyDescent="0.3">
      <c r="L374" s="109"/>
      <c r="M374" s="110"/>
      <c r="N374" s="110"/>
      <c r="Q374" s="110"/>
      <c r="R374" s="110"/>
      <c r="S374" s="110"/>
      <c r="W374" s="110"/>
      <c r="X374" s="110"/>
      <c r="Y374" s="106"/>
      <c r="Z374" s="106"/>
    </row>
    <row r="375" spans="12:26" ht="15.75" customHeight="1" x14ac:dyDescent="0.3">
      <c r="L375" s="109"/>
      <c r="M375" s="110"/>
      <c r="N375" s="110"/>
      <c r="Q375" s="110"/>
      <c r="R375" s="110"/>
      <c r="S375" s="110"/>
      <c r="W375" s="110"/>
      <c r="X375" s="110"/>
      <c r="Y375" s="106"/>
      <c r="Z375" s="106"/>
    </row>
    <row r="376" spans="12:26" ht="15.75" customHeight="1" x14ac:dyDescent="0.3">
      <c r="L376" s="109"/>
      <c r="M376" s="110"/>
      <c r="N376" s="110"/>
      <c r="Q376" s="110"/>
      <c r="R376" s="110"/>
      <c r="S376" s="110"/>
      <c r="W376" s="110"/>
      <c r="X376" s="110"/>
      <c r="Y376" s="106"/>
      <c r="Z376" s="106"/>
    </row>
    <row r="377" spans="12:26" ht="15.75" customHeight="1" x14ac:dyDescent="0.3">
      <c r="L377" s="109"/>
      <c r="M377" s="110"/>
      <c r="N377" s="110"/>
      <c r="Q377" s="110"/>
      <c r="R377" s="110"/>
      <c r="S377" s="110"/>
      <c r="W377" s="110"/>
      <c r="X377" s="110"/>
      <c r="Y377" s="106"/>
      <c r="Z377" s="106"/>
    </row>
    <row r="378" spans="12:26" ht="15.75" customHeight="1" x14ac:dyDescent="0.3">
      <c r="L378" s="109"/>
      <c r="M378" s="110"/>
      <c r="N378" s="110"/>
      <c r="Q378" s="110"/>
      <c r="R378" s="110"/>
      <c r="S378" s="110"/>
      <c r="W378" s="110"/>
      <c r="X378" s="110"/>
      <c r="Y378" s="106"/>
      <c r="Z378" s="106"/>
    </row>
    <row r="379" spans="12:26" ht="15.75" customHeight="1" x14ac:dyDescent="0.3">
      <c r="L379" s="109"/>
      <c r="M379" s="110"/>
      <c r="N379" s="110"/>
      <c r="Q379" s="110"/>
      <c r="R379" s="110"/>
      <c r="S379" s="110"/>
      <c r="W379" s="110"/>
      <c r="X379" s="110"/>
      <c r="Y379" s="106"/>
      <c r="Z379" s="106"/>
    </row>
    <row r="380" spans="12:26" ht="15.75" customHeight="1" x14ac:dyDescent="0.3">
      <c r="L380" s="109"/>
      <c r="M380" s="110"/>
      <c r="N380" s="110"/>
      <c r="Q380" s="110"/>
      <c r="R380" s="110"/>
      <c r="S380" s="110"/>
      <c r="W380" s="110"/>
      <c r="X380" s="110"/>
      <c r="Y380" s="106"/>
      <c r="Z380" s="106"/>
    </row>
    <row r="381" spans="12:26" ht="15.75" customHeight="1" x14ac:dyDescent="0.3">
      <c r="L381" s="109"/>
      <c r="M381" s="110"/>
      <c r="N381" s="110"/>
      <c r="Q381" s="110"/>
      <c r="R381" s="110"/>
      <c r="S381" s="110"/>
      <c r="W381" s="110"/>
      <c r="X381" s="110"/>
      <c r="Y381" s="106"/>
      <c r="Z381" s="106"/>
    </row>
    <row r="382" spans="12:26" ht="15.75" customHeight="1" x14ac:dyDescent="0.3">
      <c r="L382" s="109"/>
      <c r="M382" s="110"/>
      <c r="N382" s="110"/>
      <c r="Q382" s="110"/>
      <c r="R382" s="110"/>
      <c r="S382" s="110"/>
      <c r="W382" s="110"/>
      <c r="X382" s="110"/>
      <c r="Y382" s="106"/>
      <c r="Z382" s="106"/>
    </row>
    <row r="383" spans="12:26" ht="15.75" customHeight="1" x14ac:dyDescent="0.3">
      <c r="L383" s="109"/>
      <c r="M383" s="110"/>
      <c r="N383" s="110"/>
      <c r="Q383" s="110"/>
      <c r="R383" s="110"/>
      <c r="S383" s="110"/>
      <c r="W383" s="110"/>
      <c r="X383" s="110"/>
      <c r="Y383" s="106"/>
      <c r="Z383" s="106"/>
    </row>
    <row r="384" spans="12:26" ht="15.75" customHeight="1" x14ac:dyDescent="0.3">
      <c r="L384" s="109"/>
      <c r="M384" s="110"/>
      <c r="N384" s="110"/>
      <c r="Q384" s="110"/>
      <c r="R384" s="110"/>
      <c r="S384" s="110"/>
      <c r="W384" s="110"/>
      <c r="X384" s="110"/>
      <c r="Y384" s="106"/>
      <c r="Z384" s="106"/>
    </row>
    <row r="385" spans="12:26" ht="15.75" customHeight="1" x14ac:dyDescent="0.3">
      <c r="L385" s="109"/>
      <c r="M385" s="110"/>
      <c r="N385" s="110"/>
      <c r="Q385" s="110"/>
      <c r="R385" s="110"/>
      <c r="S385" s="110"/>
      <c r="W385" s="110"/>
      <c r="X385" s="110"/>
      <c r="Y385" s="106"/>
      <c r="Z385" s="106"/>
    </row>
    <row r="386" spans="12:26" ht="15.75" customHeight="1" x14ac:dyDescent="0.3">
      <c r="L386" s="109"/>
      <c r="M386" s="110"/>
      <c r="N386" s="110"/>
      <c r="Q386" s="110"/>
      <c r="R386" s="110"/>
      <c r="S386" s="110"/>
      <c r="W386" s="110"/>
      <c r="X386" s="110"/>
      <c r="Y386" s="106"/>
      <c r="Z386" s="106"/>
    </row>
    <row r="387" spans="12:26" ht="15.75" customHeight="1" x14ac:dyDescent="0.3">
      <c r="L387" s="109"/>
      <c r="M387" s="110"/>
      <c r="N387" s="110"/>
      <c r="Q387" s="110"/>
      <c r="R387" s="110"/>
      <c r="S387" s="110"/>
      <c r="W387" s="110"/>
      <c r="X387" s="110"/>
      <c r="Y387" s="106"/>
      <c r="Z387" s="106"/>
    </row>
    <row r="388" spans="12:26" ht="15.75" customHeight="1" x14ac:dyDescent="0.3">
      <c r="L388" s="109"/>
      <c r="M388" s="110"/>
      <c r="N388" s="110"/>
      <c r="Q388" s="110"/>
      <c r="R388" s="110"/>
      <c r="S388" s="110"/>
      <c r="W388" s="110"/>
      <c r="X388" s="110"/>
      <c r="Y388" s="106"/>
      <c r="Z388" s="106"/>
    </row>
    <row r="389" spans="12:26" ht="15.75" customHeight="1" x14ac:dyDescent="0.3">
      <c r="L389" s="109"/>
      <c r="M389" s="110"/>
      <c r="N389" s="110"/>
      <c r="Q389" s="110"/>
      <c r="R389" s="110"/>
      <c r="S389" s="110"/>
      <c r="W389" s="110"/>
      <c r="X389" s="110"/>
      <c r="Y389" s="106"/>
      <c r="Z389" s="106"/>
    </row>
    <row r="390" spans="12:26" ht="15.75" customHeight="1" x14ac:dyDescent="0.3">
      <c r="L390" s="109"/>
      <c r="M390" s="110"/>
      <c r="N390" s="110"/>
      <c r="Q390" s="110"/>
      <c r="R390" s="110"/>
      <c r="S390" s="110"/>
      <c r="W390" s="110"/>
      <c r="X390" s="110"/>
      <c r="Y390" s="106"/>
      <c r="Z390" s="106"/>
    </row>
    <row r="391" spans="12:26" ht="15.75" customHeight="1" x14ac:dyDescent="0.3">
      <c r="L391" s="109"/>
      <c r="M391" s="110"/>
      <c r="N391" s="110"/>
      <c r="Q391" s="110"/>
      <c r="R391" s="110"/>
      <c r="S391" s="110"/>
      <c r="W391" s="110"/>
      <c r="X391" s="110"/>
      <c r="Y391" s="106"/>
      <c r="Z391" s="106"/>
    </row>
    <row r="392" spans="12:26" ht="15.75" customHeight="1" x14ac:dyDescent="0.3">
      <c r="L392" s="109"/>
      <c r="M392" s="110"/>
      <c r="N392" s="110"/>
      <c r="Q392" s="110"/>
      <c r="R392" s="110"/>
      <c r="S392" s="110"/>
      <c r="W392" s="110"/>
      <c r="X392" s="110"/>
      <c r="Y392" s="106"/>
      <c r="Z392" s="106"/>
    </row>
    <row r="393" spans="12:26" ht="15.75" customHeight="1" x14ac:dyDescent="0.3">
      <c r="L393" s="109"/>
      <c r="M393" s="110"/>
      <c r="N393" s="110"/>
      <c r="Q393" s="110"/>
      <c r="R393" s="110"/>
      <c r="S393" s="110"/>
      <c r="W393" s="110"/>
      <c r="X393" s="110"/>
      <c r="Y393" s="106"/>
      <c r="Z393" s="106"/>
    </row>
    <row r="394" spans="12:26" ht="15.75" customHeight="1" x14ac:dyDescent="0.3">
      <c r="L394" s="109"/>
      <c r="M394" s="110"/>
      <c r="N394" s="110"/>
      <c r="Q394" s="110"/>
      <c r="R394" s="110"/>
      <c r="S394" s="110"/>
      <c r="W394" s="110"/>
      <c r="X394" s="110"/>
      <c r="Y394" s="106"/>
      <c r="Z394" s="106"/>
    </row>
    <row r="395" spans="12:26" ht="15.75" customHeight="1" x14ac:dyDescent="0.3">
      <c r="L395" s="109"/>
      <c r="M395" s="110"/>
      <c r="N395" s="110"/>
      <c r="Q395" s="110"/>
      <c r="R395" s="110"/>
      <c r="S395" s="110"/>
      <c r="W395" s="110"/>
      <c r="X395" s="110"/>
      <c r="Y395" s="106"/>
      <c r="Z395" s="106"/>
    </row>
    <row r="396" spans="12:26" ht="15.75" customHeight="1" x14ac:dyDescent="0.3">
      <c r="L396" s="109"/>
      <c r="M396" s="110"/>
      <c r="N396" s="110"/>
      <c r="Q396" s="110"/>
      <c r="R396" s="110"/>
      <c r="S396" s="110"/>
      <c r="W396" s="110"/>
      <c r="X396" s="110"/>
      <c r="Y396" s="106"/>
      <c r="Z396" s="106"/>
    </row>
    <row r="397" spans="12:26" ht="15.75" customHeight="1" x14ac:dyDescent="0.3">
      <c r="L397" s="109"/>
      <c r="M397" s="110"/>
      <c r="N397" s="110"/>
      <c r="Q397" s="110"/>
      <c r="R397" s="110"/>
      <c r="S397" s="110"/>
      <c r="W397" s="110"/>
      <c r="X397" s="110"/>
      <c r="Y397" s="106"/>
      <c r="Z397" s="106"/>
    </row>
    <row r="398" spans="12:26" ht="15.75" customHeight="1" x14ac:dyDescent="0.3">
      <c r="L398" s="109"/>
      <c r="M398" s="110"/>
      <c r="N398" s="110"/>
      <c r="Q398" s="110"/>
      <c r="R398" s="110"/>
      <c r="S398" s="110"/>
      <c r="W398" s="110"/>
      <c r="X398" s="110"/>
      <c r="Y398" s="106"/>
      <c r="Z398" s="106"/>
    </row>
    <row r="399" spans="12:26" ht="15.75" customHeight="1" x14ac:dyDescent="0.3">
      <c r="L399" s="109"/>
      <c r="M399" s="110"/>
      <c r="N399" s="110"/>
      <c r="Q399" s="110"/>
      <c r="R399" s="110"/>
      <c r="S399" s="110"/>
      <c r="W399" s="110"/>
      <c r="X399" s="110"/>
      <c r="Y399" s="106"/>
      <c r="Z399" s="106"/>
    </row>
    <row r="400" spans="12:26" ht="15.75" customHeight="1" x14ac:dyDescent="0.3">
      <c r="L400" s="109"/>
      <c r="M400" s="110"/>
      <c r="N400" s="110"/>
      <c r="Q400" s="110"/>
      <c r="R400" s="110"/>
      <c r="S400" s="110"/>
      <c r="W400" s="110"/>
      <c r="X400" s="110"/>
      <c r="Y400" s="106"/>
      <c r="Z400" s="106"/>
    </row>
    <row r="401" spans="12:26" ht="15.75" customHeight="1" x14ac:dyDescent="0.3">
      <c r="L401" s="109"/>
      <c r="M401" s="110"/>
      <c r="N401" s="110"/>
      <c r="Q401" s="110"/>
      <c r="R401" s="110"/>
      <c r="S401" s="110"/>
      <c r="W401" s="110"/>
      <c r="X401" s="110"/>
      <c r="Y401" s="106"/>
      <c r="Z401" s="106"/>
    </row>
    <row r="402" spans="12:26" ht="15.75" customHeight="1" x14ac:dyDescent="0.3">
      <c r="L402" s="109"/>
      <c r="M402" s="110"/>
      <c r="N402" s="110"/>
      <c r="Q402" s="110"/>
      <c r="R402" s="110"/>
      <c r="S402" s="110"/>
      <c r="W402" s="110"/>
      <c r="X402" s="110"/>
      <c r="Y402" s="106"/>
      <c r="Z402" s="106"/>
    </row>
    <row r="403" spans="12:26" ht="15.75" customHeight="1" x14ac:dyDescent="0.3">
      <c r="L403" s="109"/>
      <c r="M403" s="110"/>
      <c r="N403" s="110"/>
      <c r="Q403" s="110"/>
      <c r="R403" s="110"/>
      <c r="S403" s="110"/>
      <c r="W403" s="110"/>
      <c r="X403" s="110"/>
      <c r="Y403" s="106"/>
      <c r="Z403" s="106"/>
    </row>
    <row r="404" spans="12:26" ht="15.75" customHeight="1" x14ac:dyDescent="0.3">
      <c r="L404" s="109"/>
      <c r="M404" s="110"/>
      <c r="N404" s="110"/>
      <c r="Q404" s="110"/>
      <c r="R404" s="110"/>
      <c r="S404" s="110"/>
      <c r="W404" s="110"/>
      <c r="X404" s="110"/>
      <c r="Y404" s="106"/>
      <c r="Z404" s="106"/>
    </row>
    <row r="405" spans="12:26" ht="15.75" customHeight="1" x14ac:dyDescent="0.3">
      <c r="L405" s="109"/>
      <c r="M405" s="110"/>
      <c r="N405" s="110"/>
      <c r="Q405" s="110"/>
      <c r="R405" s="110"/>
      <c r="S405" s="110"/>
      <c r="W405" s="110"/>
      <c r="X405" s="110"/>
      <c r="Y405" s="106"/>
      <c r="Z405" s="106"/>
    </row>
    <row r="406" spans="12:26" ht="15.75" customHeight="1" x14ac:dyDescent="0.3">
      <c r="L406" s="109"/>
      <c r="M406" s="110"/>
      <c r="N406" s="110"/>
      <c r="Q406" s="110"/>
      <c r="R406" s="110"/>
      <c r="S406" s="110"/>
      <c r="W406" s="110"/>
      <c r="X406" s="110"/>
      <c r="Y406" s="106"/>
      <c r="Z406" s="106"/>
    </row>
    <row r="407" spans="12:26" ht="15.75" customHeight="1" x14ac:dyDescent="0.3">
      <c r="L407" s="109"/>
      <c r="M407" s="110"/>
      <c r="N407" s="110"/>
      <c r="Q407" s="110"/>
      <c r="R407" s="110"/>
      <c r="S407" s="110"/>
      <c r="W407" s="110"/>
      <c r="X407" s="110"/>
      <c r="Y407" s="106"/>
      <c r="Z407" s="106"/>
    </row>
    <row r="408" spans="12:26" ht="15.75" customHeight="1" x14ac:dyDescent="0.3">
      <c r="L408" s="109"/>
      <c r="M408" s="110"/>
      <c r="N408" s="110"/>
      <c r="Q408" s="110"/>
      <c r="R408" s="110"/>
      <c r="S408" s="110"/>
      <c r="W408" s="110"/>
      <c r="X408" s="110"/>
      <c r="Y408" s="106"/>
      <c r="Z408" s="106"/>
    </row>
    <row r="409" spans="12:26" ht="15.75" customHeight="1" x14ac:dyDescent="0.3">
      <c r="L409" s="109"/>
      <c r="M409" s="110"/>
      <c r="N409" s="110"/>
      <c r="Q409" s="110"/>
      <c r="R409" s="110"/>
      <c r="S409" s="110"/>
      <c r="W409" s="110"/>
      <c r="X409" s="110"/>
      <c r="Y409" s="106"/>
      <c r="Z409" s="106"/>
    </row>
    <row r="410" spans="12:26" ht="15.75" customHeight="1" x14ac:dyDescent="0.3">
      <c r="L410" s="109"/>
      <c r="M410" s="110"/>
      <c r="N410" s="110"/>
      <c r="Q410" s="110"/>
      <c r="R410" s="110"/>
      <c r="S410" s="110"/>
      <c r="W410" s="110"/>
      <c r="X410" s="110"/>
      <c r="Y410" s="106"/>
      <c r="Z410" s="106"/>
    </row>
    <row r="411" spans="12:26" ht="15.75" customHeight="1" x14ac:dyDescent="0.3">
      <c r="L411" s="109"/>
      <c r="M411" s="110"/>
      <c r="N411" s="110"/>
      <c r="Q411" s="110"/>
      <c r="R411" s="110"/>
      <c r="S411" s="110"/>
      <c r="W411" s="110"/>
      <c r="X411" s="110"/>
      <c r="Y411" s="106"/>
      <c r="Z411" s="106"/>
    </row>
    <row r="412" spans="12:26" ht="15.75" customHeight="1" x14ac:dyDescent="0.3">
      <c r="L412" s="109"/>
      <c r="M412" s="110"/>
      <c r="N412" s="110"/>
      <c r="Q412" s="110"/>
      <c r="R412" s="110"/>
      <c r="S412" s="110"/>
      <c r="W412" s="110"/>
      <c r="X412" s="110"/>
      <c r="Y412" s="106"/>
      <c r="Z412" s="106"/>
    </row>
    <row r="413" spans="12:26" ht="15.75" customHeight="1" x14ac:dyDescent="0.3">
      <c r="L413" s="109"/>
      <c r="M413" s="110"/>
      <c r="N413" s="110"/>
      <c r="Q413" s="110"/>
      <c r="R413" s="110"/>
      <c r="S413" s="110"/>
      <c r="W413" s="110"/>
      <c r="X413" s="110"/>
      <c r="Y413" s="106"/>
      <c r="Z413" s="106"/>
    </row>
    <row r="414" spans="12:26" ht="15.75" customHeight="1" x14ac:dyDescent="0.3">
      <c r="L414" s="109"/>
      <c r="M414" s="110"/>
      <c r="N414" s="110"/>
      <c r="Q414" s="110"/>
      <c r="R414" s="110"/>
      <c r="S414" s="110"/>
      <c r="W414" s="110"/>
      <c r="X414" s="110"/>
      <c r="Y414" s="106"/>
      <c r="Z414" s="106"/>
    </row>
    <row r="415" spans="12:26" ht="15.75" customHeight="1" x14ac:dyDescent="0.3">
      <c r="L415" s="109"/>
      <c r="M415" s="110"/>
      <c r="N415" s="110"/>
      <c r="Q415" s="110"/>
      <c r="R415" s="110"/>
      <c r="S415" s="110"/>
      <c r="W415" s="110"/>
      <c r="X415" s="110"/>
      <c r="Y415" s="106"/>
      <c r="Z415" s="106"/>
    </row>
    <row r="416" spans="12:26" ht="15.75" customHeight="1" x14ac:dyDescent="0.3">
      <c r="L416" s="109"/>
      <c r="M416" s="110"/>
      <c r="N416" s="110"/>
      <c r="Q416" s="110"/>
      <c r="R416" s="110"/>
      <c r="S416" s="110"/>
      <c r="W416" s="110"/>
      <c r="X416" s="110"/>
      <c r="Y416" s="106"/>
      <c r="Z416" s="106"/>
    </row>
    <row r="417" spans="12:26" ht="15.75" customHeight="1" x14ac:dyDescent="0.3">
      <c r="L417" s="109"/>
      <c r="M417" s="110"/>
      <c r="N417" s="110"/>
      <c r="Q417" s="110"/>
      <c r="R417" s="110"/>
      <c r="S417" s="110"/>
      <c r="W417" s="110"/>
      <c r="X417" s="110"/>
      <c r="Y417" s="106"/>
      <c r="Z417" s="106"/>
    </row>
    <row r="418" spans="12:26" ht="15.75" customHeight="1" x14ac:dyDescent="0.3">
      <c r="L418" s="109"/>
      <c r="M418" s="110"/>
      <c r="N418" s="110"/>
      <c r="Q418" s="110"/>
      <c r="R418" s="110"/>
      <c r="S418" s="110"/>
      <c r="W418" s="110"/>
      <c r="X418" s="110"/>
      <c r="Y418" s="106"/>
      <c r="Z418" s="106"/>
    </row>
    <row r="419" spans="12:26" ht="15.75" customHeight="1" x14ac:dyDescent="0.3">
      <c r="L419" s="109"/>
      <c r="M419" s="110"/>
      <c r="N419" s="110"/>
      <c r="Q419" s="110"/>
      <c r="R419" s="110"/>
      <c r="S419" s="110"/>
      <c r="W419" s="110"/>
      <c r="X419" s="110"/>
      <c r="Y419" s="106"/>
      <c r="Z419" s="106"/>
    </row>
    <row r="420" spans="12:26" ht="15.75" customHeight="1" x14ac:dyDescent="0.3">
      <c r="L420" s="109"/>
      <c r="M420" s="110"/>
      <c r="N420" s="110"/>
      <c r="Q420" s="110"/>
      <c r="R420" s="110"/>
      <c r="S420" s="110"/>
      <c r="W420" s="110"/>
      <c r="X420" s="110"/>
      <c r="Y420" s="106"/>
      <c r="Z420" s="106"/>
    </row>
    <row r="421" spans="12:26" ht="15.75" customHeight="1" x14ac:dyDescent="0.3">
      <c r="L421" s="109"/>
      <c r="M421" s="110"/>
      <c r="N421" s="110"/>
      <c r="Q421" s="110"/>
      <c r="R421" s="110"/>
      <c r="S421" s="110"/>
      <c r="W421" s="110"/>
      <c r="X421" s="110"/>
      <c r="Y421" s="106"/>
      <c r="Z421" s="106"/>
    </row>
    <row r="422" spans="12:26" ht="15.75" customHeight="1" x14ac:dyDescent="0.3">
      <c r="L422" s="109"/>
      <c r="M422" s="110"/>
      <c r="N422" s="110"/>
      <c r="Q422" s="110"/>
      <c r="R422" s="110"/>
      <c r="S422" s="110"/>
      <c r="W422" s="110"/>
      <c r="X422" s="110"/>
      <c r="Y422" s="106"/>
      <c r="Z422" s="106"/>
    </row>
    <row r="423" spans="12:26" ht="15.75" customHeight="1" x14ac:dyDescent="0.3">
      <c r="L423" s="109"/>
      <c r="M423" s="110"/>
      <c r="N423" s="110"/>
      <c r="Q423" s="110"/>
      <c r="R423" s="110"/>
      <c r="S423" s="110"/>
      <c r="W423" s="110"/>
      <c r="X423" s="110"/>
      <c r="Y423" s="106"/>
      <c r="Z423" s="106"/>
    </row>
    <row r="424" spans="12:26" ht="15.75" customHeight="1" x14ac:dyDescent="0.3">
      <c r="L424" s="109"/>
      <c r="M424" s="110"/>
      <c r="N424" s="110"/>
      <c r="Q424" s="110"/>
      <c r="R424" s="110"/>
      <c r="S424" s="110"/>
      <c r="W424" s="110"/>
      <c r="X424" s="110"/>
      <c r="Y424" s="106"/>
      <c r="Z424" s="106"/>
    </row>
    <row r="425" spans="12:26" ht="15.75" customHeight="1" x14ac:dyDescent="0.3">
      <c r="L425" s="109"/>
      <c r="M425" s="110"/>
      <c r="N425" s="110"/>
      <c r="Q425" s="110"/>
      <c r="R425" s="110"/>
      <c r="S425" s="110"/>
      <c r="W425" s="110"/>
      <c r="X425" s="110"/>
      <c r="Y425" s="106"/>
      <c r="Z425" s="106"/>
    </row>
    <row r="426" spans="12:26" ht="15.75" customHeight="1" x14ac:dyDescent="0.3">
      <c r="L426" s="109"/>
      <c r="M426" s="110"/>
      <c r="N426" s="110"/>
      <c r="Q426" s="110"/>
      <c r="R426" s="110"/>
      <c r="S426" s="110"/>
      <c r="W426" s="110"/>
      <c r="X426" s="110"/>
      <c r="Y426" s="106"/>
      <c r="Z426" s="106"/>
    </row>
    <row r="427" spans="12:26" ht="15.75" customHeight="1" x14ac:dyDescent="0.3">
      <c r="L427" s="109"/>
      <c r="M427" s="110"/>
      <c r="N427" s="110"/>
      <c r="Q427" s="110"/>
      <c r="R427" s="110"/>
      <c r="S427" s="110"/>
      <c r="W427" s="110"/>
      <c r="X427" s="110"/>
      <c r="Y427" s="106"/>
      <c r="Z427" s="106"/>
    </row>
    <row r="428" spans="12:26" ht="15.75" customHeight="1" x14ac:dyDescent="0.3">
      <c r="L428" s="109"/>
      <c r="M428" s="110"/>
      <c r="N428" s="110"/>
      <c r="Q428" s="110"/>
      <c r="R428" s="110"/>
      <c r="S428" s="110"/>
      <c r="W428" s="110"/>
      <c r="X428" s="110"/>
      <c r="Y428" s="106"/>
      <c r="Z428" s="106"/>
    </row>
    <row r="429" spans="12:26" ht="15.75" customHeight="1" x14ac:dyDescent="0.3">
      <c r="L429" s="109"/>
      <c r="M429" s="110"/>
      <c r="N429" s="110"/>
      <c r="Q429" s="110"/>
      <c r="R429" s="110"/>
      <c r="S429" s="110"/>
      <c r="W429" s="110"/>
      <c r="X429" s="110"/>
      <c r="Y429" s="106"/>
      <c r="Z429" s="106"/>
    </row>
    <row r="430" spans="12:26" ht="15.75" customHeight="1" x14ac:dyDescent="0.3">
      <c r="L430" s="109"/>
      <c r="M430" s="110"/>
      <c r="N430" s="110"/>
      <c r="Q430" s="110"/>
      <c r="R430" s="110"/>
      <c r="S430" s="110"/>
      <c r="W430" s="110"/>
      <c r="X430" s="110"/>
      <c r="Y430" s="106"/>
      <c r="Z430" s="106"/>
    </row>
    <row r="431" spans="12:26" ht="15.75" customHeight="1" x14ac:dyDescent="0.3">
      <c r="L431" s="109"/>
      <c r="M431" s="110"/>
      <c r="N431" s="110"/>
      <c r="Q431" s="110"/>
      <c r="R431" s="110"/>
      <c r="S431" s="110"/>
      <c r="W431" s="110"/>
      <c r="X431" s="110"/>
      <c r="Y431" s="106"/>
      <c r="Z431" s="106"/>
    </row>
    <row r="432" spans="12:26" ht="15.75" customHeight="1" x14ac:dyDescent="0.3">
      <c r="L432" s="109"/>
      <c r="M432" s="110"/>
      <c r="N432" s="110"/>
      <c r="Q432" s="110"/>
      <c r="R432" s="110"/>
      <c r="S432" s="110"/>
      <c r="W432" s="110"/>
      <c r="X432" s="110"/>
      <c r="Y432" s="106"/>
      <c r="Z432" s="106"/>
    </row>
    <row r="433" spans="12:26" ht="15.75" customHeight="1" x14ac:dyDescent="0.3">
      <c r="L433" s="109"/>
      <c r="M433" s="110"/>
      <c r="N433" s="110"/>
      <c r="Q433" s="110"/>
      <c r="R433" s="110"/>
      <c r="S433" s="110"/>
      <c r="W433" s="110"/>
      <c r="X433" s="110"/>
      <c r="Y433" s="106"/>
      <c r="Z433" s="106"/>
    </row>
    <row r="434" spans="12:26" ht="15.75" customHeight="1" x14ac:dyDescent="0.3">
      <c r="L434" s="109"/>
      <c r="M434" s="110"/>
      <c r="N434" s="110"/>
      <c r="Q434" s="110"/>
      <c r="R434" s="110"/>
      <c r="S434" s="110"/>
      <c r="W434" s="110"/>
      <c r="X434" s="110"/>
      <c r="Y434" s="106"/>
      <c r="Z434" s="106"/>
    </row>
    <row r="435" spans="12:26" ht="15.75" customHeight="1" x14ac:dyDescent="0.3">
      <c r="L435" s="109"/>
      <c r="M435" s="110"/>
      <c r="N435" s="110"/>
      <c r="Q435" s="110"/>
      <c r="R435" s="110"/>
      <c r="S435" s="110"/>
      <c r="W435" s="110"/>
      <c r="X435" s="110"/>
      <c r="Y435" s="106"/>
      <c r="Z435" s="106"/>
    </row>
    <row r="436" spans="12:26" ht="15.75" customHeight="1" x14ac:dyDescent="0.3">
      <c r="L436" s="109"/>
      <c r="M436" s="110"/>
      <c r="N436" s="110"/>
      <c r="Q436" s="110"/>
      <c r="R436" s="110"/>
      <c r="S436" s="110"/>
      <c r="W436" s="110"/>
      <c r="X436" s="110"/>
      <c r="Y436" s="106"/>
      <c r="Z436" s="106"/>
    </row>
    <row r="437" spans="12:26" ht="15.75" customHeight="1" x14ac:dyDescent="0.3">
      <c r="L437" s="109"/>
      <c r="M437" s="110"/>
      <c r="N437" s="110"/>
      <c r="Q437" s="110"/>
      <c r="R437" s="110"/>
      <c r="S437" s="110"/>
      <c r="W437" s="110"/>
      <c r="X437" s="110"/>
      <c r="Y437" s="106"/>
      <c r="Z437" s="106"/>
    </row>
    <row r="438" spans="12:26" ht="15.75" customHeight="1" x14ac:dyDescent="0.3">
      <c r="L438" s="109"/>
      <c r="M438" s="110"/>
      <c r="N438" s="110"/>
      <c r="Q438" s="110"/>
      <c r="R438" s="110"/>
      <c r="S438" s="110"/>
      <c r="W438" s="110"/>
      <c r="X438" s="110"/>
      <c r="Y438" s="106"/>
      <c r="Z438" s="106"/>
    </row>
    <row r="439" spans="12:26" ht="15.75" customHeight="1" x14ac:dyDescent="0.3">
      <c r="L439" s="109"/>
      <c r="M439" s="110"/>
      <c r="N439" s="110"/>
      <c r="Q439" s="110"/>
      <c r="R439" s="110"/>
      <c r="S439" s="110"/>
      <c r="W439" s="110"/>
      <c r="X439" s="110"/>
      <c r="Y439" s="106"/>
      <c r="Z439" s="106"/>
    </row>
    <row r="440" spans="12:26" ht="15.75" customHeight="1" x14ac:dyDescent="0.3">
      <c r="L440" s="109"/>
      <c r="M440" s="110"/>
      <c r="N440" s="110"/>
      <c r="Q440" s="110"/>
      <c r="R440" s="110"/>
      <c r="S440" s="110"/>
      <c r="W440" s="110"/>
      <c r="X440" s="110"/>
      <c r="Y440" s="106"/>
      <c r="Z440" s="106"/>
    </row>
    <row r="441" spans="12:26" ht="15.75" customHeight="1" x14ac:dyDescent="0.3">
      <c r="L441" s="109"/>
      <c r="M441" s="110"/>
      <c r="N441" s="110"/>
      <c r="Q441" s="110"/>
      <c r="R441" s="110"/>
      <c r="S441" s="110"/>
      <c r="W441" s="110"/>
      <c r="X441" s="110"/>
      <c r="Y441" s="106"/>
      <c r="Z441" s="106"/>
    </row>
    <row r="442" spans="12:26" ht="15.75" customHeight="1" x14ac:dyDescent="0.3">
      <c r="L442" s="109"/>
      <c r="M442" s="110"/>
      <c r="N442" s="110"/>
      <c r="Q442" s="110"/>
      <c r="R442" s="110"/>
      <c r="S442" s="110"/>
      <c r="W442" s="110"/>
      <c r="X442" s="110"/>
      <c r="Y442" s="106"/>
      <c r="Z442" s="106"/>
    </row>
    <row r="443" spans="12:26" ht="15.75" customHeight="1" x14ac:dyDescent="0.3">
      <c r="L443" s="109"/>
      <c r="M443" s="110"/>
      <c r="N443" s="110"/>
      <c r="Q443" s="110"/>
      <c r="R443" s="110"/>
      <c r="S443" s="110"/>
      <c r="W443" s="110"/>
      <c r="X443" s="110"/>
      <c r="Y443" s="106"/>
      <c r="Z443" s="106"/>
    </row>
    <row r="444" spans="12:26" ht="15.75" customHeight="1" x14ac:dyDescent="0.3">
      <c r="L444" s="109"/>
      <c r="M444" s="110"/>
      <c r="N444" s="110"/>
      <c r="Q444" s="110"/>
      <c r="R444" s="110"/>
      <c r="S444" s="110"/>
      <c r="W444" s="110"/>
      <c r="X444" s="110"/>
      <c r="Y444" s="106"/>
      <c r="Z444" s="106"/>
    </row>
    <row r="445" spans="12:26" ht="15.75" customHeight="1" x14ac:dyDescent="0.3">
      <c r="L445" s="109"/>
      <c r="M445" s="110"/>
      <c r="N445" s="110"/>
      <c r="Q445" s="110"/>
      <c r="R445" s="110"/>
      <c r="S445" s="110"/>
      <c r="W445" s="110"/>
      <c r="X445" s="110"/>
      <c r="Y445" s="106"/>
      <c r="Z445" s="106"/>
    </row>
    <row r="446" spans="12:26" ht="15.75" customHeight="1" x14ac:dyDescent="0.3">
      <c r="L446" s="109"/>
      <c r="M446" s="110"/>
      <c r="N446" s="110"/>
      <c r="Q446" s="110"/>
      <c r="R446" s="110"/>
      <c r="S446" s="110"/>
      <c r="W446" s="110"/>
      <c r="X446" s="110"/>
      <c r="Y446" s="106"/>
      <c r="Z446" s="106"/>
    </row>
    <row r="447" spans="12:26" ht="15.75" customHeight="1" x14ac:dyDescent="0.3">
      <c r="L447" s="109"/>
      <c r="M447" s="110"/>
      <c r="N447" s="110"/>
      <c r="Q447" s="110"/>
      <c r="R447" s="110"/>
      <c r="S447" s="110"/>
      <c r="W447" s="110"/>
      <c r="X447" s="110"/>
      <c r="Y447" s="106"/>
      <c r="Z447" s="106"/>
    </row>
    <row r="448" spans="12:26" ht="15.75" customHeight="1" x14ac:dyDescent="0.3">
      <c r="L448" s="109"/>
      <c r="M448" s="110"/>
      <c r="N448" s="110"/>
      <c r="Q448" s="110"/>
      <c r="R448" s="110"/>
      <c r="S448" s="110"/>
      <c r="W448" s="110"/>
      <c r="X448" s="110"/>
      <c r="Y448" s="106"/>
      <c r="Z448" s="106"/>
    </row>
    <row r="449" spans="12:26" ht="15.75" customHeight="1" x14ac:dyDescent="0.3">
      <c r="L449" s="109"/>
      <c r="M449" s="110"/>
      <c r="N449" s="110"/>
      <c r="Q449" s="110"/>
      <c r="R449" s="110"/>
      <c r="S449" s="110"/>
      <c r="W449" s="110"/>
      <c r="X449" s="110"/>
      <c r="Y449" s="106"/>
      <c r="Z449" s="106"/>
    </row>
    <row r="450" spans="12:26" ht="15.75" customHeight="1" x14ac:dyDescent="0.3">
      <c r="L450" s="109"/>
      <c r="M450" s="110"/>
      <c r="N450" s="110"/>
      <c r="Q450" s="110"/>
      <c r="R450" s="110"/>
      <c r="S450" s="110"/>
      <c r="W450" s="110"/>
      <c r="X450" s="110"/>
      <c r="Y450" s="106"/>
      <c r="Z450" s="106"/>
    </row>
    <row r="451" spans="12:26" ht="15.75" customHeight="1" x14ac:dyDescent="0.3">
      <c r="L451" s="109"/>
      <c r="M451" s="110"/>
      <c r="N451" s="110"/>
      <c r="Q451" s="110"/>
      <c r="R451" s="110"/>
      <c r="S451" s="110"/>
      <c r="W451" s="110"/>
      <c r="X451" s="110"/>
      <c r="Y451" s="106"/>
      <c r="Z451" s="106"/>
    </row>
    <row r="452" spans="12:26" ht="15.75" customHeight="1" x14ac:dyDescent="0.3">
      <c r="L452" s="109"/>
      <c r="M452" s="110"/>
      <c r="N452" s="110"/>
      <c r="Q452" s="110"/>
      <c r="R452" s="110"/>
      <c r="S452" s="110"/>
      <c r="W452" s="110"/>
      <c r="X452" s="110"/>
      <c r="Y452" s="106"/>
      <c r="Z452" s="106"/>
    </row>
    <row r="453" spans="12:26" ht="15.75" customHeight="1" x14ac:dyDescent="0.3">
      <c r="L453" s="109"/>
      <c r="M453" s="110"/>
      <c r="N453" s="110"/>
      <c r="Q453" s="110"/>
      <c r="R453" s="110"/>
      <c r="S453" s="110"/>
      <c r="W453" s="110"/>
      <c r="X453" s="110"/>
      <c r="Y453" s="106"/>
      <c r="Z453" s="106"/>
    </row>
    <row r="454" spans="12:26" ht="15.75" customHeight="1" x14ac:dyDescent="0.3">
      <c r="L454" s="109"/>
      <c r="M454" s="110"/>
      <c r="N454" s="110"/>
      <c r="Q454" s="110"/>
      <c r="R454" s="110"/>
      <c r="S454" s="110"/>
      <c r="W454" s="110"/>
      <c r="X454" s="110"/>
      <c r="Y454" s="106"/>
      <c r="Z454" s="106"/>
    </row>
    <row r="455" spans="12:26" ht="15.75" customHeight="1" x14ac:dyDescent="0.3">
      <c r="L455" s="109"/>
      <c r="M455" s="110"/>
      <c r="N455" s="110"/>
      <c r="Q455" s="110"/>
      <c r="R455" s="110"/>
      <c r="S455" s="110"/>
      <c r="W455" s="110"/>
      <c r="X455" s="110"/>
      <c r="Y455" s="106"/>
      <c r="Z455" s="106"/>
    </row>
    <row r="456" spans="12:26" ht="15.75" customHeight="1" x14ac:dyDescent="0.3">
      <c r="L456" s="109"/>
      <c r="M456" s="110"/>
      <c r="N456" s="110"/>
      <c r="Q456" s="110"/>
      <c r="R456" s="110"/>
      <c r="S456" s="110"/>
      <c r="W456" s="110"/>
      <c r="X456" s="110"/>
      <c r="Y456" s="106"/>
      <c r="Z456" s="106"/>
    </row>
    <row r="457" spans="12:26" ht="15.75" customHeight="1" x14ac:dyDescent="0.3">
      <c r="L457" s="109"/>
      <c r="M457" s="110"/>
      <c r="N457" s="110"/>
      <c r="Q457" s="110"/>
      <c r="R457" s="110"/>
      <c r="S457" s="110"/>
      <c r="W457" s="110"/>
      <c r="X457" s="110"/>
      <c r="Y457" s="106"/>
      <c r="Z457" s="106"/>
    </row>
    <row r="458" spans="12:26" ht="15.75" customHeight="1" x14ac:dyDescent="0.3">
      <c r="L458" s="109"/>
      <c r="M458" s="110"/>
      <c r="N458" s="110"/>
      <c r="Q458" s="110"/>
      <c r="R458" s="110"/>
      <c r="S458" s="110"/>
      <c r="W458" s="110"/>
      <c r="X458" s="110"/>
      <c r="Y458" s="106"/>
      <c r="Z458" s="106"/>
    </row>
    <row r="459" spans="12:26" ht="15.75" customHeight="1" x14ac:dyDescent="0.3">
      <c r="L459" s="109"/>
      <c r="M459" s="110"/>
      <c r="N459" s="110"/>
      <c r="Q459" s="110"/>
      <c r="R459" s="110"/>
      <c r="S459" s="110"/>
      <c r="W459" s="110"/>
      <c r="X459" s="110"/>
      <c r="Y459" s="106"/>
      <c r="Z459" s="106"/>
    </row>
    <row r="460" spans="12:26" ht="15.75" customHeight="1" x14ac:dyDescent="0.3">
      <c r="L460" s="109"/>
      <c r="M460" s="110"/>
      <c r="N460" s="110"/>
      <c r="Q460" s="110"/>
      <c r="R460" s="110"/>
      <c r="S460" s="110"/>
      <c r="W460" s="110"/>
      <c r="X460" s="110"/>
      <c r="Y460" s="106"/>
      <c r="Z460" s="106"/>
    </row>
    <row r="461" spans="12:26" ht="15.75" customHeight="1" x14ac:dyDescent="0.3">
      <c r="L461" s="109"/>
      <c r="M461" s="110"/>
      <c r="N461" s="110"/>
      <c r="Q461" s="110"/>
      <c r="R461" s="110"/>
      <c r="S461" s="110"/>
      <c r="W461" s="110"/>
      <c r="X461" s="110"/>
      <c r="Y461" s="106"/>
      <c r="Z461" s="106"/>
    </row>
    <row r="462" spans="12:26" ht="15.75" customHeight="1" x14ac:dyDescent="0.3">
      <c r="L462" s="109"/>
      <c r="M462" s="110"/>
      <c r="N462" s="110"/>
      <c r="Q462" s="110"/>
      <c r="R462" s="110"/>
      <c r="S462" s="110"/>
      <c r="W462" s="110"/>
      <c r="X462" s="110"/>
      <c r="Y462" s="106"/>
      <c r="Z462" s="106"/>
    </row>
    <row r="463" spans="12:26" ht="15.75" customHeight="1" x14ac:dyDescent="0.3">
      <c r="L463" s="109"/>
      <c r="M463" s="110"/>
      <c r="N463" s="110"/>
      <c r="Q463" s="110"/>
      <c r="R463" s="110"/>
      <c r="S463" s="110"/>
      <c r="W463" s="110"/>
      <c r="X463" s="110"/>
      <c r="Y463" s="106"/>
      <c r="Z463" s="106"/>
    </row>
    <row r="464" spans="12:26" ht="15.75" customHeight="1" x14ac:dyDescent="0.3">
      <c r="L464" s="109"/>
      <c r="M464" s="110"/>
      <c r="N464" s="110"/>
      <c r="Q464" s="110"/>
      <c r="R464" s="110"/>
      <c r="S464" s="110"/>
      <c r="W464" s="110"/>
      <c r="X464" s="110"/>
      <c r="Y464" s="106"/>
      <c r="Z464" s="106"/>
    </row>
    <row r="465" spans="12:26" ht="15.75" customHeight="1" x14ac:dyDescent="0.3">
      <c r="L465" s="109"/>
      <c r="M465" s="110"/>
      <c r="N465" s="110"/>
      <c r="Q465" s="110"/>
      <c r="R465" s="110"/>
      <c r="S465" s="110"/>
      <c r="W465" s="110"/>
      <c r="X465" s="110"/>
      <c r="Y465" s="106"/>
      <c r="Z465" s="106"/>
    </row>
    <row r="466" spans="12:26" ht="15.75" customHeight="1" x14ac:dyDescent="0.3">
      <c r="L466" s="109"/>
      <c r="M466" s="110"/>
      <c r="N466" s="110"/>
      <c r="Q466" s="110"/>
      <c r="R466" s="110"/>
      <c r="S466" s="110"/>
      <c r="W466" s="110"/>
      <c r="X466" s="110"/>
      <c r="Y466" s="106"/>
      <c r="Z466" s="106"/>
    </row>
    <row r="467" spans="12:26" ht="15.75" customHeight="1" x14ac:dyDescent="0.3">
      <c r="L467" s="109"/>
      <c r="M467" s="110"/>
      <c r="N467" s="110"/>
      <c r="Q467" s="110"/>
      <c r="R467" s="110"/>
      <c r="S467" s="110"/>
      <c r="W467" s="110"/>
      <c r="X467" s="110"/>
      <c r="Y467" s="106"/>
      <c r="Z467" s="106"/>
    </row>
    <row r="468" spans="12:26" ht="15.75" customHeight="1" x14ac:dyDescent="0.3">
      <c r="L468" s="109"/>
      <c r="M468" s="110"/>
      <c r="N468" s="110"/>
      <c r="Q468" s="110"/>
      <c r="R468" s="110"/>
      <c r="S468" s="110"/>
      <c r="W468" s="110"/>
      <c r="X468" s="110"/>
      <c r="Y468" s="106"/>
      <c r="Z468" s="106"/>
    </row>
    <row r="469" spans="12:26" ht="15.75" customHeight="1" x14ac:dyDescent="0.3">
      <c r="L469" s="109"/>
      <c r="M469" s="110"/>
      <c r="N469" s="110"/>
      <c r="Q469" s="110"/>
      <c r="R469" s="110"/>
      <c r="S469" s="110"/>
      <c r="W469" s="110"/>
      <c r="X469" s="110"/>
      <c r="Y469" s="106"/>
      <c r="Z469" s="106"/>
    </row>
    <row r="470" spans="12:26" ht="15.75" customHeight="1" x14ac:dyDescent="0.3">
      <c r="L470" s="109"/>
      <c r="M470" s="110"/>
      <c r="N470" s="110"/>
      <c r="Q470" s="110"/>
      <c r="R470" s="110"/>
      <c r="S470" s="110"/>
      <c r="W470" s="110"/>
      <c r="X470" s="110"/>
      <c r="Y470" s="106"/>
      <c r="Z470" s="106"/>
    </row>
    <row r="471" spans="12:26" ht="15.75" customHeight="1" x14ac:dyDescent="0.3">
      <c r="L471" s="109"/>
      <c r="M471" s="110"/>
      <c r="N471" s="110"/>
      <c r="Q471" s="110"/>
      <c r="R471" s="110"/>
      <c r="S471" s="110"/>
      <c r="W471" s="110"/>
      <c r="X471" s="110"/>
      <c r="Y471" s="106"/>
      <c r="Z471" s="106"/>
    </row>
    <row r="472" spans="12:26" ht="15.75" customHeight="1" x14ac:dyDescent="0.3">
      <c r="L472" s="109"/>
      <c r="M472" s="110"/>
      <c r="N472" s="110"/>
      <c r="Q472" s="110"/>
      <c r="R472" s="110"/>
      <c r="S472" s="110"/>
      <c r="W472" s="110"/>
      <c r="X472" s="110"/>
      <c r="Y472" s="106"/>
      <c r="Z472" s="106"/>
    </row>
    <row r="473" spans="12:26" ht="15.75" customHeight="1" x14ac:dyDescent="0.3">
      <c r="L473" s="109"/>
      <c r="M473" s="110"/>
      <c r="N473" s="110"/>
      <c r="Q473" s="110"/>
      <c r="R473" s="110"/>
      <c r="S473" s="110"/>
      <c r="W473" s="110"/>
      <c r="X473" s="110"/>
      <c r="Y473" s="106"/>
      <c r="Z473" s="106"/>
    </row>
    <row r="474" spans="12:26" ht="15.75" customHeight="1" x14ac:dyDescent="0.3">
      <c r="L474" s="109"/>
      <c r="M474" s="110"/>
      <c r="N474" s="110"/>
      <c r="Q474" s="110"/>
      <c r="R474" s="110"/>
      <c r="S474" s="110"/>
      <c r="W474" s="110"/>
      <c r="X474" s="110"/>
      <c r="Y474" s="106"/>
      <c r="Z474" s="106"/>
    </row>
    <row r="475" spans="12:26" ht="15.75" customHeight="1" x14ac:dyDescent="0.3">
      <c r="L475" s="109"/>
      <c r="M475" s="110"/>
      <c r="N475" s="110"/>
      <c r="Q475" s="110"/>
      <c r="R475" s="110"/>
      <c r="S475" s="110"/>
      <c r="W475" s="110"/>
      <c r="X475" s="110"/>
      <c r="Y475" s="106"/>
      <c r="Z475" s="106"/>
    </row>
    <row r="476" spans="12:26" ht="15.75" customHeight="1" x14ac:dyDescent="0.3">
      <c r="L476" s="109"/>
      <c r="M476" s="110"/>
      <c r="N476" s="110"/>
      <c r="Q476" s="110"/>
      <c r="R476" s="110"/>
      <c r="S476" s="110"/>
      <c r="W476" s="110"/>
      <c r="X476" s="110"/>
      <c r="Y476" s="106"/>
      <c r="Z476" s="106"/>
    </row>
    <row r="477" spans="12:26" ht="15.75" customHeight="1" x14ac:dyDescent="0.3">
      <c r="L477" s="109"/>
      <c r="M477" s="110"/>
      <c r="N477" s="110"/>
      <c r="Q477" s="110"/>
      <c r="R477" s="110"/>
      <c r="S477" s="110"/>
      <c r="W477" s="110"/>
      <c r="X477" s="110"/>
      <c r="Y477" s="106"/>
      <c r="Z477" s="106"/>
    </row>
    <row r="478" spans="12:26" ht="15.75" customHeight="1" x14ac:dyDescent="0.3">
      <c r="L478" s="109"/>
      <c r="M478" s="110"/>
      <c r="N478" s="110"/>
      <c r="Q478" s="110"/>
      <c r="R478" s="110"/>
      <c r="S478" s="110"/>
      <c r="W478" s="110"/>
      <c r="X478" s="110"/>
      <c r="Y478" s="106"/>
      <c r="Z478" s="106"/>
    </row>
    <row r="479" spans="12:26" ht="15.75" customHeight="1" x14ac:dyDescent="0.3">
      <c r="L479" s="109"/>
      <c r="M479" s="110"/>
      <c r="N479" s="110"/>
      <c r="Q479" s="110"/>
      <c r="R479" s="110"/>
      <c r="S479" s="110"/>
      <c r="W479" s="110"/>
      <c r="X479" s="110"/>
      <c r="Y479" s="106"/>
      <c r="Z479" s="106"/>
    </row>
    <row r="480" spans="12:26" ht="15.75" customHeight="1" x14ac:dyDescent="0.3">
      <c r="L480" s="109"/>
      <c r="M480" s="110"/>
      <c r="N480" s="110"/>
      <c r="Q480" s="110"/>
      <c r="R480" s="110"/>
      <c r="S480" s="110"/>
      <c r="W480" s="110"/>
      <c r="X480" s="110"/>
      <c r="Y480" s="106"/>
      <c r="Z480" s="106"/>
    </row>
    <row r="481" spans="12:26" ht="15.75" customHeight="1" x14ac:dyDescent="0.3">
      <c r="L481" s="109"/>
      <c r="M481" s="110"/>
      <c r="N481" s="110"/>
      <c r="Q481" s="110"/>
      <c r="R481" s="110"/>
      <c r="S481" s="110"/>
      <c r="W481" s="110"/>
      <c r="X481" s="110"/>
      <c r="Y481" s="106"/>
      <c r="Z481" s="106"/>
    </row>
    <row r="482" spans="12:26" ht="15.75" customHeight="1" x14ac:dyDescent="0.3">
      <c r="L482" s="109"/>
      <c r="M482" s="110"/>
      <c r="N482" s="110"/>
      <c r="Q482" s="110"/>
      <c r="R482" s="110"/>
      <c r="S482" s="110"/>
      <c r="W482" s="110"/>
      <c r="X482" s="110"/>
      <c r="Y482" s="106"/>
      <c r="Z482" s="106"/>
    </row>
    <row r="483" spans="12:26" ht="15.75" customHeight="1" x14ac:dyDescent="0.3">
      <c r="L483" s="109"/>
      <c r="M483" s="110"/>
      <c r="N483" s="110"/>
      <c r="Q483" s="110"/>
      <c r="R483" s="110"/>
      <c r="S483" s="110"/>
      <c r="W483" s="110"/>
      <c r="X483" s="110"/>
      <c r="Y483" s="106"/>
      <c r="Z483" s="106"/>
    </row>
    <row r="484" spans="12:26" ht="15.75" customHeight="1" x14ac:dyDescent="0.3">
      <c r="L484" s="109"/>
      <c r="M484" s="110"/>
      <c r="N484" s="110"/>
      <c r="Q484" s="110"/>
      <c r="R484" s="110"/>
      <c r="S484" s="110"/>
      <c r="W484" s="110"/>
      <c r="X484" s="110"/>
      <c r="Y484" s="106"/>
      <c r="Z484" s="106"/>
    </row>
    <row r="485" spans="12:26" ht="15.75" customHeight="1" x14ac:dyDescent="0.3">
      <c r="L485" s="109"/>
      <c r="M485" s="110"/>
      <c r="N485" s="110"/>
      <c r="Q485" s="110"/>
      <c r="R485" s="110"/>
      <c r="S485" s="110"/>
      <c r="W485" s="110"/>
      <c r="X485" s="110"/>
      <c r="Y485" s="106"/>
      <c r="Z485" s="106"/>
    </row>
    <row r="486" spans="12:26" ht="15.75" customHeight="1" x14ac:dyDescent="0.3">
      <c r="L486" s="109"/>
      <c r="M486" s="110"/>
      <c r="N486" s="110"/>
      <c r="Q486" s="110"/>
      <c r="R486" s="110"/>
      <c r="S486" s="110"/>
      <c r="W486" s="110"/>
      <c r="X486" s="110"/>
      <c r="Y486" s="106"/>
      <c r="Z486" s="106"/>
    </row>
    <row r="487" spans="12:26" ht="15.75" customHeight="1" x14ac:dyDescent="0.3">
      <c r="L487" s="109"/>
      <c r="M487" s="110"/>
      <c r="N487" s="110"/>
      <c r="Q487" s="110"/>
      <c r="R487" s="110"/>
      <c r="S487" s="110"/>
      <c r="W487" s="110"/>
      <c r="X487" s="110"/>
      <c r="Y487" s="106"/>
      <c r="Z487" s="106"/>
    </row>
    <row r="488" spans="12:26" ht="15.75" customHeight="1" x14ac:dyDescent="0.3">
      <c r="L488" s="109"/>
      <c r="M488" s="110"/>
      <c r="N488" s="110"/>
      <c r="Q488" s="110"/>
      <c r="R488" s="110"/>
      <c r="S488" s="110"/>
      <c r="W488" s="110"/>
      <c r="X488" s="110"/>
      <c r="Y488" s="106"/>
      <c r="Z488" s="106"/>
    </row>
    <row r="489" spans="12:26" ht="15.75" customHeight="1" x14ac:dyDescent="0.3">
      <c r="L489" s="109"/>
      <c r="M489" s="110"/>
      <c r="N489" s="110"/>
      <c r="Q489" s="110"/>
      <c r="R489" s="110"/>
      <c r="S489" s="110"/>
      <c r="W489" s="110"/>
      <c r="X489" s="110"/>
      <c r="Y489" s="106"/>
      <c r="Z489" s="106"/>
    </row>
    <row r="490" spans="12:26" ht="15.75" customHeight="1" x14ac:dyDescent="0.3">
      <c r="L490" s="109"/>
      <c r="M490" s="110"/>
      <c r="N490" s="110"/>
      <c r="Q490" s="110"/>
      <c r="R490" s="110"/>
      <c r="S490" s="110"/>
      <c r="W490" s="110"/>
      <c r="X490" s="110"/>
      <c r="Y490" s="106"/>
      <c r="Z490" s="106"/>
    </row>
    <row r="491" spans="12:26" ht="15.75" customHeight="1" x14ac:dyDescent="0.3">
      <c r="L491" s="109"/>
      <c r="M491" s="110"/>
      <c r="N491" s="110"/>
      <c r="Q491" s="110"/>
      <c r="R491" s="110"/>
      <c r="S491" s="110"/>
      <c r="W491" s="110"/>
      <c r="X491" s="110"/>
      <c r="Y491" s="106"/>
      <c r="Z491" s="106"/>
    </row>
    <row r="492" spans="12:26" ht="15.75" customHeight="1" x14ac:dyDescent="0.3">
      <c r="L492" s="109"/>
      <c r="M492" s="110"/>
      <c r="N492" s="110"/>
      <c r="Q492" s="110"/>
      <c r="R492" s="110"/>
      <c r="S492" s="110"/>
      <c r="W492" s="110"/>
      <c r="X492" s="110"/>
      <c r="Y492" s="106"/>
      <c r="Z492" s="106"/>
    </row>
    <row r="493" spans="12:26" ht="15.75" customHeight="1" x14ac:dyDescent="0.3">
      <c r="L493" s="109"/>
      <c r="M493" s="110"/>
      <c r="N493" s="110"/>
      <c r="Q493" s="110"/>
      <c r="R493" s="110"/>
      <c r="S493" s="110"/>
      <c r="W493" s="110"/>
      <c r="X493" s="110"/>
      <c r="Y493" s="106"/>
      <c r="Z493" s="106"/>
    </row>
    <row r="494" spans="12:26" ht="15.75" customHeight="1" x14ac:dyDescent="0.3">
      <c r="L494" s="109"/>
      <c r="M494" s="110"/>
      <c r="N494" s="110"/>
      <c r="Q494" s="110"/>
      <c r="R494" s="110"/>
      <c r="S494" s="110"/>
      <c r="W494" s="110"/>
      <c r="X494" s="110"/>
      <c r="Y494" s="106"/>
      <c r="Z494" s="106"/>
    </row>
    <row r="495" spans="12:26" ht="15.75" customHeight="1" x14ac:dyDescent="0.3">
      <c r="L495" s="109"/>
      <c r="M495" s="110"/>
      <c r="N495" s="110"/>
      <c r="Q495" s="110"/>
      <c r="R495" s="110"/>
      <c r="S495" s="110"/>
      <c r="W495" s="110"/>
      <c r="X495" s="110"/>
      <c r="Y495" s="106"/>
      <c r="Z495" s="106"/>
    </row>
    <row r="496" spans="12:26" ht="15.75" customHeight="1" x14ac:dyDescent="0.3">
      <c r="L496" s="109"/>
      <c r="M496" s="110"/>
      <c r="N496" s="110"/>
      <c r="Q496" s="110"/>
      <c r="R496" s="110"/>
      <c r="S496" s="110"/>
      <c r="W496" s="110"/>
      <c r="X496" s="110"/>
      <c r="Y496" s="106"/>
      <c r="Z496" s="106"/>
    </row>
    <row r="497" spans="12:26" ht="15.75" customHeight="1" x14ac:dyDescent="0.3">
      <c r="L497" s="109"/>
      <c r="M497" s="110"/>
      <c r="N497" s="110"/>
      <c r="Q497" s="110"/>
      <c r="R497" s="110"/>
      <c r="S497" s="110"/>
      <c r="W497" s="110"/>
      <c r="X497" s="110"/>
      <c r="Y497" s="106"/>
      <c r="Z497" s="106"/>
    </row>
    <row r="498" spans="12:26" ht="15.75" customHeight="1" x14ac:dyDescent="0.3">
      <c r="L498" s="109"/>
      <c r="M498" s="110"/>
      <c r="N498" s="110"/>
      <c r="Q498" s="110"/>
      <c r="R498" s="110"/>
      <c r="S498" s="110"/>
      <c r="W498" s="110"/>
      <c r="X498" s="110"/>
      <c r="Y498" s="106"/>
      <c r="Z498" s="106"/>
    </row>
    <row r="499" spans="12:26" ht="15.75" customHeight="1" x14ac:dyDescent="0.3">
      <c r="L499" s="109"/>
      <c r="M499" s="110"/>
      <c r="N499" s="110"/>
      <c r="Q499" s="110"/>
      <c r="R499" s="110"/>
      <c r="S499" s="110"/>
      <c r="W499" s="110"/>
      <c r="X499" s="110"/>
      <c r="Y499" s="106"/>
      <c r="Z499" s="106"/>
    </row>
    <row r="500" spans="12:26" ht="15.75" customHeight="1" x14ac:dyDescent="0.3">
      <c r="L500" s="109"/>
      <c r="M500" s="110"/>
      <c r="N500" s="110"/>
      <c r="Q500" s="110"/>
      <c r="R500" s="110"/>
      <c r="S500" s="110"/>
      <c r="W500" s="110"/>
      <c r="X500" s="110"/>
      <c r="Y500" s="106"/>
      <c r="Z500" s="106"/>
    </row>
    <row r="501" spans="12:26" ht="15.75" customHeight="1" x14ac:dyDescent="0.3">
      <c r="L501" s="109"/>
      <c r="M501" s="110"/>
      <c r="N501" s="110"/>
      <c r="Q501" s="110"/>
      <c r="R501" s="110"/>
      <c r="S501" s="110"/>
      <c r="W501" s="110"/>
      <c r="X501" s="110"/>
      <c r="Y501" s="106"/>
      <c r="Z501" s="106"/>
    </row>
    <row r="502" spans="12:26" ht="15.75" customHeight="1" x14ac:dyDescent="0.3">
      <c r="L502" s="109"/>
      <c r="M502" s="110"/>
      <c r="N502" s="110"/>
      <c r="Q502" s="110"/>
      <c r="R502" s="110"/>
      <c r="S502" s="110"/>
      <c r="W502" s="110"/>
      <c r="X502" s="110"/>
      <c r="Y502" s="106"/>
      <c r="Z502" s="106"/>
    </row>
    <row r="503" spans="12:26" ht="15.75" customHeight="1" x14ac:dyDescent="0.3">
      <c r="L503" s="109"/>
      <c r="M503" s="110"/>
      <c r="N503" s="110"/>
      <c r="Q503" s="110"/>
      <c r="R503" s="110"/>
      <c r="S503" s="110"/>
      <c r="W503" s="110"/>
      <c r="X503" s="110"/>
      <c r="Y503" s="106"/>
      <c r="Z503" s="106"/>
    </row>
    <row r="504" spans="12:26" ht="15.75" customHeight="1" x14ac:dyDescent="0.3">
      <c r="L504" s="109"/>
      <c r="M504" s="110"/>
      <c r="N504" s="110"/>
      <c r="Q504" s="110"/>
      <c r="R504" s="110"/>
      <c r="S504" s="110"/>
      <c r="W504" s="110"/>
      <c r="X504" s="110"/>
      <c r="Y504" s="106"/>
      <c r="Z504" s="106"/>
    </row>
    <row r="505" spans="12:26" ht="15.75" customHeight="1" x14ac:dyDescent="0.3">
      <c r="L505" s="109"/>
      <c r="M505" s="110"/>
      <c r="N505" s="110"/>
      <c r="Q505" s="110"/>
      <c r="R505" s="110"/>
      <c r="S505" s="110"/>
      <c r="W505" s="110"/>
      <c r="X505" s="110"/>
      <c r="Y505" s="106"/>
      <c r="Z505" s="106"/>
    </row>
    <row r="506" spans="12:26" ht="15.75" customHeight="1" x14ac:dyDescent="0.3">
      <c r="L506" s="109"/>
      <c r="M506" s="110"/>
      <c r="N506" s="110"/>
      <c r="Q506" s="110"/>
      <c r="R506" s="110"/>
      <c r="S506" s="110"/>
      <c r="W506" s="110"/>
      <c r="X506" s="110"/>
      <c r="Y506" s="106"/>
      <c r="Z506" s="106"/>
    </row>
    <row r="507" spans="12:26" ht="15.75" customHeight="1" x14ac:dyDescent="0.3">
      <c r="L507" s="109"/>
      <c r="M507" s="110"/>
      <c r="N507" s="110"/>
      <c r="Q507" s="110"/>
      <c r="R507" s="110"/>
      <c r="S507" s="110"/>
      <c r="W507" s="110"/>
      <c r="X507" s="110"/>
      <c r="Y507" s="106"/>
      <c r="Z507" s="106"/>
    </row>
    <row r="508" spans="12:26" ht="15.75" customHeight="1" x14ac:dyDescent="0.3">
      <c r="L508" s="109"/>
      <c r="M508" s="110"/>
      <c r="N508" s="110"/>
      <c r="Q508" s="110"/>
      <c r="R508" s="110"/>
      <c r="S508" s="110"/>
      <c r="W508" s="110"/>
      <c r="X508" s="110"/>
      <c r="Y508" s="106"/>
      <c r="Z508" s="106"/>
    </row>
    <row r="509" spans="12:26" ht="15.75" customHeight="1" x14ac:dyDescent="0.3">
      <c r="L509" s="109"/>
      <c r="M509" s="110"/>
      <c r="N509" s="110"/>
      <c r="Q509" s="110"/>
      <c r="R509" s="110"/>
      <c r="S509" s="110"/>
      <c r="W509" s="110"/>
      <c r="X509" s="110"/>
      <c r="Y509" s="106"/>
      <c r="Z509" s="106"/>
    </row>
    <row r="510" spans="12:26" ht="15.75" customHeight="1" x14ac:dyDescent="0.3">
      <c r="L510" s="109"/>
      <c r="M510" s="110"/>
      <c r="N510" s="110"/>
      <c r="Q510" s="110"/>
      <c r="R510" s="110"/>
      <c r="S510" s="110"/>
      <c r="W510" s="110"/>
      <c r="X510" s="110"/>
      <c r="Y510" s="106"/>
      <c r="Z510" s="106"/>
    </row>
    <row r="511" spans="12:26" ht="15.75" customHeight="1" x14ac:dyDescent="0.3">
      <c r="L511" s="109"/>
      <c r="M511" s="110"/>
      <c r="N511" s="110"/>
      <c r="Q511" s="110"/>
      <c r="R511" s="110"/>
      <c r="S511" s="110"/>
      <c r="W511" s="110"/>
      <c r="X511" s="110"/>
      <c r="Y511" s="106"/>
      <c r="Z511" s="106"/>
    </row>
    <row r="512" spans="12:26" ht="15.75" customHeight="1" x14ac:dyDescent="0.3">
      <c r="L512" s="109"/>
      <c r="M512" s="110"/>
      <c r="N512" s="110"/>
      <c r="Q512" s="110"/>
      <c r="R512" s="110"/>
      <c r="S512" s="110"/>
      <c r="W512" s="110"/>
      <c r="X512" s="110"/>
      <c r="Y512" s="106"/>
      <c r="Z512" s="106"/>
    </row>
    <row r="513" spans="12:26" ht="15.75" customHeight="1" x14ac:dyDescent="0.3">
      <c r="L513" s="109"/>
      <c r="M513" s="110"/>
      <c r="N513" s="110"/>
      <c r="Q513" s="110"/>
      <c r="R513" s="110"/>
      <c r="S513" s="110"/>
      <c r="W513" s="110"/>
      <c r="X513" s="110"/>
      <c r="Y513" s="106"/>
      <c r="Z513" s="106"/>
    </row>
    <row r="514" spans="12:26" ht="15.75" customHeight="1" x14ac:dyDescent="0.3">
      <c r="L514" s="109"/>
      <c r="M514" s="110"/>
      <c r="N514" s="110"/>
      <c r="Q514" s="110"/>
      <c r="R514" s="110"/>
      <c r="S514" s="110"/>
      <c r="W514" s="110"/>
      <c r="X514" s="110"/>
      <c r="Y514" s="106"/>
      <c r="Z514" s="106"/>
    </row>
    <row r="515" spans="12:26" ht="15.75" customHeight="1" x14ac:dyDescent="0.3">
      <c r="L515" s="109"/>
      <c r="M515" s="110"/>
      <c r="N515" s="110"/>
      <c r="Q515" s="110"/>
      <c r="R515" s="110"/>
      <c r="S515" s="110"/>
      <c r="W515" s="110"/>
      <c r="X515" s="110"/>
      <c r="Y515" s="106"/>
      <c r="Z515" s="106"/>
    </row>
    <row r="516" spans="12:26" ht="15.75" customHeight="1" x14ac:dyDescent="0.3">
      <c r="L516" s="109"/>
      <c r="M516" s="110"/>
      <c r="N516" s="110"/>
      <c r="Q516" s="110"/>
      <c r="R516" s="110"/>
      <c r="S516" s="110"/>
      <c r="W516" s="110"/>
      <c r="X516" s="110"/>
      <c r="Y516" s="106"/>
      <c r="Z516" s="106"/>
    </row>
    <row r="517" spans="12:26" ht="15.75" customHeight="1" x14ac:dyDescent="0.3">
      <c r="L517" s="109"/>
      <c r="M517" s="110"/>
      <c r="N517" s="110"/>
      <c r="Q517" s="110"/>
      <c r="R517" s="110"/>
      <c r="S517" s="110"/>
      <c r="W517" s="110"/>
      <c r="X517" s="110"/>
      <c r="Y517" s="106"/>
      <c r="Z517" s="106"/>
    </row>
    <row r="518" spans="12:26" ht="15.75" customHeight="1" x14ac:dyDescent="0.3">
      <c r="L518" s="109"/>
      <c r="M518" s="110"/>
      <c r="N518" s="110"/>
      <c r="Q518" s="110"/>
      <c r="R518" s="110"/>
      <c r="S518" s="110"/>
      <c r="W518" s="110"/>
      <c r="X518" s="110"/>
      <c r="Y518" s="106"/>
      <c r="Z518" s="106"/>
    </row>
    <row r="519" spans="12:26" ht="15.75" customHeight="1" x14ac:dyDescent="0.3">
      <c r="L519" s="109"/>
      <c r="M519" s="110"/>
      <c r="N519" s="110"/>
      <c r="Q519" s="110"/>
      <c r="R519" s="110"/>
      <c r="S519" s="110"/>
      <c r="W519" s="110"/>
      <c r="X519" s="110"/>
      <c r="Y519" s="106"/>
      <c r="Z519" s="106"/>
    </row>
    <row r="520" spans="12:26" ht="15.75" customHeight="1" x14ac:dyDescent="0.3">
      <c r="L520" s="109"/>
      <c r="M520" s="110"/>
      <c r="N520" s="110"/>
      <c r="Q520" s="110"/>
      <c r="R520" s="110"/>
      <c r="S520" s="110"/>
      <c r="W520" s="110"/>
      <c r="X520" s="110"/>
      <c r="Y520" s="106"/>
      <c r="Z520" s="106"/>
    </row>
    <row r="521" spans="12:26" ht="15.75" customHeight="1" x14ac:dyDescent="0.3">
      <c r="L521" s="109"/>
      <c r="M521" s="110"/>
      <c r="N521" s="110"/>
      <c r="Q521" s="110"/>
      <c r="R521" s="110"/>
      <c r="S521" s="110"/>
      <c r="W521" s="110"/>
      <c r="X521" s="110"/>
      <c r="Y521" s="106"/>
      <c r="Z521" s="106"/>
    </row>
    <row r="522" spans="12:26" ht="15.75" customHeight="1" x14ac:dyDescent="0.3">
      <c r="L522" s="109"/>
      <c r="M522" s="110"/>
      <c r="N522" s="110"/>
      <c r="Q522" s="110"/>
      <c r="R522" s="110"/>
      <c r="S522" s="110"/>
      <c r="W522" s="110"/>
      <c r="X522" s="110"/>
      <c r="Y522" s="106"/>
      <c r="Z522" s="106"/>
    </row>
    <row r="523" spans="12:26" ht="15.75" customHeight="1" x14ac:dyDescent="0.3">
      <c r="L523" s="109"/>
      <c r="M523" s="110"/>
      <c r="N523" s="110"/>
      <c r="Q523" s="110"/>
      <c r="R523" s="110"/>
      <c r="S523" s="110"/>
      <c r="W523" s="110"/>
      <c r="X523" s="110"/>
      <c r="Y523" s="106"/>
      <c r="Z523" s="106"/>
    </row>
    <row r="524" spans="12:26" ht="15.75" customHeight="1" x14ac:dyDescent="0.3">
      <c r="L524" s="109"/>
      <c r="M524" s="110"/>
      <c r="N524" s="110"/>
      <c r="Q524" s="110"/>
      <c r="R524" s="110"/>
      <c r="S524" s="110"/>
      <c r="W524" s="110"/>
      <c r="X524" s="110"/>
      <c r="Y524" s="106"/>
      <c r="Z524" s="106"/>
    </row>
    <row r="525" spans="12:26" ht="15.75" customHeight="1" x14ac:dyDescent="0.3">
      <c r="L525" s="109"/>
      <c r="M525" s="110"/>
      <c r="N525" s="110"/>
      <c r="Q525" s="110"/>
      <c r="R525" s="110"/>
      <c r="S525" s="110"/>
      <c r="W525" s="110"/>
      <c r="X525" s="110"/>
      <c r="Y525" s="106"/>
      <c r="Z525" s="106"/>
    </row>
    <row r="526" spans="12:26" ht="15.75" customHeight="1" x14ac:dyDescent="0.3">
      <c r="L526" s="109"/>
      <c r="M526" s="110"/>
      <c r="N526" s="110"/>
      <c r="Q526" s="110"/>
      <c r="R526" s="110"/>
      <c r="S526" s="110"/>
      <c r="W526" s="110"/>
      <c r="X526" s="110"/>
      <c r="Y526" s="106"/>
      <c r="Z526" s="106"/>
    </row>
    <row r="527" spans="12:26" ht="15.75" customHeight="1" x14ac:dyDescent="0.3">
      <c r="L527" s="109"/>
      <c r="M527" s="110"/>
      <c r="N527" s="110"/>
      <c r="Q527" s="110"/>
      <c r="R527" s="110"/>
      <c r="S527" s="110"/>
      <c r="W527" s="110"/>
      <c r="X527" s="110"/>
      <c r="Y527" s="106"/>
      <c r="Z527" s="106"/>
    </row>
    <row r="528" spans="12:26" ht="15.75" customHeight="1" x14ac:dyDescent="0.3">
      <c r="L528" s="109"/>
      <c r="M528" s="110"/>
      <c r="N528" s="110"/>
      <c r="Q528" s="110"/>
      <c r="R528" s="110"/>
      <c r="S528" s="110"/>
      <c r="W528" s="110"/>
      <c r="X528" s="110"/>
      <c r="Y528" s="106"/>
      <c r="Z528" s="106"/>
    </row>
    <row r="529" spans="12:26" ht="15.75" customHeight="1" x14ac:dyDescent="0.3">
      <c r="L529" s="109"/>
      <c r="M529" s="110"/>
      <c r="N529" s="110"/>
      <c r="Q529" s="110"/>
      <c r="R529" s="110"/>
      <c r="S529" s="110"/>
      <c r="W529" s="110"/>
      <c r="X529" s="110"/>
      <c r="Y529" s="106"/>
      <c r="Z529" s="106"/>
    </row>
    <row r="530" spans="12:26" ht="15.75" customHeight="1" x14ac:dyDescent="0.3">
      <c r="L530" s="109"/>
      <c r="M530" s="110"/>
      <c r="N530" s="110"/>
      <c r="Q530" s="110"/>
      <c r="R530" s="110"/>
      <c r="S530" s="110"/>
      <c r="W530" s="110"/>
      <c r="X530" s="110"/>
      <c r="Y530" s="106"/>
      <c r="Z530" s="106"/>
    </row>
    <row r="531" spans="12:26" ht="15.75" customHeight="1" x14ac:dyDescent="0.3">
      <c r="L531" s="109"/>
      <c r="M531" s="110"/>
      <c r="N531" s="110"/>
      <c r="Q531" s="110"/>
      <c r="R531" s="110"/>
      <c r="S531" s="110"/>
      <c r="W531" s="110"/>
      <c r="X531" s="110"/>
      <c r="Y531" s="106"/>
      <c r="Z531" s="106"/>
    </row>
    <row r="532" spans="12:26" ht="15.75" customHeight="1" x14ac:dyDescent="0.3">
      <c r="L532" s="109"/>
      <c r="M532" s="110"/>
      <c r="N532" s="110"/>
      <c r="Q532" s="110"/>
      <c r="R532" s="110"/>
      <c r="S532" s="110"/>
      <c r="W532" s="110"/>
      <c r="X532" s="110"/>
      <c r="Y532" s="106"/>
      <c r="Z532" s="106"/>
    </row>
    <row r="533" spans="12:26" ht="15.75" customHeight="1" x14ac:dyDescent="0.3">
      <c r="L533" s="109"/>
      <c r="M533" s="110"/>
      <c r="N533" s="110"/>
      <c r="Q533" s="110"/>
      <c r="R533" s="110"/>
      <c r="S533" s="110"/>
      <c r="W533" s="110"/>
      <c r="X533" s="110"/>
      <c r="Y533" s="106"/>
      <c r="Z533" s="106"/>
    </row>
    <row r="534" spans="12:26" ht="15.75" customHeight="1" x14ac:dyDescent="0.3">
      <c r="L534" s="109"/>
      <c r="M534" s="110"/>
      <c r="N534" s="110"/>
      <c r="Q534" s="110"/>
      <c r="R534" s="110"/>
      <c r="S534" s="110"/>
      <c r="W534" s="110"/>
      <c r="X534" s="110"/>
      <c r="Y534" s="106"/>
      <c r="Z534" s="106"/>
    </row>
    <row r="535" spans="12:26" ht="15.75" customHeight="1" x14ac:dyDescent="0.3">
      <c r="L535" s="109"/>
      <c r="M535" s="110"/>
      <c r="N535" s="110"/>
      <c r="Q535" s="110"/>
      <c r="R535" s="110"/>
      <c r="S535" s="110"/>
      <c r="W535" s="110"/>
      <c r="X535" s="110"/>
      <c r="Y535" s="106"/>
      <c r="Z535" s="106"/>
    </row>
    <row r="536" spans="12:26" ht="15.75" customHeight="1" x14ac:dyDescent="0.3">
      <c r="L536" s="109"/>
      <c r="M536" s="110"/>
      <c r="N536" s="110"/>
      <c r="Q536" s="110"/>
      <c r="R536" s="110"/>
      <c r="S536" s="110"/>
      <c r="W536" s="110"/>
      <c r="X536" s="110"/>
      <c r="Y536" s="106"/>
      <c r="Z536" s="106"/>
    </row>
    <row r="537" spans="12:26" ht="15.75" customHeight="1" x14ac:dyDescent="0.3">
      <c r="L537" s="109"/>
      <c r="M537" s="110"/>
      <c r="N537" s="110"/>
      <c r="Q537" s="110"/>
      <c r="R537" s="110"/>
      <c r="S537" s="110"/>
      <c r="W537" s="110"/>
      <c r="X537" s="110"/>
      <c r="Y537" s="106"/>
      <c r="Z537" s="106"/>
    </row>
    <row r="538" spans="12:26" ht="15.75" customHeight="1" x14ac:dyDescent="0.3">
      <c r="L538" s="109"/>
      <c r="M538" s="110"/>
      <c r="N538" s="110"/>
      <c r="Q538" s="110"/>
      <c r="R538" s="110"/>
      <c r="S538" s="110"/>
      <c r="W538" s="110"/>
      <c r="X538" s="110"/>
      <c r="Y538" s="106"/>
      <c r="Z538" s="106"/>
    </row>
    <row r="539" spans="12:26" ht="15.75" customHeight="1" x14ac:dyDescent="0.3">
      <c r="L539" s="109"/>
      <c r="M539" s="110"/>
      <c r="N539" s="110"/>
      <c r="Q539" s="110"/>
      <c r="R539" s="110"/>
      <c r="S539" s="110"/>
      <c r="W539" s="110"/>
      <c r="X539" s="110"/>
      <c r="Y539" s="106"/>
      <c r="Z539" s="106"/>
    </row>
    <row r="540" spans="12:26" ht="15.75" customHeight="1" x14ac:dyDescent="0.3">
      <c r="L540" s="109"/>
      <c r="M540" s="110"/>
      <c r="N540" s="110"/>
      <c r="Q540" s="110"/>
      <c r="R540" s="110"/>
      <c r="S540" s="110"/>
      <c r="W540" s="110"/>
      <c r="X540" s="110"/>
      <c r="Y540" s="106"/>
      <c r="Z540" s="106"/>
    </row>
    <row r="541" spans="12:26" ht="15.75" customHeight="1" x14ac:dyDescent="0.3">
      <c r="L541" s="109"/>
      <c r="M541" s="110"/>
      <c r="N541" s="110"/>
      <c r="Q541" s="110"/>
      <c r="R541" s="110"/>
      <c r="S541" s="110"/>
      <c r="W541" s="110"/>
      <c r="X541" s="110"/>
      <c r="Y541" s="106"/>
      <c r="Z541" s="106"/>
    </row>
    <row r="542" spans="12:26" ht="15.75" customHeight="1" x14ac:dyDescent="0.3">
      <c r="L542" s="109"/>
      <c r="M542" s="110"/>
      <c r="N542" s="110"/>
      <c r="Q542" s="110"/>
      <c r="R542" s="110"/>
      <c r="S542" s="110"/>
      <c r="W542" s="110"/>
      <c r="X542" s="110"/>
      <c r="Y542" s="106"/>
      <c r="Z542" s="106"/>
    </row>
    <row r="543" spans="12:26" ht="15.75" customHeight="1" x14ac:dyDescent="0.3">
      <c r="L543" s="109"/>
      <c r="M543" s="110"/>
      <c r="N543" s="110"/>
      <c r="Q543" s="110"/>
      <c r="R543" s="110"/>
      <c r="S543" s="110"/>
      <c r="W543" s="110"/>
      <c r="X543" s="110"/>
      <c r="Y543" s="106"/>
      <c r="Z543" s="106"/>
    </row>
    <row r="544" spans="12:26" ht="15.75" customHeight="1" x14ac:dyDescent="0.3">
      <c r="L544" s="109"/>
      <c r="M544" s="110"/>
      <c r="N544" s="110"/>
      <c r="Q544" s="110"/>
      <c r="R544" s="110"/>
      <c r="S544" s="110"/>
      <c r="W544" s="110"/>
      <c r="X544" s="110"/>
      <c r="Y544" s="106"/>
      <c r="Z544" s="106"/>
    </row>
    <row r="545" spans="12:26" ht="15.75" customHeight="1" x14ac:dyDescent="0.3">
      <c r="L545" s="109"/>
      <c r="M545" s="110"/>
      <c r="N545" s="110"/>
      <c r="Q545" s="110"/>
      <c r="R545" s="110"/>
      <c r="S545" s="110"/>
      <c r="W545" s="110"/>
      <c r="X545" s="110"/>
      <c r="Y545" s="106"/>
      <c r="Z545" s="106"/>
    </row>
    <row r="546" spans="12:26" ht="15.75" customHeight="1" x14ac:dyDescent="0.3">
      <c r="L546" s="109"/>
      <c r="M546" s="110"/>
      <c r="N546" s="110"/>
      <c r="Q546" s="110"/>
      <c r="R546" s="110"/>
      <c r="S546" s="110"/>
      <c r="W546" s="110"/>
      <c r="X546" s="110"/>
      <c r="Y546" s="106"/>
      <c r="Z546" s="106"/>
    </row>
    <row r="547" spans="12:26" ht="15.75" customHeight="1" x14ac:dyDescent="0.3">
      <c r="L547" s="109"/>
      <c r="M547" s="110"/>
      <c r="N547" s="110"/>
      <c r="Q547" s="110"/>
      <c r="R547" s="110"/>
      <c r="S547" s="110"/>
      <c r="W547" s="110"/>
      <c r="X547" s="110"/>
      <c r="Y547" s="106"/>
      <c r="Z547" s="106"/>
    </row>
    <row r="548" spans="12:26" ht="15.75" customHeight="1" x14ac:dyDescent="0.3">
      <c r="L548" s="109"/>
      <c r="M548" s="110"/>
      <c r="N548" s="110"/>
      <c r="Q548" s="110"/>
      <c r="R548" s="110"/>
      <c r="S548" s="110"/>
      <c r="W548" s="110"/>
      <c r="X548" s="110"/>
      <c r="Y548" s="106"/>
      <c r="Z548" s="106"/>
    </row>
    <row r="549" spans="12:26" ht="15.75" customHeight="1" x14ac:dyDescent="0.3">
      <c r="L549" s="109"/>
      <c r="M549" s="110"/>
      <c r="N549" s="110"/>
      <c r="Q549" s="110"/>
      <c r="R549" s="110"/>
      <c r="S549" s="110"/>
      <c r="W549" s="110"/>
      <c r="X549" s="110"/>
      <c r="Y549" s="106"/>
      <c r="Z549" s="106"/>
    </row>
    <row r="550" spans="12:26" ht="15.75" customHeight="1" x14ac:dyDescent="0.3">
      <c r="L550" s="109"/>
      <c r="M550" s="110"/>
      <c r="N550" s="110"/>
      <c r="Q550" s="110"/>
      <c r="R550" s="110"/>
      <c r="S550" s="110"/>
      <c r="W550" s="110"/>
      <c r="X550" s="110"/>
      <c r="Y550" s="106"/>
      <c r="Z550" s="106"/>
    </row>
    <row r="551" spans="12:26" ht="15.75" customHeight="1" x14ac:dyDescent="0.3">
      <c r="L551" s="109"/>
      <c r="M551" s="110"/>
      <c r="N551" s="110"/>
      <c r="Q551" s="110"/>
      <c r="R551" s="110"/>
      <c r="S551" s="110"/>
      <c r="W551" s="110"/>
      <c r="X551" s="110"/>
      <c r="Y551" s="106"/>
      <c r="Z551" s="106"/>
    </row>
    <row r="552" spans="12:26" ht="15.75" customHeight="1" x14ac:dyDescent="0.3">
      <c r="L552" s="109"/>
      <c r="M552" s="110"/>
      <c r="N552" s="110"/>
      <c r="Q552" s="110"/>
      <c r="R552" s="110"/>
      <c r="S552" s="110"/>
      <c r="W552" s="110"/>
      <c r="X552" s="110"/>
      <c r="Y552" s="106"/>
      <c r="Z552" s="106"/>
    </row>
    <row r="553" spans="12:26" ht="15.75" customHeight="1" x14ac:dyDescent="0.3">
      <c r="L553" s="109"/>
      <c r="M553" s="110"/>
      <c r="N553" s="110"/>
      <c r="Q553" s="110"/>
      <c r="R553" s="110"/>
      <c r="S553" s="110"/>
      <c r="W553" s="110"/>
      <c r="X553" s="110"/>
      <c r="Y553" s="106"/>
      <c r="Z553" s="106"/>
    </row>
    <row r="554" spans="12:26" ht="15.75" customHeight="1" x14ac:dyDescent="0.3">
      <c r="L554" s="109"/>
      <c r="M554" s="110"/>
      <c r="N554" s="110"/>
      <c r="Q554" s="110"/>
      <c r="R554" s="110"/>
      <c r="S554" s="110"/>
      <c r="W554" s="110"/>
      <c r="X554" s="110"/>
      <c r="Y554" s="106"/>
      <c r="Z554" s="106"/>
    </row>
    <row r="555" spans="12:26" ht="15.75" customHeight="1" x14ac:dyDescent="0.3">
      <c r="L555" s="109"/>
      <c r="M555" s="110"/>
      <c r="N555" s="110"/>
      <c r="Q555" s="110"/>
      <c r="R555" s="110"/>
      <c r="S555" s="110"/>
      <c r="W555" s="110"/>
      <c r="X555" s="110"/>
      <c r="Y555" s="106"/>
      <c r="Z555" s="106"/>
    </row>
    <row r="556" spans="12:26" ht="15.75" customHeight="1" x14ac:dyDescent="0.3">
      <c r="L556" s="109"/>
      <c r="M556" s="110"/>
      <c r="N556" s="110"/>
      <c r="Q556" s="110"/>
      <c r="R556" s="110"/>
      <c r="S556" s="110"/>
      <c r="W556" s="110"/>
      <c r="X556" s="110"/>
      <c r="Y556" s="106"/>
      <c r="Z556" s="106"/>
    </row>
    <row r="557" spans="12:26" ht="15.75" customHeight="1" x14ac:dyDescent="0.3">
      <c r="L557" s="109"/>
      <c r="M557" s="110"/>
      <c r="N557" s="110"/>
      <c r="Q557" s="110"/>
      <c r="R557" s="110"/>
      <c r="S557" s="110"/>
      <c r="W557" s="110"/>
      <c r="X557" s="110"/>
      <c r="Y557" s="106"/>
      <c r="Z557" s="106"/>
    </row>
    <row r="558" spans="12:26" ht="15.75" customHeight="1" x14ac:dyDescent="0.3">
      <c r="L558" s="109"/>
      <c r="M558" s="110"/>
      <c r="N558" s="110"/>
      <c r="Q558" s="110"/>
      <c r="R558" s="110"/>
      <c r="S558" s="110"/>
      <c r="W558" s="110"/>
      <c r="X558" s="110"/>
      <c r="Y558" s="106"/>
      <c r="Z558" s="106"/>
    </row>
    <row r="559" spans="12:26" ht="15.75" customHeight="1" x14ac:dyDescent="0.3">
      <c r="L559" s="109"/>
      <c r="M559" s="110"/>
      <c r="N559" s="110"/>
      <c r="Q559" s="110"/>
      <c r="R559" s="110"/>
      <c r="S559" s="110"/>
      <c r="W559" s="110"/>
      <c r="X559" s="110"/>
      <c r="Y559" s="106"/>
      <c r="Z559" s="106"/>
    </row>
    <row r="560" spans="12:26" ht="15.75" customHeight="1" x14ac:dyDescent="0.3">
      <c r="L560" s="109"/>
      <c r="M560" s="110"/>
      <c r="N560" s="110"/>
      <c r="Q560" s="110"/>
      <c r="R560" s="110"/>
      <c r="S560" s="110"/>
      <c r="W560" s="110"/>
      <c r="X560" s="110"/>
      <c r="Y560" s="106"/>
      <c r="Z560" s="106"/>
    </row>
    <row r="561" spans="12:26" ht="15.75" customHeight="1" x14ac:dyDescent="0.3">
      <c r="L561" s="109"/>
      <c r="M561" s="110"/>
      <c r="N561" s="110"/>
      <c r="Q561" s="110"/>
      <c r="R561" s="110"/>
      <c r="S561" s="110"/>
      <c r="W561" s="110"/>
      <c r="X561" s="110"/>
      <c r="Y561" s="106"/>
      <c r="Z561" s="106"/>
    </row>
    <row r="562" spans="12:26" ht="15.75" customHeight="1" x14ac:dyDescent="0.3">
      <c r="L562" s="109"/>
      <c r="M562" s="110"/>
      <c r="N562" s="110"/>
      <c r="Q562" s="110"/>
      <c r="R562" s="110"/>
      <c r="S562" s="110"/>
      <c r="W562" s="110"/>
      <c r="X562" s="110"/>
      <c r="Y562" s="106"/>
      <c r="Z562" s="106"/>
    </row>
    <row r="563" spans="12:26" ht="15.75" customHeight="1" x14ac:dyDescent="0.3">
      <c r="L563" s="109"/>
      <c r="M563" s="110"/>
      <c r="N563" s="110"/>
      <c r="Q563" s="110"/>
      <c r="R563" s="110"/>
      <c r="S563" s="110"/>
      <c r="W563" s="110"/>
      <c r="X563" s="110"/>
      <c r="Y563" s="106"/>
      <c r="Z563" s="106"/>
    </row>
    <row r="564" spans="12:26" ht="15.75" customHeight="1" x14ac:dyDescent="0.3">
      <c r="L564" s="109"/>
      <c r="M564" s="110"/>
      <c r="N564" s="110"/>
      <c r="Q564" s="110"/>
      <c r="R564" s="110"/>
      <c r="S564" s="110"/>
      <c r="W564" s="110"/>
      <c r="X564" s="110"/>
      <c r="Y564" s="106"/>
      <c r="Z564" s="106"/>
    </row>
    <row r="565" spans="12:26" ht="15.75" customHeight="1" x14ac:dyDescent="0.3">
      <c r="L565" s="109"/>
      <c r="M565" s="110"/>
      <c r="N565" s="110"/>
      <c r="Q565" s="110"/>
      <c r="R565" s="110"/>
      <c r="S565" s="110"/>
      <c r="W565" s="110"/>
      <c r="X565" s="110"/>
      <c r="Y565" s="106"/>
      <c r="Z565" s="106"/>
    </row>
    <row r="566" spans="12:26" ht="15.75" customHeight="1" x14ac:dyDescent="0.3">
      <c r="L566" s="109"/>
      <c r="M566" s="110"/>
      <c r="N566" s="110"/>
      <c r="Q566" s="110"/>
      <c r="R566" s="110"/>
      <c r="S566" s="110"/>
      <c r="W566" s="110"/>
      <c r="X566" s="110"/>
      <c r="Y566" s="106"/>
      <c r="Z566" s="106"/>
    </row>
    <row r="567" spans="12:26" ht="15.75" customHeight="1" x14ac:dyDescent="0.3">
      <c r="L567" s="109"/>
      <c r="M567" s="110"/>
      <c r="N567" s="110"/>
      <c r="Q567" s="110"/>
      <c r="R567" s="110"/>
      <c r="S567" s="110"/>
      <c r="W567" s="110"/>
      <c r="X567" s="110"/>
      <c r="Y567" s="106"/>
      <c r="Z567" s="106"/>
    </row>
    <row r="568" spans="12:26" ht="15.75" customHeight="1" x14ac:dyDescent="0.3">
      <c r="L568" s="109"/>
      <c r="M568" s="110"/>
      <c r="N568" s="110"/>
      <c r="Q568" s="110"/>
      <c r="R568" s="110"/>
      <c r="S568" s="110"/>
      <c r="W568" s="110"/>
      <c r="X568" s="110"/>
      <c r="Y568" s="106"/>
      <c r="Z568" s="106"/>
    </row>
    <row r="569" spans="12:26" ht="15.75" customHeight="1" x14ac:dyDescent="0.3">
      <c r="L569" s="109"/>
      <c r="M569" s="110"/>
      <c r="N569" s="110"/>
      <c r="Q569" s="110"/>
      <c r="R569" s="110"/>
      <c r="S569" s="110"/>
      <c r="W569" s="110"/>
      <c r="X569" s="110"/>
      <c r="Y569" s="106"/>
      <c r="Z569" s="106"/>
    </row>
    <row r="570" spans="12:26" ht="15.75" customHeight="1" x14ac:dyDescent="0.3">
      <c r="L570" s="109"/>
      <c r="M570" s="110"/>
      <c r="N570" s="110"/>
      <c r="Q570" s="110"/>
      <c r="R570" s="110"/>
      <c r="S570" s="110"/>
      <c r="W570" s="110"/>
      <c r="X570" s="110"/>
      <c r="Y570" s="106"/>
      <c r="Z570" s="106"/>
    </row>
    <row r="571" spans="12:26" ht="15.75" customHeight="1" x14ac:dyDescent="0.3">
      <c r="L571" s="109"/>
      <c r="M571" s="110"/>
      <c r="N571" s="110"/>
      <c r="Q571" s="110"/>
      <c r="R571" s="110"/>
      <c r="S571" s="110"/>
      <c r="W571" s="110"/>
      <c r="X571" s="110"/>
      <c r="Y571" s="106"/>
      <c r="Z571" s="106"/>
    </row>
    <row r="572" spans="12:26" ht="15.75" customHeight="1" x14ac:dyDescent="0.3">
      <c r="L572" s="109"/>
      <c r="M572" s="110"/>
      <c r="N572" s="110"/>
      <c r="Q572" s="110"/>
      <c r="R572" s="110"/>
      <c r="S572" s="110"/>
      <c r="W572" s="110"/>
      <c r="X572" s="110"/>
      <c r="Y572" s="106"/>
      <c r="Z572" s="106"/>
    </row>
    <row r="573" spans="12:26" ht="15.75" customHeight="1" x14ac:dyDescent="0.3">
      <c r="L573" s="109"/>
      <c r="M573" s="110"/>
      <c r="N573" s="110"/>
      <c r="Q573" s="110"/>
      <c r="R573" s="110"/>
      <c r="S573" s="110"/>
      <c r="W573" s="110"/>
      <c r="X573" s="110"/>
      <c r="Y573" s="106"/>
      <c r="Z573" s="106"/>
    </row>
    <row r="574" spans="12:26" ht="15.75" customHeight="1" x14ac:dyDescent="0.3">
      <c r="L574" s="109"/>
      <c r="M574" s="110"/>
      <c r="N574" s="110"/>
      <c r="Q574" s="110"/>
      <c r="R574" s="110"/>
      <c r="S574" s="110"/>
      <c r="W574" s="110"/>
      <c r="X574" s="110"/>
      <c r="Y574" s="106"/>
      <c r="Z574" s="106"/>
    </row>
    <row r="575" spans="12:26" ht="15.75" customHeight="1" x14ac:dyDescent="0.3">
      <c r="L575" s="109"/>
      <c r="M575" s="110"/>
      <c r="N575" s="110"/>
      <c r="Q575" s="110"/>
      <c r="R575" s="110"/>
      <c r="S575" s="110"/>
      <c r="W575" s="110"/>
      <c r="X575" s="110"/>
      <c r="Y575" s="106"/>
      <c r="Z575" s="106"/>
    </row>
    <row r="576" spans="12:26" ht="15.75" customHeight="1" x14ac:dyDescent="0.3">
      <c r="L576" s="109"/>
      <c r="M576" s="110"/>
      <c r="N576" s="110"/>
      <c r="Q576" s="110"/>
      <c r="R576" s="110"/>
      <c r="S576" s="110"/>
      <c r="W576" s="110"/>
      <c r="X576" s="110"/>
      <c r="Y576" s="106"/>
      <c r="Z576" s="106"/>
    </row>
    <row r="577" spans="12:26" ht="15.75" customHeight="1" x14ac:dyDescent="0.3">
      <c r="L577" s="109"/>
      <c r="M577" s="110"/>
      <c r="N577" s="110"/>
      <c r="Q577" s="110"/>
      <c r="R577" s="110"/>
      <c r="S577" s="110"/>
      <c r="W577" s="110"/>
      <c r="X577" s="110"/>
      <c r="Y577" s="106"/>
      <c r="Z577" s="106"/>
    </row>
    <row r="578" spans="12:26" ht="15.75" customHeight="1" x14ac:dyDescent="0.3">
      <c r="L578" s="109"/>
      <c r="M578" s="110"/>
      <c r="N578" s="110"/>
      <c r="Q578" s="110"/>
      <c r="R578" s="110"/>
      <c r="S578" s="110"/>
      <c r="W578" s="110"/>
      <c r="X578" s="110"/>
      <c r="Y578" s="106"/>
      <c r="Z578" s="106"/>
    </row>
    <row r="579" spans="12:26" ht="15.75" customHeight="1" x14ac:dyDescent="0.3">
      <c r="L579" s="109"/>
      <c r="M579" s="110"/>
      <c r="N579" s="110"/>
      <c r="Q579" s="110"/>
      <c r="R579" s="110"/>
      <c r="S579" s="110"/>
      <c r="W579" s="110"/>
      <c r="X579" s="110"/>
      <c r="Y579" s="106"/>
      <c r="Z579" s="106"/>
    </row>
    <row r="580" spans="12:26" ht="15.75" customHeight="1" x14ac:dyDescent="0.3">
      <c r="L580" s="109"/>
      <c r="M580" s="110"/>
      <c r="N580" s="110"/>
      <c r="Q580" s="110"/>
      <c r="R580" s="110"/>
      <c r="S580" s="110"/>
      <c r="W580" s="110"/>
      <c r="X580" s="110"/>
      <c r="Y580" s="106"/>
      <c r="Z580" s="106"/>
    </row>
    <row r="581" spans="12:26" ht="15.75" customHeight="1" x14ac:dyDescent="0.3">
      <c r="L581" s="109"/>
      <c r="M581" s="110"/>
      <c r="N581" s="110"/>
      <c r="Q581" s="110"/>
      <c r="R581" s="110"/>
      <c r="S581" s="110"/>
      <c r="W581" s="110"/>
      <c r="X581" s="110"/>
      <c r="Y581" s="106"/>
      <c r="Z581" s="106"/>
    </row>
    <row r="582" spans="12:26" ht="15.75" customHeight="1" x14ac:dyDescent="0.3">
      <c r="L582" s="109"/>
      <c r="M582" s="110"/>
      <c r="N582" s="110"/>
      <c r="Q582" s="110"/>
      <c r="R582" s="110"/>
      <c r="S582" s="110"/>
      <c r="W582" s="110"/>
      <c r="X582" s="110"/>
      <c r="Y582" s="106"/>
      <c r="Z582" s="106"/>
    </row>
    <row r="583" spans="12:26" ht="15.75" customHeight="1" x14ac:dyDescent="0.3">
      <c r="L583" s="109"/>
      <c r="M583" s="110"/>
      <c r="N583" s="110"/>
      <c r="Q583" s="110"/>
      <c r="R583" s="110"/>
      <c r="S583" s="110"/>
      <c r="W583" s="110"/>
      <c r="X583" s="110"/>
      <c r="Y583" s="106"/>
      <c r="Z583" s="106"/>
    </row>
    <row r="584" spans="12:26" ht="15.75" customHeight="1" x14ac:dyDescent="0.3">
      <c r="L584" s="109"/>
      <c r="M584" s="110"/>
      <c r="N584" s="110"/>
      <c r="Q584" s="110"/>
      <c r="R584" s="110"/>
      <c r="S584" s="110"/>
      <c r="W584" s="110"/>
      <c r="X584" s="110"/>
      <c r="Y584" s="106"/>
      <c r="Z584" s="106"/>
    </row>
    <row r="585" spans="12:26" ht="15.75" customHeight="1" x14ac:dyDescent="0.3">
      <c r="L585" s="109"/>
      <c r="M585" s="110"/>
      <c r="N585" s="110"/>
      <c r="Q585" s="110"/>
      <c r="R585" s="110"/>
      <c r="S585" s="110"/>
      <c r="W585" s="110"/>
      <c r="X585" s="110"/>
      <c r="Y585" s="106"/>
      <c r="Z585" s="106"/>
    </row>
    <row r="586" spans="12:26" ht="15.75" customHeight="1" x14ac:dyDescent="0.3">
      <c r="L586" s="109"/>
      <c r="M586" s="110"/>
      <c r="N586" s="110"/>
      <c r="Q586" s="110"/>
      <c r="R586" s="110"/>
      <c r="S586" s="110"/>
      <c r="W586" s="110"/>
      <c r="X586" s="110"/>
      <c r="Y586" s="106"/>
      <c r="Z586" s="106"/>
    </row>
    <row r="587" spans="12:26" ht="15.75" customHeight="1" x14ac:dyDescent="0.3">
      <c r="L587" s="109"/>
      <c r="M587" s="110"/>
      <c r="N587" s="110"/>
      <c r="Q587" s="110"/>
      <c r="R587" s="110"/>
      <c r="S587" s="110"/>
      <c r="W587" s="110"/>
      <c r="X587" s="110"/>
      <c r="Y587" s="106"/>
      <c r="Z587" s="106"/>
    </row>
    <row r="588" spans="12:26" ht="15.75" customHeight="1" x14ac:dyDescent="0.3">
      <c r="L588" s="109"/>
      <c r="M588" s="110"/>
      <c r="N588" s="110"/>
      <c r="Q588" s="110"/>
      <c r="R588" s="110"/>
      <c r="S588" s="110"/>
      <c r="W588" s="110"/>
      <c r="X588" s="110"/>
      <c r="Y588" s="106"/>
      <c r="Z588" s="106"/>
    </row>
    <row r="589" spans="12:26" ht="15.75" customHeight="1" x14ac:dyDescent="0.3">
      <c r="L589" s="109"/>
      <c r="M589" s="110"/>
      <c r="N589" s="110"/>
      <c r="Q589" s="110"/>
      <c r="R589" s="110"/>
      <c r="S589" s="110"/>
      <c r="W589" s="110"/>
      <c r="X589" s="110"/>
      <c r="Y589" s="106"/>
      <c r="Z589" s="106"/>
    </row>
    <row r="590" spans="12:26" ht="15.75" customHeight="1" x14ac:dyDescent="0.3">
      <c r="L590" s="109"/>
      <c r="M590" s="110"/>
      <c r="N590" s="110"/>
      <c r="Q590" s="110"/>
      <c r="R590" s="110"/>
      <c r="S590" s="110"/>
      <c r="W590" s="110"/>
      <c r="X590" s="110"/>
      <c r="Y590" s="106"/>
      <c r="Z590" s="106"/>
    </row>
    <row r="591" spans="12:26" ht="15.75" customHeight="1" x14ac:dyDescent="0.3">
      <c r="L591" s="109"/>
      <c r="M591" s="110"/>
      <c r="N591" s="110"/>
      <c r="Q591" s="110"/>
      <c r="R591" s="110"/>
      <c r="S591" s="110"/>
      <c r="W591" s="110"/>
      <c r="X591" s="110"/>
      <c r="Y591" s="106"/>
      <c r="Z591" s="106"/>
    </row>
    <row r="592" spans="12:26" ht="15.75" customHeight="1" x14ac:dyDescent="0.3">
      <c r="L592" s="109"/>
      <c r="M592" s="110"/>
      <c r="N592" s="110"/>
      <c r="Q592" s="110"/>
      <c r="R592" s="110"/>
      <c r="S592" s="110"/>
      <c r="W592" s="110"/>
      <c r="X592" s="110"/>
      <c r="Y592" s="106"/>
      <c r="Z592" s="106"/>
    </row>
    <row r="593" spans="12:26" ht="15.75" customHeight="1" x14ac:dyDescent="0.3">
      <c r="L593" s="109"/>
      <c r="M593" s="110"/>
      <c r="N593" s="110"/>
      <c r="Q593" s="110"/>
      <c r="R593" s="110"/>
      <c r="S593" s="110"/>
      <c r="W593" s="110"/>
      <c r="X593" s="110"/>
      <c r="Y593" s="106"/>
      <c r="Z593" s="106"/>
    </row>
    <row r="594" spans="12:26" ht="15.75" customHeight="1" x14ac:dyDescent="0.3">
      <c r="L594" s="109"/>
      <c r="M594" s="110"/>
      <c r="N594" s="110"/>
      <c r="Q594" s="110"/>
      <c r="R594" s="110"/>
      <c r="S594" s="110"/>
      <c r="W594" s="110"/>
      <c r="X594" s="110"/>
      <c r="Y594" s="106"/>
      <c r="Z594" s="106"/>
    </row>
    <row r="595" spans="12:26" ht="15.75" customHeight="1" x14ac:dyDescent="0.3">
      <c r="L595" s="109"/>
      <c r="M595" s="110"/>
      <c r="N595" s="110"/>
      <c r="Q595" s="110"/>
      <c r="R595" s="110"/>
      <c r="S595" s="110"/>
      <c r="W595" s="110"/>
      <c r="X595" s="110"/>
      <c r="Y595" s="106"/>
      <c r="Z595" s="106"/>
    </row>
    <row r="596" spans="12:26" ht="15.75" customHeight="1" x14ac:dyDescent="0.3">
      <c r="L596" s="109"/>
      <c r="M596" s="110"/>
      <c r="N596" s="110"/>
      <c r="Q596" s="110"/>
      <c r="R596" s="110"/>
      <c r="S596" s="110"/>
      <c r="W596" s="110"/>
      <c r="X596" s="110"/>
      <c r="Y596" s="106"/>
      <c r="Z596" s="106"/>
    </row>
    <row r="597" spans="12:26" ht="15.75" customHeight="1" x14ac:dyDescent="0.3">
      <c r="L597" s="109"/>
      <c r="M597" s="110"/>
      <c r="N597" s="110"/>
      <c r="Q597" s="110"/>
      <c r="R597" s="110"/>
      <c r="S597" s="110"/>
      <c r="W597" s="110"/>
      <c r="X597" s="110"/>
      <c r="Y597" s="106"/>
      <c r="Z597" s="106"/>
    </row>
    <row r="598" spans="12:26" ht="15.75" customHeight="1" x14ac:dyDescent="0.3">
      <c r="L598" s="109"/>
      <c r="M598" s="110"/>
      <c r="N598" s="110"/>
      <c r="Q598" s="110"/>
      <c r="R598" s="110"/>
      <c r="S598" s="110"/>
      <c r="W598" s="110"/>
      <c r="X598" s="110"/>
      <c r="Y598" s="106"/>
      <c r="Z598" s="106"/>
    </row>
    <row r="599" spans="12:26" ht="15.75" customHeight="1" x14ac:dyDescent="0.3">
      <c r="L599" s="109"/>
      <c r="M599" s="110"/>
      <c r="N599" s="110"/>
      <c r="Q599" s="110"/>
      <c r="R599" s="110"/>
      <c r="S599" s="110"/>
      <c r="W599" s="110"/>
      <c r="X599" s="110"/>
      <c r="Y599" s="106"/>
      <c r="Z599" s="106"/>
    </row>
    <row r="600" spans="12:26" ht="15.75" customHeight="1" x14ac:dyDescent="0.3">
      <c r="L600" s="109"/>
      <c r="M600" s="110"/>
      <c r="N600" s="110"/>
      <c r="Q600" s="110"/>
      <c r="R600" s="110"/>
      <c r="S600" s="110"/>
      <c r="W600" s="110"/>
      <c r="X600" s="110"/>
      <c r="Y600" s="106"/>
      <c r="Z600" s="106"/>
    </row>
    <row r="601" spans="12:26" ht="15.75" customHeight="1" x14ac:dyDescent="0.3">
      <c r="L601" s="109"/>
      <c r="M601" s="110"/>
      <c r="N601" s="110"/>
      <c r="Q601" s="110"/>
      <c r="R601" s="110"/>
      <c r="S601" s="110"/>
      <c r="W601" s="110"/>
      <c r="X601" s="110"/>
      <c r="Y601" s="106"/>
      <c r="Z601" s="106"/>
    </row>
    <row r="602" spans="12:26" ht="15.75" customHeight="1" x14ac:dyDescent="0.3">
      <c r="L602" s="109"/>
      <c r="M602" s="110"/>
      <c r="N602" s="110"/>
      <c r="Q602" s="110"/>
      <c r="R602" s="110"/>
      <c r="S602" s="110"/>
      <c r="W602" s="110"/>
      <c r="X602" s="110"/>
      <c r="Y602" s="106"/>
      <c r="Z602" s="106"/>
    </row>
    <row r="603" spans="12:26" ht="15.75" customHeight="1" x14ac:dyDescent="0.3">
      <c r="L603" s="109"/>
      <c r="M603" s="110"/>
      <c r="N603" s="110"/>
      <c r="Q603" s="110"/>
      <c r="R603" s="110"/>
      <c r="S603" s="110"/>
      <c r="W603" s="110"/>
      <c r="X603" s="110"/>
      <c r="Y603" s="106"/>
      <c r="Z603" s="106"/>
    </row>
    <row r="604" spans="12:26" ht="15.75" customHeight="1" x14ac:dyDescent="0.3">
      <c r="L604" s="109"/>
      <c r="M604" s="110"/>
      <c r="N604" s="110"/>
      <c r="Q604" s="110"/>
      <c r="R604" s="110"/>
      <c r="S604" s="110"/>
      <c r="W604" s="110"/>
      <c r="X604" s="110"/>
      <c r="Y604" s="106"/>
      <c r="Z604" s="106"/>
    </row>
    <row r="605" spans="12:26" ht="15.75" customHeight="1" x14ac:dyDescent="0.3">
      <c r="L605" s="109"/>
      <c r="M605" s="110"/>
      <c r="N605" s="110"/>
      <c r="Q605" s="110"/>
      <c r="R605" s="110"/>
      <c r="S605" s="110"/>
      <c r="W605" s="110"/>
      <c r="X605" s="110"/>
      <c r="Y605" s="106"/>
      <c r="Z605" s="106"/>
    </row>
    <row r="606" spans="12:26" ht="15.75" customHeight="1" x14ac:dyDescent="0.3">
      <c r="L606" s="109"/>
      <c r="M606" s="110"/>
      <c r="N606" s="110"/>
      <c r="Q606" s="110"/>
      <c r="R606" s="110"/>
      <c r="S606" s="110"/>
      <c r="W606" s="110"/>
      <c r="X606" s="110"/>
      <c r="Y606" s="106"/>
      <c r="Z606" s="106"/>
    </row>
    <row r="607" spans="12:26" ht="15.75" customHeight="1" x14ac:dyDescent="0.3">
      <c r="L607" s="109"/>
      <c r="M607" s="110"/>
      <c r="N607" s="110"/>
      <c r="Q607" s="110"/>
      <c r="R607" s="110"/>
      <c r="S607" s="110"/>
      <c r="W607" s="110"/>
      <c r="X607" s="110"/>
      <c r="Y607" s="106"/>
      <c r="Z607" s="106"/>
    </row>
    <row r="608" spans="12:26" ht="15.75" customHeight="1" x14ac:dyDescent="0.3">
      <c r="L608" s="109"/>
      <c r="M608" s="110"/>
      <c r="N608" s="110"/>
      <c r="Q608" s="110"/>
      <c r="R608" s="110"/>
      <c r="S608" s="110"/>
      <c r="W608" s="110"/>
      <c r="X608" s="110"/>
      <c r="Y608" s="106"/>
      <c r="Z608" s="106"/>
    </row>
    <row r="609" spans="12:26" ht="15.75" customHeight="1" x14ac:dyDescent="0.3">
      <c r="L609" s="109"/>
      <c r="M609" s="110"/>
      <c r="N609" s="110"/>
      <c r="Q609" s="110"/>
      <c r="R609" s="110"/>
      <c r="S609" s="110"/>
      <c r="W609" s="110"/>
      <c r="X609" s="110"/>
      <c r="Y609" s="106"/>
      <c r="Z609" s="106"/>
    </row>
    <row r="610" spans="12:26" ht="15.75" customHeight="1" x14ac:dyDescent="0.3">
      <c r="L610" s="109"/>
      <c r="M610" s="110"/>
      <c r="N610" s="110"/>
      <c r="Q610" s="110"/>
      <c r="R610" s="110"/>
      <c r="S610" s="110"/>
      <c r="W610" s="110"/>
      <c r="X610" s="110"/>
      <c r="Y610" s="106"/>
      <c r="Z610" s="106"/>
    </row>
    <row r="611" spans="12:26" ht="15.75" customHeight="1" x14ac:dyDescent="0.3">
      <c r="L611" s="109"/>
      <c r="M611" s="110"/>
      <c r="N611" s="110"/>
      <c r="Q611" s="110"/>
      <c r="R611" s="110"/>
      <c r="S611" s="110"/>
      <c r="W611" s="110"/>
      <c r="X611" s="110"/>
      <c r="Y611" s="106"/>
      <c r="Z611" s="106"/>
    </row>
    <row r="612" spans="12:26" ht="15.75" customHeight="1" x14ac:dyDescent="0.3">
      <c r="L612" s="109"/>
      <c r="M612" s="110"/>
      <c r="N612" s="110"/>
      <c r="Q612" s="110"/>
      <c r="R612" s="110"/>
      <c r="S612" s="110"/>
      <c r="W612" s="110"/>
      <c r="X612" s="110"/>
      <c r="Y612" s="106"/>
      <c r="Z612" s="106"/>
    </row>
    <row r="613" spans="12:26" ht="15.75" customHeight="1" x14ac:dyDescent="0.3">
      <c r="L613" s="109"/>
      <c r="M613" s="110"/>
      <c r="N613" s="110"/>
      <c r="Q613" s="110"/>
      <c r="R613" s="110"/>
      <c r="S613" s="110"/>
      <c r="W613" s="110"/>
      <c r="X613" s="110"/>
      <c r="Y613" s="106"/>
      <c r="Z613" s="106"/>
    </row>
    <row r="614" spans="12:26" ht="15.75" customHeight="1" x14ac:dyDescent="0.3">
      <c r="L614" s="109"/>
      <c r="M614" s="110"/>
      <c r="N614" s="110"/>
      <c r="Q614" s="110"/>
      <c r="R614" s="110"/>
      <c r="S614" s="110"/>
      <c r="W614" s="110"/>
      <c r="X614" s="110"/>
      <c r="Y614" s="106"/>
      <c r="Z614" s="106"/>
    </row>
    <row r="615" spans="12:26" ht="15.75" customHeight="1" x14ac:dyDescent="0.3">
      <c r="L615" s="109"/>
      <c r="M615" s="110"/>
      <c r="N615" s="110"/>
      <c r="Q615" s="110"/>
      <c r="R615" s="110"/>
      <c r="S615" s="110"/>
      <c r="W615" s="110"/>
      <c r="X615" s="110"/>
      <c r="Y615" s="106"/>
      <c r="Z615" s="106"/>
    </row>
    <row r="616" spans="12:26" ht="15.75" customHeight="1" x14ac:dyDescent="0.3">
      <c r="L616" s="109"/>
      <c r="M616" s="110"/>
      <c r="N616" s="110"/>
      <c r="Q616" s="110"/>
      <c r="R616" s="110"/>
      <c r="S616" s="110"/>
      <c r="W616" s="110"/>
      <c r="X616" s="110"/>
      <c r="Y616" s="106"/>
      <c r="Z616" s="106"/>
    </row>
    <row r="617" spans="12:26" ht="15.75" customHeight="1" x14ac:dyDescent="0.3">
      <c r="L617" s="109"/>
      <c r="M617" s="110"/>
      <c r="N617" s="110"/>
      <c r="Q617" s="110"/>
      <c r="R617" s="110"/>
      <c r="S617" s="110"/>
      <c r="W617" s="110"/>
      <c r="X617" s="110"/>
      <c r="Y617" s="106"/>
      <c r="Z617" s="106"/>
    </row>
    <row r="618" spans="12:26" ht="15.75" customHeight="1" x14ac:dyDescent="0.3">
      <c r="L618" s="109"/>
      <c r="M618" s="110"/>
      <c r="N618" s="110"/>
      <c r="Q618" s="110"/>
      <c r="R618" s="110"/>
      <c r="S618" s="110"/>
      <c r="W618" s="110"/>
      <c r="X618" s="110"/>
      <c r="Y618" s="106"/>
      <c r="Z618" s="106"/>
    </row>
    <row r="619" spans="12:26" ht="15.75" customHeight="1" x14ac:dyDescent="0.3">
      <c r="L619" s="109"/>
      <c r="M619" s="110"/>
      <c r="N619" s="110"/>
      <c r="Q619" s="110"/>
      <c r="R619" s="110"/>
      <c r="S619" s="110"/>
      <c r="W619" s="110"/>
      <c r="X619" s="110"/>
      <c r="Y619" s="106"/>
      <c r="Z619" s="106"/>
    </row>
    <row r="620" spans="12:26" ht="15.75" customHeight="1" x14ac:dyDescent="0.3">
      <c r="L620" s="109"/>
      <c r="M620" s="110"/>
      <c r="N620" s="110"/>
      <c r="Q620" s="110"/>
      <c r="R620" s="110"/>
      <c r="S620" s="110"/>
      <c r="W620" s="110"/>
      <c r="X620" s="110"/>
      <c r="Y620" s="106"/>
      <c r="Z620" s="106"/>
    </row>
    <row r="621" spans="12:26" ht="15.75" customHeight="1" x14ac:dyDescent="0.3">
      <c r="L621" s="109"/>
      <c r="M621" s="110"/>
      <c r="N621" s="110"/>
      <c r="Q621" s="110"/>
      <c r="R621" s="110"/>
      <c r="S621" s="110"/>
      <c r="W621" s="110"/>
      <c r="X621" s="110"/>
      <c r="Y621" s="106"/>
      <c r="Z621" s="106"/>
    </row>
    <row r="622" spans="12:26" ht="15.75" customHeight="1" x14ac:dyDescent="0.3">
      <c r="L622" s="109"/>
      <c r="M622" s="110"/>
      <c r="N622" s="110"/>
      <c r="Q622" s="110"/>
      <c r="R622" s="110"/>
      <c r="S622" s="110"/>
      <c r="W622" s="110"/>
      <c r="X622" s="110"/>
      <c r="Y622" s="106"/>
      <c r="Z622" s="106"/>
    </row>
    <row r="623" spans="12:26" ht="15.75" customHeight="1" x14ac:dyDescent="0.3">
      <c r="L623" s="109"/>
      <c r="M623" s="110"/>
      <c r="N623" s="110"/>
      <c r="Q623" s="110"/>
      <c r="R623" s="110"/>
      <c r="S623" s="110"/>
      <c r="W623" s="110"/>
      <c r="X623" s="110"/>
      <c r="Y623" s="106"/>
      <c r="Z623" s="106"/>
    </row>
    <row r="624" spans="12:26" ht="15.75" customHeight="1" x14ac:dyDescent="0.3">
      <c r="L624" s="109"/>
      <c r="M624" s="110"/>
      <c r="N624" s="110"/>
      <c r="Q624" s="110"/>
      <c r="R624" s="110"/>
      <c r="S624" s="110"/>
      <c r="W624" s="110"/>
      <c r="X624" s="110"/>
      <c r="Y624" s="106"/>
      <c r="Z624" s="106"/>
    </row>
    <row r="625" spans="12:26" ht="15.75" customHeight="1" x14ac:dyDescent="0.3">
      <c r="L625" s="109"/>
      <c r="M625" s="110"/>
      <c r="N625" s="110"/>
      <c r="Q625" s="110"/>
      <c r="R625" s="110"/>
      <c r="S625" s="110"/>
      <c r="W625" s="110"/>
      <c r="X625" s="110"/>
      <c r="Y625" s="106"/>
      <c r="Z625" s="106"/>
    </row>
    <row r="626" spans="12:26" ht="15.75" customHeight="1" x14ac:dyDescent="0.3">
      <c r="L626" s="109"/>
      <c r="M626" s="110"/>
      <c r="N626" s="110"/>
      <c r="Q626" s="110"/>
      <c r="R626" s="110"/>
      <c r="S626" s="110"/>
      <c r="W626" s="110"/>
      <c r="X626" s="110"/>
      <c r="Y626" s="106"/>
      <c r="Z626" s="106"/>
    </row>
    <row r="627" spans="12:26" ht="15.75" customHeight="1" x14ac:dyDescent="0.3">
      <c r="L627" s="109"/>
      <c r="M627" s="110"/>
      <c r="N627" s="110"/>
      <c r="Q627" s="110"/>
      <c r="R627" s="110"/>
      <c r="S627" s="110"/>
      <c r="W627" s="110"/>
      <c r="X627" s="110"/>
      <c r="Y627" s="106"/>
      <c r="Z627" s="106"/>
    </row>
    <row r="628" spans="12:26" ht="15.75" customHeight="1" x14ac:dyDescent="0.3">
      <c r="L628" s="109"/>
      <c r="M628" s="110"/>
      <c r="N628" s="110"/>
      <c r="Q628" s="110"/>
      <c r="R628" s="110"/>
      <c r="S628" s="110"/>
      <c r="W628" s="110"/>
      <c r="X628" s="110"/>
      <c r="Y628" s="106"/>
      <c r="Z628" s="106"/>
    </row>
    <row r="629" spans="12:26" ht="15.75" customHeight="1" x14ac:dyDescent="0.3">
      <c r="L629" s="109"/>
      <c r="M629" s="110"/>
      <c r="N629" s="110"/>
      <c r="Q629" s="110"/>
      <c r="R629" s="110"/>
      <c r="S629" s="110"/>
      <c r="W629" s="110"/>
      <c r="X629" s="110"/>
      <c r="Y629" s="106"/>
      <c r="Z629" s="106"/>
    </row>
    <row r="630" spans="12:26" ht="15.75" customHeight="1" x14ac:dyDescent="0.3">
      <c r="L630" s="109"/>
      <c r="M630" s="110"/>
      <c r="N630" s="110"/>
      <c r="Q630" s="110"/>
      <c r="R630" s="110"/>
      <c r="S630" s="110"/>
      <c r="W630" s="110"/>
      <c r="X630" s="110"/>
      <c r="Y630" s="106"/>
      <c r="Z630" s="106"/>
    </row>
    <row r="631" spans="12:26" ht="15.75" customHeight="1" x14ac:dyDescent="0.3">
      <c r="L631" s="109"/>
      <c r="M631" s="110"/>
      <c r="N631" s="110"/>
      <c r="Q631" s="110"/>
      <c r="R631" s="110"/>
      <c r="S631" s="110"/>
      <c r="W631" s="110"/>
      <c r="X631" s="110"/>
      <c r="Y631" s="106"/>
      <c r="Z631" s="106"/>
    </row>
    <row r="632" spans="12:26" ht="15.75" customHeight="1" x14ac:dyDescent="0.3">
      <c r="L632" s="109"/>
      <c r="M632" s="110"/>
      <c r="N632" s="110"/>
      <c r="Q632" s="110"/>
      <c r="R632" s="110"/>
      <c r="S632" s="110"/>
      <c r="W632" s="110"/>
      <c r="X632" s="110"/>
      <c r="Y632" s="106"/>
      <c r="Z632" s="106"/>
    </row>
    <row r="633" spans="12:26" ht="15.75" customHeight="1" x14ac:dyDescent="0.3">
      <c r="L633" s="109"/>
      <c r="M633" s="110"/>
      <c r="N633" s="110"/>
      <c r="Q633" s="110"/>
      <c r="R633" s="110"/>
      <c r="S633" s="110"/>
      <c r="W633" s="110"/>
      <c r="X633" s="110"/>
      <c r="Y633" s="106"/>
      <c r="Z633" s="106"/>
    </row>
    <row r="634" spans="12:26" ht="15.75" customHeight="1" x14ac:dyDescent="0.3">
      <c r="L634" s="109"/>
      <c r="M634" s="110"/>
      <c r="N634" s="110"/>
      <c r="Q634" s="110"/>
      <c r="R634" s="110"/>
      <c r="S634" s="110"/>
      <c r="W634" s="110"/>
      <c r="X634" s="110"/>
      <c r="Y634" s="106"/>
      <c r="Z634" s="106"/>
    </row>
    <row r="635" spans="12:26" ht="15.75" customHeight="1" x14ac:dyDescent="0.3">
      <c r="L635" s="109"/>
      <c r="M635" s="110"/>
      <c r="N635" s="110"/>
      <c r="Q635" s="110"/>
      <c r="R635" s="110"/>
      <c r="S635" s="110"/>
      <c r="W635" s="110"/>
      <c r="X635" s="110"/>
      <c r="Y635" s="106"/>
      <c r="Z635" s="106"/>
    </row>
    <row r="636" spans="12:26" ht="15.75" customHeight="1" x14ac:dyDescent="0.3">
      <c r="L636" s="109"/>
      <c r="M636" s="110"/>
      <c r="N636" s="110"/>
      <c r="Q636" s="110"/>
      <c r="R636" s="110"/>
      <c r="S636" s="110"/>
      <c r="W636" s="110"/>
      <c r="X636" s="110"/>
      <c r="Y636" s="106"/>
      <c r="Z636" s="106"/>
    </row>
    <row r="637" spans="12:26" ht="15.75" customHeight="1" x14ac:dyDescent="0.3">
      <c r="L637" s="109"/>
      <c r="M637" s="110"/>
      <c r="N637" s="110"/>
      <c r="Q637" s="110"/>
      <c r="R637" s="110"/>
      <c r="S637" s="110"/>
      <c r="W637" s="110"/>
      <c r="X637" s="110"/>
      <c r="Y637" s="106"/>
      <c r="Z637" s="106"/>
    </row>
    <row r="638" spans="12:26" ht="15.75" customHeight="1" x14ac:dyDescent="0.3">
      <c r="L638" s="109"/>
      <c r="M638" s="110"/>
      <c r="N638" s="110"/>
      <c r="Q638" s="110"/>
      <c r="R638" s="110"/>
      <c r="S638" s="110"/>
      <c r="W638" s="110"/>
      <c r="X638" s="110"/>
      <c r="Y638" s="106"/>
      <c r="Z638" s="106"/>
    </row>
    <row r="639" spans="12:26" ht="15.75" customHeight="1" x14ac:dyDescent="0.3">
      <c r="L639" s="109"/>
      <c r="M639" s="110"/>
      <c r="N639" s="110"/>
      <c r="Q639" s="110"/>
      <c r="R639" s="110"/>
      <c r="S639" s="110"/>
      <c r="W639" s="110"/>
      <c r="X639" s="110"/>
      <c r="Y639" s="106"/>
      <c r="Z639" s="106"/>
    </row>
    <row r="640" spans="12:26" ht="15.75" customHeight="1" x14ac:dyDescent="0.3">
      <c r="L640" s="109"/>
      <c r="M640" s="110"/>
      <c r="N640" s="110"/>
      <c r="Q640" s="110"/>
      <c r="R640" s="110"/>
      <c r="S640" s="110"/>
      <c r="W640" s="110"/>
      <c r="X640" s="110"/>
      <c r="Y640" s="106"/>
      <c r="Z640" s="106"/>
    </row>
    <row r="641" spans="12:26" ht="15.75" customHeight="1" x14ac:dyDescent="0.3">
      <c r="L641" s="109"/>
      <c r="M641" s="110"/>
      <c r="N641" s="110"/>
      <c r="Q641" s="110"/>
      <c r="R641" s="110"/>
      <c r="S641" s="110"/>
      <c r="W641" s="110"/>
      <c r="X641" s="110"/>
      <c r="Y641" s="106"/>
      <c r="Z641" s="106"/>
    </row>
    <row r="642" spans="12:26" ht="15.75" customHeight="1" x14ac:dyDescent="0.3">
      <c r="L642" s="109"/>
      <c r="M642" s="110"/>
      <c r="N642" s="110"/>
      <c r="Q642" s="110"/>
      <c r="R642" s="110"/>
      <c r="S642" s="110"/>
      <c r="W642" s="110"/>
      <c r="X642" s="110"/>
      <c r="Y642" s="106"/>
      <c r="Z642" s="106"/>
    </row>
    <row r="643" spans="12:26" ht="15.75" customHeight="1" x14ac:dyDescent="0.3">
      <c r="L643" s="109"/>
      <c r="M643" s="110"/>
      <c r="N643" s="110"/>
      <c r="Q643" s="110"/>
      <c r="R643" s="110"/>
      <c r="S643" s="110"/>
      <c r="W643" s="110"/>
      <c r="X643" s="110"/>
      <c r="Y643" s="106"/>
      <c r="Z643" s="106"/>
    </row>
    <row r="644" spans="12:26" ht="15.75" customHeight="1" x14ac:dyDescent="0.3">
      <c r="L644" s="109"/>
      <c r="M644" s="110"/>
      <c r="N644" s="110"/>
      <c r="Q644" s="110"/>
      <c r="R644" s="110"/>
      <c r="S644" s="110"/>
      <c r="W644" s="110"/>
      <c r="X644" s="110"/>
      <c r="Y644" s="106"/>
      <c r="Z644" s="106"/>
    </row>
    <row r="645" spans="12:26" ht="15.75" customHeight="1" x14ac:dyDescent="0.3">
      <c r="L645" s="109"/>
      <c r="M645" s="110"/>
      <c r="N645" s="110"/>
      <c r="Q645" s="110"/>
      <c r="R645" s="110"/>
      <c r="S645" s="110"/>
      <c r="W645" s="110"/>
      <c r="X645" s="110"/>
      <c r="Y645" s="106"/>
      <c r="Z645" s="106"/>
    </row>
    <row r="646" spans="12:26" ht="15.75" customHeight="1" x14ac:dyDescent="0.3">
      <c r="L646" s="109"/>
      <c r="M646" s="110"/>
      <c r="N646" s="110"/>
      <c r="Q646" s="110"/>
      <c r="R646" s="110"/>
      <c r="S646" s="110"/>
      <c r="W646" s="110"/>
      <c r="X646" s="110"/>
      <c r="Y646" s="106"/>
      <c r="Z646" s="106"/>
    </row>
    <row r="647" spans="12:26" ht="15.75" customHeight="1" x14ac:dyDescent="0.3">
      <c r="L647" s="109"/>
      <c r="M647" s="110"/>
      <c r="N647" s="110"/>
      <c r="Q647" s="110"/>
      <c r="R647" s="110"/>
      <c r="S647" s="110"/>
      <c r="W647" s="110"/>
      <c r="X647" s="110"/>
      <c r="Y647" s="106"/>
      <c r="Z647" s="106"/>
    </row>
    <row r="648" spans="12:26" ht="15.75" customHeight="1" x14ac:dyDescent="0.3">
      <c r="L648" s="109"/>
      <c r="M648" s="110"/>
      <c r="N648" s="110"/>
      <c r="Q648" s="110"/>
      <c r="R648" s="110"/>
      <c r="S648" s="110"/>
      <c r="W648" s="110"/>
      <c r="X648" s="110"/>
      <c r="Y648" s="106"/>
      <c r="Z648" s="106"/>
    </row>
    <row r="649" spans="12:26" ht="15.75" customHeight="1" x14ac:dyDescent="0.3">
      <c r="L649" s="109"/>
      <c r="M649" s="110"/>
      <c r="N649" s="110"/>
      <c r="Q649" s="110"/>
      <c r="R649" s="110"/>
      <c r="S649" s="110"/>
      <c r="W649" s="110"/>
      <c r="X649" s="110"/>
      <c r="Y649" s="106"/>
      <c r="Z649" s="106"/>
    </row>
    <row r="650" spans="12:26" ht="15.75" customHeight="1" x14ac:dyDescent="0.3">
      <c r="L650" s="109"/>
      <c r="M650" s="110"/>
      <c r="N650" s="110"/>
      <c r="Q650" s="110"/>
      <c r="R650" s="110"/>
      <c r="S650" s="110"/>
      <c r="W650" s="110"/>
      <c r="X650" s="110"/>
      <c r="Y650" s="106"/>
      <c r="Z650" s="106"/>
    </row>
    <row r="651" spans="12:26" ht="15.75" customHeight="1" x14ac:dyDescent="0.3">
      <c r="L651" s="109"/>
      <c r="M651" s="110"/>
      <c r="N651" s="110"/>
      <c r="Q651" s="110"/>
      <c r="R651" s="110"/>
      <c r="S651" s="110"/>
      <c r="W651" s="110"/>
      <c r="X651" s="110"/>
      <c r="Y651" s="106"/>
      <c r="Z651" s="106"/>
    </row>
    <row r="652" spans="12:26" ht="15.75" customHeight="1" x14ac:dyDescent="0.3">
      <c r="L652" s="109"/>
      <c r="M652" s="110"/>
      <c r="N652" s="110"/>
      <c r="Q652" s="110"/>
      <c r="R652" s="110"/>
      <c r="S652" s="110"/>
      <c r="W652" s="110"/>
      <c r="X652" s="110"/>
      <c r="Y652" s="106"/>
      <c r="Z652" s="106"/>
    </row>
    <row r="653" spans="12:26" ht="15.75" customHeight="1" x14ac:dyDescent="0.3">
      <c r="L653" s="109"/>
      <c r="M653" s="110"/>
      <c r="N653" s="110"/>
      <c r="Q653" s="110"/>
      <c r="R653" s="110"/>
      <c r="S653" s="110"/>
      <c r="W653" s="110"/>
      <c r="X653" s="110"/>
      <c r="Y653" s="106"/>
      <c r="Z653" s="106"/>
    </row>
    <row r="654" spans="12:26" ht="15.75" customHeight="1" x14ac:dyDescent="0.3">
      <c r="L654" s="109"/>
      <c r="M654" s="110"/>
      <c r="N654" s="110"/>
      <c r="Q654" s="110"/>
      <c r="R654" s="110"/>
      <c r="S654" s="110"/>
      <c r="W654" s="110"/>
      <c r="X654" s="110"/>
      <c r="Y654" s="106"/>
      <c r="Z654" s="106"/>
    </row>
    <row r="655" spans="12:26" ht="15.75" customHeight="1" x14ac:dyDescent="0.3">
      <c r="L655" s="109"/>
      <c r="M655" s="110"/>
      <c r="N655" s="110"/>
      <c r="Q655" s="110"/>
      <c r="R655" s="110"/>
      <c r="S655" s="110"/>
      <c r="W655" s="110"/>
      <c r="X655" s="110"/>
      <c r="Y655" s="106"/>
      <c r="Z655" s="106"/>
    </row>
    <row r="656" spans="12:26" ht="15.75" customHeight="1" x14ac:dyDescent="0.3">
      <c r="L656" s="109"/>
      <c r="M656" s="110"/>
      <c r="N656" s="110"/>
      <c r="Q656" s="110"/>
      <c r="R656" s="110"/>
      <c r="S656" s="110"/>
      <c r="W656" s="110"/>
      <c r="X656" s="110"/>
      <c r="Y656" s="106"/>
      <c r="Z656" s="106"/>
    </row>
    <row r="657" spans="12:26" ht="15.75" customHeight="1" x14ac:dyDescent="0.3">
      <c r="L657" s="109"/>
      <c r="M657" s="110"/>
      <c r="N657" s="110"/>
      <c r="Q657" s="110"/>
      <c r="R657" s="110"/>
      <c r="S657" s="110"/>
      <c r="W657" s="110"/>
      <c r="X657" s="110"/>
      <c r="Y657" s="106"/>
      <c r="Z657" s="106"/>
    </row>
    <row r="658" spans="12:26" ht="15.75" customHeight="1" x14ac:dyDescent="0.3">
      <c r="L658" s="109"/>
      <c r="M658" s="110"/>
      <c r="N658" s="110"/>
      <c r="Q658" s="110"/>
      <c r="R658" s="110"/>
      <c r="S658" s="110"/>
      <c r="W658" s="110"/>
      <c r="X658" s="110"/>
      <c r="Y658" s="106"/>
      <c r="Z658" s="106"/>
    </row>
    <row r="659" spans="12:26" ht="15.75" customHeight="1" x14ac:dyDescent="0.3">
      <c r="L659" s="109"/>
      <c r="M659" s="110"/>
      <c r="N659" s="110"/>
      <c r="Q659" s="110"/>
      <c r="R659" s="110"/>
      <c r="S659" s="110"/>
      <c r="W659" s="110"/>
      <c r="X659" s="110"/>
      <c r="Y659" s="106"/>
      <c r="Z659" s="106"/>
    </row>
    <row r="660" spans="12:26" ht="15.75" customHeight="1" x14ac:dyDescent="0.3">
      <c r="L660" s="109"/>
      <c r="M660" s="110"/>
      <c r="N660" s="110"/>
      <c r="Q660" s="110"/>
      <c r="R660" s="110"/>
      <c r="S660" s="110"/>
      <c r="W660" s="110"/>
      <c r="X660" s="110"/>
      <c r="Y660" s="106"/>
      <c r="Z660" s="106"/>
    </row>
    <row r="661" spans="12:26" ht="15.75" customHeight="1" x14ac:dyDescent="0.3">
      <c r="L661" s="109"/>
      <c r="M661" s="110"/>
      <c r="N661" s="110"/>
      <c r="Q661" s="110"/>
      <c r="R661" s="110"/>
      <c r="S661" s="110"/>
      <c r="W661" s="110"/>
      <c r="X661" s="110"/>
      <c r="Y661" s="106"/>
      <c r="Z661" s="106"/>
    </row>
    <row r="662" spans="12:26" ht="15.75" customHeight="1" x14ac:dyDescent="0.3">
      <c r="L662" s="109"/>
      <c r="M662" s="110"/>
      <c r="N662" s="110"/>
      <c r="Q662" s="110"/>
      <c r="R662" s="110"/>
      <c r="S662" s="110"/>
      <c r="W662" s="110"/>
      <c r="X662" s="110"/>
      <c r="Y662" s="106"/>
      <c r="Z662" s="106"/>
    </row>
    <row r="663" spans="12:26" ht="15.75" customHeight="1" x14ac:dyDescent="0.3">
      <c r="L663" s="109"/>
      <c r="M663" s="110"/>
      <c r="N663" s="110"/>
      <c r="Q663" s="110"/>
      <c r="R663" s="110"/>
      <c r="S663" s="110"/>
      <c r="W663" s="110"/>
      <c r="X663" s="110"/>
      <c r="Y663" s="106"/>
      <c r="Z663" s="106"/>
    </row>
    <row r="664" spans="12:26" ht="15.75" customHeight="1" x14ac:dyDescent="0.3">
      <c r="L664" s="109"/>
      <c r="M664" s="110"/>
      <c r="N664" s="110"/>
      <c r="Q664" s="110"/>
      <c r="R664" s="110"/>
      <c r="S664" s="110"/>
      <c r="W664" s="110"/>
      <c r="X664" s="110"/>
      <c r="Y664" s="106"/>
      <c r="Z664" s="106"/>
    </row>
    <row r="665" spans="12:26" ht="15.75" customHeight="1" x14ac:dyDescent="0.3">
      <c r="L665" s="109"/>
      <c r="M665" s="110"/>
      <c r="N665" s="110"/>
      <c r="Q665" s="110"/>
      <c r="R665" s="110"/>
      <c r="S665" s="110"/>
      <c r="W665" s="110"/>
      <c r="X665" s="110"/>
      <c r="Y665" s="106"/>
      <c r="Z665" s="106"/>
    </row>
    <row r="666" spans="12:26" ht="15.75" customHeight="1" x14ac:dyDescent="0.3">
      <c r="L666" s="109"/>
      <c r="M666" s="110"/>
      <c r="N666" s="110"/>
      <c r="Q666" s="110"/>
      <c r="R666" s="110"/>
      <c r="S666" s="110"/>
      <c r="W666" s="110"/>
      <c r="X666" s="110"/>
      <c r="Y666" s="106"/>
      <c r="Z666" s="106"/>
    </row>
    <row r="667" spans="12:26" ht="15.75" customHeight="1" x14ac:dyDescent="0.3">
      <c r="L667" s="109"/>
      <c r="M667" s="110"/>
      <c r="N667" s="110"/>
      <c r="Q667" s="110"/>
      <c r="R667" s="110"/>
      <c r="S667" s="110"/>
      <c r="W667" s="110"/>
      <c r="X667" s="110"/>
      <c r="Y667" s="106"/>
      <c r="Z667" s="106"/>
    </row>
    <row r="668" spans="12:26" ht="15.75" customHeight="1" x14ac:dyDescent="0.3">
      <c r="L668" s="109"/>
      <c r="M668" s="110"/>
      <c r="N668" s="110"/>
      <c r="Q668" s="110"/>
      <c r="R668" s="110"/>
      <c r="S668" s="110"/>
      <c r="W668" s="110"/>
      <c r="X668" s="110"/>
      <c r="Y668" s="106"/>
      <c r="Z668" s="106"/>
    </row>
    <row r="669" spans="12:26" ht="15.75" customHeight="1" x14ac:dyDescent="0.3">
      <c r="L669" s="109"/>
      <c r="M669" s="110"/>
      <c r="N669" s="110"/>
      <c r="Q669" s="110"/>
      <c r="R669" s="110"/>
      <c r="S669" s="110"/>
      <c r="W669" s="110"/>
      <c r="X669" s="110"/>
      <c r="Y669" s="106"/>
      <c r="Z669" s="106"/>
    </row>
    <row r="670" spans="12:26" ht="15.75" customHeight="1" x14ac:dyDescent="0.3">
      <c r="L670" s="109"/>
      <c r="M670" s="110"/>
      <c r="N670" s="110"/>
      <c r="Q670" s="110"/>
      <c r="R670" s="110"/>
      <c r="S670" s="110"/>
      <c r="W670" s="110"/>
      <c r="X670" s="110"/>
      <c r="Y670" s="106"/>
      <c r="Z670" s="106"/>
    </row>
    <row r="671" spans="12:26" ht="15.75" customHeight="1" x14ac:dyDescent="0.3">
      <c r="L671" s="109"/>
      <c r="M671" s="110"/>
      <c r="N671" s="110"/>
      <c r="Q671" s="110"/>
      <c r="R671" s="110"/>
      <c r="S671" s="110"/>
      <c r="W671" s="110"/>
      <c r="X671" s="110"/>
      <c r="Y671" s="106"/>
      <c r="Z671" s="106"/>
    </row>
    <row r="672" spans="12:26" ht="15.75" customHeight="1" x14ac:dyDescent="0.3">
      <c r="L672" s="109"/>
      <c r="M672" s="110"/>
      <c r="N672" s="110"/>
      <c r="Q672" s="110"/>
      <c r="R672" s="110"/>
      <c r="S672" s="110"/>
      <c r="W672" s="110"/>
      <c r="X672" s="110"/>
      <c r="Y672" s="106"/>
      <c r="Z672" s="106"/>
    </row>
    <row r="673" spans="12:26" ht="15.75" customHeight="1" x14ac:dyDescent="0.3">
      <c r="L673" s="109"/>
      <c r="M673" s="110"/>
      <c r="N673" s="110"/>
      <c r="Q673" s="110"/>
      <c r="R673" s="110"/>
      <c r="S673" s="110"/>
      <c r="W673" s="110"/>
      <c r="X673" s="110"/>
      <c r="Y673" s="106"/>
      <c r="Z673" s="106"/>
    </row>
    <row r="674" spans="12:26" ht="15.75" customHeight="1" x14ac:dyDescent="0.3">
      <c r="L674" s="109"/>
      <c r="M674" s="110"/>
      <c r="N674" s="110"/>
      <c r="Q674" s="110"/>
      <c r="R674" s="110"/>
      <c r="S674" s="110"/>
      <c r="W674" s="110"/>
      <c r="X674" s="110"/>
      <c r="Y674" s="106"/>
      <c r="Z674" s="106"/>
    </row>
    <row r="675" spans="12:26" ht="15.75" customHeight="1" x14ac:dyDescent="0.3">
      <c r="L675" s="109"/>
      <c r="M675" s="110"/>
      <c r="N675" s="110"/>
      <c r="Q675" s="110"/>
      <c r="R675" s="110"/>
      <c r="S675" s="110"/>
      <c r="W675" s="110"/>
      <c r="X675" s="110"/>
      <c r="Y675" s="106"/>
      <c r="Z675" s="106"/>
    </row>
    <row r="676" spans="12:26" ht="15.75" customHeight="1" x14ac:dyDescent="0.3">
      <c r="L676" s="109"/>
      <c r="M676" s="110"/>
      <c r="N676" s="110"/>
      <c r="Q676" s="110"/>
      <c r="R676" s="110"/>
      <c r="S676" s="110"/>
      <c r="W676" s="110"/>
      <c r="X676" s="110"/>
      <c r="Y676" s="106"/>
      <c r="Z676" s="106"/>
    </row>
    <row r="677" spans="12:26" ht="15.75" customHeight="1" x14ac:dyDescent="0.3">
      <c r="L677" s="109"/>
      <c r="M677" s="110"/>
      <c r="N677" s="110"/>
      <c r="Q677" s="110"/>
      <c r="R677" s="110"/>
      <c r="S677" s="110"/>
      <c r="W677" s="110"/>
      <c r="X677" s="110"/>
      <c r="Y677" s="106"/>
      <c r="Z677" s="106"/>
    </row>
    <row r="678" spans="12:26" ht="15.75" customHeight="1" x14ac:dyDescent="0.3">
      <c r="L678" s="109"/>
      <c r="M678" s="110"/>
      <c r="N678" s="110"/>
      <c r="Q678" s="110"/>
      <c r="R678" s="110"/>
      <c r="S678" s="110"/>
      <c r="W678" s="110"/>
      <c r="X678" s="110"/>
      <c r="Y678" s="106"/>
      <c r="Z678" s="106"/>
    </row>
    <row r="679" spans="12:26" ht="15.75" customHeight="1" x14ac:dyDescent="0.3">
      <c r="L679" s="109"/>
      <c r="M679" s="110"/>
      <c r="N679" s="110"/>
      <c r="Q679" s="110"/>
      <c r="R679" s="110"/>
      <c r="S679" s="110"/>
      <c r="W679" s="110"/>
      <c r="X679" s="110"/>
      <c r="Y679" s="106"/>
      <c r="Z679" s="106"/>
    </row>
    <row r="680" spans="12:26" ht="15.75" customHeight="1" x14ac:dyDescent="0.3">
      <c r="L680" s="109"/>
      <c r="M680" s="110"/>
      <c r="N680" s="110"/>
      <c r="Q680" s="110"/>
      <c r="R680" s="110"/>
      <c r="S680" s="110"/>
      <c r="W680" s="110"/>
      <c r="X680" s="110"/>
      <c r="Y680" s="106"/>
      <c r="Z680" s="106"/>
    </row>
    <row r="681" spans="12:26" ht="15.75" customHeight="1" x14ac:dyDescent="0.3">
      <c r="L681" s="109"/>
      <c r="M681" s="110"/>
      <c r="N681" s="110"/>
      <c r="Q681" s="110"/>
      <c r="R681" s="110"/>
      <c r="S681" s="110"/>
      <c r="W681" s="110"/>
      <c r="X681" s="110"/>
      <c r="Y681" s="106"/>
      <c r="Z681" s="106"/>
    </row>
    <row r="682" spans="12:26" ht="15.75" customHeight="1" x14ac:dyDescent="0.3">
      <c r="L682" s="109"/>
      <c r="M682" s="110"/>
      <c r="N682" s="110"/>
      <c r="Q682" s="110"/>
      <c r="R682" s="110"/>
      <c r="S682" s="110"/>
      <c r="W682" s="110"/>
      <c r="X682" s="110"/>
      <c r="Y682" s="106"/>
      <c r="Z682" s="106"/>
    </row>
    <row r="683" spans="12:26" ht="15.75" customHeight="1" x14ac:dyDescent="0.3">
      <c r="L683" s="109"/>
      <c r="M683" s="110"/>
      <c r="N683" s="110"/>
      <c r="Q683" s="110"/>
      <c r="R683" s="110"/>
      <c r="S683" s="110"/>
      <c r="W683" s="110"/>
      <c r="X683" s="110"/>
      <c r="Y683" s="106"/>
      <c r="Z683" s="106"/>
    </row>
    <row r="684" spans="12:26" ht="15.75" customHeight="1" x14ac:dyDescent="0.3">
      <c r="L684" s="109"/>
      <c r="M684" s="110"/>
      <c r="N684" s="110"/>
      <c r="Q684" s="110"/>
      <c r="R684" s="110"/>
      <c r="S684" s="110"/>
      <c r="W684" s="110"/>
      <c r="X684" s="110"/>
      <c r="Y684" s="106"/>
      <c r="Z684" s="106"/>
    </row>
    <row r="685" spans="12:26" ht="15.75" customHeight="1" x14ac:dyDescent="0.3">
      <c r="L685" s="109"/>
      <c r="M685" s="110"/>
      <c r="N685" s="110"/>
      <c r="Q685" s="110"/>
      <c r="R685" s="110"/>
      <c r="S685" s="110"/>
      <c r="W685" s="110"/>
      <c r="X685" s="110"/>
      <c r="Y685" s="106"/>
      <c r="Z685" s="106"/>
    </row>
    <row r="686" spans="12:26" ht="15.75" customHeight="1" x14ac:dyDescent="0.3">
      <c r="L686" s="109"/>
      <c r="M686" s="110"/>
      <c r="N686" s="110"/>
      <c r="Q686" s="110"/>
      <c r="R686" s="110"/>
      <c r="S686" s="110"/>
      <c r="W686" s="110"/>
      <c r="X686" s="110"/>
      <c r="Y686" s="106"/>
      <c r="Z686" s="106"/>
    </row>
    <row r="687" spans="12:26" ht="15.75" customHeight="1" x14ac:dyDescent="0.3">
      <c r="L687" s="109"/>
      <c r="M687" s="110"/>
      <c r="N687" s="110"/>
      <c r="Q687" s="110"/>
      <c r="R687" s="110"/>
      <c r="S687" s="110"/>
      <c r="W687" s="110"/>
      <c r="X687" s="110"/>
      <c r="Y687" s="106"/>
      <c r="Z687" s="106"/>
    </row>
    <row r="688" spans="12:26" ht="15.75" customHeight="1" x14ac:dyDescent="0.3">
      <c r="L688" s="109"/>
      <c r="M688" s="110"/>
      <c r="N688" s="110"/>
      <c r="Q688" s="110"/>
      <c r="R688" s="110"/>
      <c r="S688" s="110"/>
      <c r="W688" s="110"/>
      <c r="X688" s="110"/>
      <c r="Y688" s="106"/>
      <c r="Z688" s="106"/>
    </row>
    <row r="689" spans="12:26" ht="15.75" customHeight="1" x14ac:dyDescent="0.3">
      <c r="L689" s="109"/>
      <c r="M689" s="110"/>
      <c r="N689" s="110"/>
      <c r="Q689" s="110"/>
      <c r="R689" s="110"/>
      <c r="S689" s="110"/>
      <c r="W689" s="110"/>
      <c r="X689" s="110"/>
      <c r="Y689" s="106"/>
      <c r="Z689" s="106"/>
    </row>
    <row r="690" spans="12:26" ht="15.75" customHeight="1" x14ac:dyDescent="0.3">
      <c r="L690" s="109"/>
      <c r="M690" s="110"/>
      <c r="N690" s="110"/>
      <c r="Q690" s="110"/>
      <c r="R690" s="110"/>
      <c r="S690" s="110"/>
      <c r="W690" s="110"/>
      <c r="X690" s="110"/>
      <c r="Y690" s="106"/>
      <c r="Z690" s="106"/>
    </row>
    <row r="691" spans="12:26" ht="15.75" customHeight="1" x14ac:dyDescent="0.3">
      <c r="L691" s="109"/>
      <c r="M691" s="110"/>
      <c r="N691" s="110"/>
      <c r="Q691" s="110"/>
      <c r="R691" s="110"/>
      <c r="S691" s="110"/>
      <c r="W691" s="110"/>
      <c r="X691" s="110"/>
      <c r="Y691" s="106"/>
      <c r="Z691" s="106"/>
    </row>
    <row r="692" spans="12:26" ht="15.75" customHeight="1" x14ac:dyDescent="0.3">
      <c r="L692" s="109"/>
      <c r="M692" s="110"/>
      <c r="N692" s="110"/>
      <c r="Q692" s="110"/>
      <c r="R692" s="110"/>
      <c r="S692" s="110"/>
      <c r="W692" s="110"/>
      <c r="X692" s="110"/>
      <c r="Y692" s="106"/>
      <c r="Z692" s="106"/>
    </row>
    <row r="693" spans="12:26" ht="15.75" customHeight="1" x14ac:dyDescent="0.3">
      <c r="L693" s="109"/>
      <c r="M693" s="110"/>
      <c r="N693" s="110"/>
      <c r="Q693" s="110"/>
      <c r="R693" s="110"/>
      <c r="S693" s="110"/>
      <c r="W693" s="110"/>
      <c r="X693" s="110"/>
      <c r="Y693" s="106"/>
      <c r="Z693" s="106"/>
    </row>
    <row r="694" spans="12:26" ht="15.75" customHeight="1" x14ac:dyDescent="0.3">
      <c r="L694" s="109"/>
      <c r="M694" s="110"/>
      <c r="N694" s="110"/>
      <c r="Q694" s="110"/>
      <c r="R694" s="110"/>
      <c r="S694" s="110"/>
      <c r="W694" s="110"/>
      <c r="X694" s="110"/>
      <c r="Y694" s="106"/>
      <c r="Z694" s="106"/>
    </row>
    <row r="695" spans="12:26" ht="15.75" customHeight="1" x14ac:dyDescent="0.3">
      <c r="L695" s="109"/>
      <c r="M695" s="110"/>
      <c r="N695" s="110"/>
      <c r="Q695" s="110"/>
      <c r="R695" s="110"/>
      <c r="S695" s="110"/>
      <c r="W695" s="110"/>
      <c r="X695" s="110"/>
      <c r="Y695" s="106"/>
      <c r="Z695" s="106"/>
    </row>
    <row r="696" spans="12:26" ht="15.75" customHeight="1" x14ac:dyDescent="0.3">
      <c r="L696" s="109"/>
      <c r="M696" s="110"/>
      <c r="N696" s="110"/>
      <c r="Q696" s="110"/>
      <c r="R696" s="110"/>
      <c r="S696" s="110"/>
      <c r="W696" s="110"/>
      <c r="X696" s="110"/>
      <c r="Y696" s="106"/>
      <c r="Z696" s="106"/>
    </row>
    <row r="697" spans="12:26" ht="15.75" customHeight="1" x14ac:dyDescent="0.3">
      <c r="L697" s="109"/>
      <c r="M697" s="110"/>
      <c r="N697" s="110"/>
      <c r="Q697" s="110"/>
      <c r="R697" s="110"/>
      <c r="S697" s="110"/>
      <c r="W697" s="110"/>
      <c r="X697" s="110"/>
      <c r="Y697" s="106"/>
      <c r="Z697" s="106"/>
    </row>
    <row r="698" spans="12:26" ht="15.75" customHeight="1" x14ac:dyDescent="0.3">
      <c r="L698" s="109"/>
      <c r="M698" s="110"/>
      <c r="N698" s="110"/>
      <c r="Q698" s="110"/>
      <c r="R698" s="110"/>
      <c r="S698" s="110"/>
      <c r="W698" s="110"/>
      <c r="X698" s="110"/>
      <c r="Y698" s="106"/>
      <c r="Z698" s="106"/>
    </row>
    <row r="699" spans="12:26" ht="15.75" customHeight="1" x14ac:dyDescent="0.3">
      <c r="L699" s="109"/>
      <c r="M699" s="110"/>
      <c r="N699" s="110"/>
      <c r="Q699" s="110"/>
      <c r="R699" s="110"/>
      <c r="S699" s="110"/>
      <c r="W699" s="110"/>
      <c r="X699" s="110"/>
      <c r="Y699" s="106"/>
      <c r="Z699" s="106"/>
    </row>
    <row r="700" spans="12:26" ht="15.75" customHeight="1" x14ac:dyDescent="0.3">
      <c r="L700" s="109"/>
      <c r="M700" s="110"/>
      <c r="N700" s="110"/>
      <c r="Q700" s="110"/>
      <c r="R700" s="110"/>
      <c r="S700" s="110"/>
      <c r="W700" s="110"/>
      <c r="X700" s="110"/>
      <c r="Y700" s="106"/>
      <c r="Z700" s="106"/>
    </row>
    <row r="701" spans="12:26" ht="15.75" customHeight="1" x14ac:dyDescent="0.3">
      <c r="L701" s="109"/>
      <c r="M701" s="110"/>
      <c r="N701" s="110"/>
      <c r="Q701" s="110"/>
      <c r="R701" s="110"/>
      <c r="S701" s="110"/>
      <c r="W701" s="110"/>
      <c r="X701" s="110"/>
      <c r="Y701" s="106"/>
      <c r="Z701" s="106"/>
    </row>
    <row r="702" spans="12:26" ht="15.75" customHeight="1" x14ac:dyDescent="0.3">
      <c r="L702" s="109"/>
      <c r="M702" s="110"/>
      <c r="N702" s="110"/>
      <c r="Q702" s="110"/>
      <c r="R702" s="110"/>
      <c r="S702" s="110"/>
      <c r="W702" s="110"/>
      <c r="X702" s="110"/>
      <c r="Y702" s="106"/>
      <c r="Z702" s="106"/>
    </row>
    <row r="703" spans="12:26" ht="15.75" customHeight="1" x14ac:dyDescent="0.3">
      <c r="L703" s="109"/>
      <c r="M703" s="110"/>
      <c r="N703" s="110"/>
      <c r="Q703" s="110"/>
      <c r="R703" s="110"/>
      <c r="S703" s="110"/>
      <c r="W703" s="110"/>
      <c r="X703" s="110"/>
      <c r="Y703" s="106"/>
      <c r="Z703" s="106"/>
    </row>
    <row r="704" spans="12:26" ht="15.75" customHeight="1" x14ac:dyDescent="0.3">
      <c r="L704" s="109"/>
      <c r="M704" s="110"/>
      <c r="N704" s="110"/>
      <c r="Q704" s="110"/>
      <c r="R704" s="110"/>
      <c r="S704" s="110"/>
      <c r="W704" s="110"/>
      <c r="X704" s="110"/>
      <c r="Y704" s="106"/>
      <c r="Z704" s="106"/>
    </row>
    <row r="705" spans="12:26" ht="15.75" customHeight="1" x14ac:dyDescent="0.3">
      <c r="L705" s="109"/>
      <c r="M705" s="110"/>
      <c r="N705" s="110"/>
      <c r="Q705" s="110"/>
      <c r="R705" s="110"/>
      <c r="S705" s="110"/>
      <c r="W705" s="110"/>
      <c r="X705" s="110"/>
      <c r="Y705" s="106"/>
      <c r="Z705" s="106"/>
    </row>
    <row r="706" spans="12:26" ht="15.75" customHeight="1" x14ac:dyDescent="0.3">
      <c r="L706" s="109"/>
      <c r="M706" s="110"/>
      <c r="N706" s="110"/>
      <c r="Q706" s="110"/>
      <c r="R706" s="110"/>
      <c r="S706" s="110"/>
      <c r="W706" s="110"/>
      <c r="X706" s="110"/>
      <c r="Y706" s="106"/>
      <c r="Z706" s="106"/>
    </row>
    <row r="707" spans="12:26" ht="15.75" customHeight="1" x14ac:dyDescent="0.3">
      <c r="L707" s="109"/>
      <c r="M707" s="110"/>
      <c r="N707" s="110"/>
      <c r="Q707" s="110"/>
      <c r="R707" s="110"/>
      <c r="S707" s="110"/>
      <c r="W707" s="110"/>
      <c r="X707" s="110"/>
      <c r="Y707" s="106"/>
      <c r="Z707" s="106"/>
    </row>
    <row r="708" spans="12:26" ht="15.75" customHeight="1" x14ac:dyDescent="0.3">
      <c r="L708" s="109"/>
      <c r="M708" s="110"/>
      <c r="N708" s="110"/>
      <c r="Q708" s="110"/>
      <c r="R708" s="110"/>
      <c r="S708" s="110"/>
      <c r="W708" s="110"/>
      <c r="X708" s="110"/>
      <c r="Y708" s="106"/>
      <c r="Z708" s="106"/>
    </row>
    <row r="709" spans="12:26" ht="15.75" customHeight="1" x14ac:dyDescent="0.3">
      <c r="L709" s="109"/>
      <c r="M709" s="110"/>
      <c r="N709" s="110"/>
      <c r="Q709" s="110"/>
      <c r="R709" s="110"/>
      <c r="S709" s="110"/>
      <c r="W709" s="110"/>
      <c r="X709" s="110"/>
      <c r="Y709" s="106"/>
      <c r="Z709" s="106"/>
    </row>
    <row r="710" spans="12:26" ht="15.75" customHeight="1" x14ac:dyDescent="0.3">
      <c r="L710" s="109"/>
      <c r="M710" s="110"/>
      <c r="N710" s="110"/>
      <c r="Q710" s="110"/>
      <c r="R710" s="110"/>
      <c r="S710" s="110"/>
      <c r="W710" s="110"/>
      <c r="X710" s="110"/>
      <c r="Y710" s="106"/>
      <c r="Z710" s="106"/>
    </row>
    <row r="711" spans="12:26" ht="15.75" customHeight="1" x14ac:dyDescent="0.3">
      <c r="L711" s="109"/>
      <c r="M711" s="110"/>
      <c r="N711" s="110"/>
      <c r="Q711" s="110"/>
      <c r="R711" s="110"/>
      <c r="S711" s="110"/>
      <c r="W711" s="110"/>
      <c r="X711" s="110"/>
      <c r="Y711" s="106"/>
      <c r="Z711" s="106"/>
    </row>
    <row r="712" spans="12:26" ht="15.75" customHeight="1" x14ac:dyDescent="0.3">
      <c r="L712" s="109"/>
      <c r="M712" s="110"/>
      <c r="N712" s="110"/>
      <c r="Q712" s="110"/>
      <c r="R712" s="110"/>
      <c r="S712" s="110"/>
      <c r="W712" s="110"/>
      <c r="X712" s="110"/>
      <c r="Y712" s="106"/>
      <c r="Z712" s="106"/>
    </row>
    <row r="713" spans="12:26" ht="15.75" customHeight="1" x14ac:dyDescent="0.3">
      <c r="L713" s="109"/>
      <c r="M713" s="110"/>
      <c r="N713" s="110"/>
      <c r="Q713" s="110"/>
      <c r="R713" s="110"/>
      <c r="S713" s="110"/>
      <c r="W713" s="110"/>
      <c r="X713" s="110"/>
      <c r="Y713" s="106"/>
      <c r="Z713" s="106"/>
    </row>
    <row r="714" spans="12:26" ht="15.75" customHeight="1" x14ac:dyDescent="0.3">
      <c r="L714" s="109"/>
      <c r="M714" s="110"/>
      <c r="N714" s="110"/>
      <c r="Q714" s="110"/>
      <c r="R714" s="110"/>
      <c r="S714" s="110"/>
      <c r="W714" s="110"/>
      <c r="X714" s="110"/>
      <c r="Y714" s="106"/>
      <c r="Z714" s="106"/>
    </row>
    <row r="715" spans="12:26" ht="15.75" customHeight="1" x14ac:dyDescent="0.3">
      <c r="L715" s="109"/>
      <c r="M715" s="110"/>
      <c r="N715" s="110"/>
      <c r="Q715" s="110"/>
      <c r="R715" s="110"/>
      <c r="S715" s="110"/>
      <c r="W715" s="110"/>
      <c r="X715" s="110"/>
      <c r="Y715" s="106"/>
      <c r="Z715" s="106"/>
    </row>
    <row r="716" spans="12:26" ht="15.75" customHeight="1" x14ac:dyDescent="0.3">
      <c r="L716" s="109"/>
      <c r="M716" s="110"/>
      <c r="N716" s="110"/>
      <c r="Q716" s="110"/>
      <c r="R716" s="110"/>
      <c r="S716" s="110"/>
      <c r="W716" s="110"/>
      <c r="X716" s="110"/>
      <c r="Y716" s="106"/>
      <c r="Z716" s="106"/>
    </row>
    <row r="717" spans="12:26" ht="15.75" customHeight="1" x14ac:dyDescent="0.3">
      <c r="L717" s="109"/>
      <c r="M717" s="110"/>
      <c r="N717" s="110"/>
      <c r="Q717" s="110"/>
      <c r="R717" s="110"/>
      <c r="S717" s="110"/>
      <c r="W717" s="110"/>
      <c r="X717" s="110"/>
      <c r="Y717" s="106"/>
      <c r="Z717" s="106"/>
    </row>
    <row r="718" spans="12:26" ht="15.75" customHeight="1" x14ac:dyDescent="0.3">
      <c r="L718" s="109"/>
      <c r="M718" s="110"/>
      <c r="N718" s="110"/>
      <c r="Q718" s="110"/>
      <c r="R718" s="110"/>
      <c r="S718" s="110"/>
      <c r="W718" s="110"/>
      <c r="X718" s="110"/>
      <c r="Y718" s="106"/>
      <c r="Z718" s="106"/>
    </row>
    <row r="719" spans="12:26" ht="15.75" customHeight="1" x14ac:dyDescent="0.3">
      <c r="L719" s="109"/>
      <c r="M719" s="110"/>
      <c r="N719" s="110"/>
      <c r="Q719" s="110"/>
      <c r="R719" s="110"/>
      <c r="S719" s="110"/>
      <c r="W719" s="110"/>
      <c r="X719" s="110"/>
      <c r="Y719" s="106"/>
      <c r="Z719" s="106"/>
    </row>
    <row r="720" spans="12:26" ht="15.75" customHeight="1" x14ac:dyDescent="0.3">
      <c r="L720" s="109"/>
      <c r="M720" s="110"/>
      <c r="N720" s="110"/>
      <c r="Q720" s="110"/>
      <c r="R720" s="110"/>
      <c r="S720" s="110"/>
      <c r="W720" s="110"/>
      <c r="X720" s="110"/>
      <c r="Y720" s="106"/>
      <c r="Z720" s="106"/>
    </row>
    <row r="721" spans="12:26" ht="15.75" customHeight="1" x14ac:dyDescent="0.3">
      <c r="L721" s="109"/>
      <c r="M721" s="110"/>
      <c r="N721" s="110"/>
      <c r="Q721" s="110"/>
      <c r="R721" s="110"/>
      <c r="S721" s="110"/>
      <c r="W721" s="110"/>
      <c r="X721" s="110"/>
      <c r="Y721" s="106"/>
      <c r="Z721" s="106"/>
    </row>
    <row r="722" spans="12:26" ht="15.75" customHeight="1" x14ac:dyDescent="0.3">
      <c r="L722" s="109"/>
      <c r="M722" s="110"/>
      <c r="N722" s="110"/>
      <c r="Q722" s="110"/>
      <c r="R722" s="110"/>
      <c r="S722" s="110"/>
      <c r="W722" s="110"/>
      <c r="X722" s="110"/>
      <c r="Y722" s="106"/>
      <c r="Z722" s="106"/>
    </row>
    <row r="723" spans="12:26" ht="15.75" customHeight="1" x14ac:dyDescent="0.3">
      <c r="L723" s="109"/>
      <c r="M723" s="110"/>
      <c r="N723" s="110"/>
      <c r="Q723" s="110"/>
      <c r="R723" s="110"/>
      <c r="S723" s="110"/>
      <c r="W723" s="110"/>
      <c r="X723" s="110"/>
      <c r="Y723" s="106"/>
      <c r="Z723" s="106"/>
    </row>
    <row r="724" spans="12:26" ht="15.75" customHeight="1" x14ac:dyDescent="0.3">
      <c r="L724" s="109"/>
      <c r="M724" s="110"/>
      <c r="N724" s="110"/>
      <c r="Q724" s="110"/>
      <c r="R724" s="110"/>
      <c r="S724" s="110"/>
      <c r="W724" s="110"/>
      <c r="X724" s="110"/>
      <c r="Y724" s="106"/>
      <c r="Z724" s="106"/>
    </row>
    <row r="725" spans="12:26" ht="15.75" customHeight="1" x14ac:dyDescent="0.3">
      <c r="L725" s="109"/>
      <c r="M725" s="110"/>
      <c r="N725" s="110"/>
      <c r="Q725" s="110"/>
      <c r="R725" s="110"/>
      <c r="S725" s="110"/>
      <c r="W725" s="110"/>
      <c r="X725" s="110"/>
      <c r="Y725" s="106"/>
      <c r="Z725" s="106"/>
    </row>
    <row r="726" spans="12:26" ht="15.75" customHeight="1" x14ac:dyDescent="0.3">
      <c r="L726" s="109"/>
      <c r="M726" s="110"/>
      <c r="N726" s="110"/>
      <c r="Q726" s="110"/>
      <c r="R726" s="110"/>
      <c r="S726" s="110"/>
      <c r="W726" s="110"/>
      <c r="X726" s="110"/>
      <c r="Y726" s="106"/>
      <c r="Z726" s="106"/>
    </row>
    <row r="727" spans="12:26" ht="15.75" customHeight="1" x14ac:dyDescent="0.3">
      <c r="L727" s="109"/>
      <c r="M727" s="110"/>
      <c r="N727" s="110"/>
      <c r="Q727" s="110"/>
      <c r="R727" s="110"/>
      <c r="S727" s="110"/>
      <c r="W727" s="110"/>
      <c r="X727" s="110"/>
      <c r="Y727" s="106"/>
      <c r="Z727" s="106"/>
    </row>
    <row r="728" spans="12:26" ht="15.75" customHeight="1" x14ac:dyDescent="0.3">
      <c r="L728" s="109"/>
      <c r="M728" s="110"/>
      <c r="N728" s="110"/>
      <c r="Q728" s="110"/>
      <c r="R728" s="110"/>
      <c r="S728" s="110"/>
      <c r="W728" s="110"/>
      <c r="X728" s="110"/>
      <c r="Y728" s="106"/>
      <c r="Z728" s="106"/>
    </row>
    <row r="729" spans="12:26" ht="15.75" customHeight="1" x14ac:dyDescent="0.3">
      <c r="L729" s="109"/>
      <c r="M729" s="110"/>
      <c r="N729" s="110"/>
      <c r="Q729" s="110"/>
      <c r="R729" s="110"/>
      <c r="S729" s="110"/>
      <c r="W729" s="110"/>
      <c r="X729" s="110"/>
      <c r="Y729" s="106"/>
      <c r="Z729" s="106"/>
    </row>
    <row r="730" spans="12:26" ht="15.75" customHeight="1" x14ac:dyDescent="0.3">
      <c r="L730" s="109"/>
      <c r="M730" s="110"/>
      <c r="N730" s="110"/>
      <c r="Q730" s="110"/>
      <c r="R730" s="110"/>
      <c r="S730" s="110"/>
      <c r="W730" s="110"/>
      <c r="X730" s="110"/>
      <c r="Y730" s="106"/>
      <c r="Z730" s="106"/>
    </row>
    <row r="731" spans="12:26" ht="15.75" customHeight="1" x14ac:dyDescent="0.3">
      <c r="L731" s="109"/>
      <c r="M731" s="110"/>
      <c r="N731" s="110"/>
      <c r="Q731" s="110"/>
      <c r="R731" s="110"/>
      <c r="S731" s="110"/>
      <c r="W731" s="110"/>
      <c r="X731" s="110"/>
      <c r="Y731" s="106"/>
      <c r="Z731" s="106"/>
    </row>
    <row r="732" spans="12:26" ht="15.75" customHeight="1" x14ac:dyDescent="0.3">
      <c r="L732" s="109"/>
      <c r="M732" s="110"/>
      <c r="N732" s="110"/>
      <c r="Q732" s="110"/>
      <c r="R732" s="110"/>
      <c r="S732" s="110"/>
      <c r="W732" s="110"/>
      <c r="X732" s="110"/>
      <c r="Y732" s="106"/>
      <c r="Z732" s="106"/>
    </row>
    <row r="733" spans="12:26" ht="15.75" customHeight="1" x14ac:dyDescent="0.3">
      <c r="L733" s="109"/>
      <c r="M733" s="110"/>
      <c r="N733" s="110"/>
      <c r="Q733" s="110"/>
      <c r="R733" s="110"/>
      <c r="S733" s="110"/>
      <c r="W733" s="110"/>
      <c r="X733" s="110"/>
      <c r="Y733" s="106"/>
      <c r="Z733" s="106"/>
    </row>
    <row r="734" spans="12:26" ht="15.75" customHeight="1" x14ac:dyDescent="0.3">
      <c r="L734" s="109"/>
      <c r="M734" s="110"/>
      <c r="N734" s="110"/>
      <c r="Q734" s="110"/>
      <c r="R734" s="110"/>
      <c r="S734" s="110"/>
      <c r="W734" s="110"/>
      <c r="X734" s="110"/>
      <c r="Y734" s="106"/>
      <c r="Z734" s="106"/>
    </row>
    <row r="735" spans="12:26" ht="15.75" customHeight="1" x14ac:dyDescent="0.3">
      <c r="L735" s="109"/>
      <c r="M735" s="110"/>
      <c r="N735" s="110"/>
      <c r="Q735" s="110"/>
      <c r="R735" s="110"/>
      <c r="S735" s="110"/>
      <c r="W735" s="110"/>
      <c r="X735" s="110"/>
      <c r="Y735" s="106"/>
      <c r="Z735" s="106"/>
    </row>
    <row r="736" spans="12:26" ht="15.75" customHeight="1" x14ac:dyDescent="0.3">
      <c r="L736" s="109"/>
      <c r="M736" s="110"/>
      <c r="N736" s="110"/>
      <c r="Q736" s="110"/>
      <c r="R736" s="110"/>
      <c r="S736" s="110"/>
      <c r="W736" s="110"/>
      <c r="X736" s="110"/>
      <c r="Y736" s="106"/>
      <c r="Z736" s="106"/>
    </row>
    <row r="737" spans="12:26" ht="15.75" customHeight="1" x14ac:dyDescent="0.3">
      <c r="L737" s="109"/>
      <c r="M737" s="110"/>
      <c r="N737" s="110"/>
      <c r="Q737" s="110"/>
      <c r="R737" s="110"/>
      <c r="S737" s="110"/>
      <c r="W737" s="110"/>
      <c r="X737" s="110"/>
      <c r="Y737" s="106"/>
      <c r="Z737" s="106"/>
    </row>
    <row r="738" spans="12:26" ht="15.75" customHeight="1" x14ac:dyDescent="0.3">
      <c r="L738" s="109"/>
      <c r="M738" s="110"/>
      <c r="N738" s="110"/>
      <c r="Q738" s="110"/>
      <c r="R738" s="110"/>
      <c r="S738" s="110"/>
      <c r="W738" s="110"/>
      <c r="X738" s="110"/>
      <c r="Y738" s="106"/>
      <c r="Z738" s="106"/>
    </row>
    <row r="739" spans="12:26" ht="15.75" customHeight="1" x14ac:dyDescent="0.3">
      <c r="L739" s="109"/>
      <c r="M739" s="110"/>
      <c r="N739" s="110"/>
      <c r="Q739" s="110"/>
      <c r="R739" s="110"/>
      <c r="S739" s="110"/>
      <c r="W739" s="110"/>
      <c r="X739" s="110"/>
      <c r="Y739" s="106"/>
      <c r="Z739" s="106"/>
    </row>
    <row r="740" spans="12:26" ht="15.75" customHeight="1" x14ac:dyDescent="0.3">
      <c r="L740" s="109"/>
      <c r="M740" s="110"/>
      <c r="N740" s="110"/>
      <c r="Q740" s="110"/>
      <c r="R740" s="110"/>
      <c r="S740" s="110"/>
      <c r="W740" s="110"/>
      <c r="X740" s="110"/>
      <c r="Y740" s="106"/>
      <c r="Z740" s="106"/>
    </row>
    <row r="741" spans="12:26" ht="15.75" customHeight="1" x14ac:dyDescent="0.3">
      <c r="L741" s="109"/>
      <c r="M741" s="110"/>
      <c r="N741" s="110"/>
      <c r="Q741" s="110"/>
      <c r="R741" s="110"/>
      <c r="S741" s="110"/>
      <c r="W741" s="110"/>
      <c r="X741" s="110"/>
      <c r="Y741" s="106"/>
      <c r="Z741" s="106"/>
    </row>
    <row r="742" spans="12:26" ht="15.75" customHeight="1" x14ac:dyDescent="0.3">
      <c r="L742" s="109"/>
      <c r="M742" s="110"/>
      <c r="N742" s="110"/>
      <c r="Q742" s="110"/>
      <c r="R742" s="110"/>
      <c r="S742" s="110"/>
      <c r="W742" s="110"/>
      <c r="X742" s="110"/>
      <c r="Y742" s="106"/>
      <c r="Z742" s="106"/>
    </row>
    <row r="743" spans="12:26" ht="15.75" customHeight="1" x14ac:dyDescent="0.3">
      <c r="L743" s="109"/>
      <c r="M743" s="110"/>
      <c r="N743" s="110"/>
      <c r="Q743" s="110"/>
      <c r="R743" s="110"/>
      <c r="S743" s="110"/>
      <c r="W743" s="110"/>
      <c r="X743" s="110"/>
      <c r="Y743" s="106"/>
      <c r="Z743" s="106"/>
    </row>
    <row r="744" spans="12:26" ht="15.75" customHeight="1" x14ac:dyDescent="0.3">
      <c r="L744" s="109"/>
      <c r="M744" s="110"/>
      <c r="N744" s="110"/>
      <c r="Q744" s="110"/>
      <c r="R744" s="110"/>
      <c r="S744" s="110"/>
      <c r="W744" s="110"/>
      <c r="X744" s="110"/>
      <c r="Y744" s="106"/>
      <c r="Z744" s="106"/>
    </row>
    <row r="745" spans="12:26" ht="15.75" customHeight="1" x14ac:dyDescent="0.3">
      <c r="L745" s="109"/>
      <c r="M745" s="110"/>
      <c r="N745" s="110"/>
      <c r="Q745" s="110"/>
      <c r="R745" s="110"/>
      <c r="S745" s="110"/>
      <c r="W745" s="110"/>
      <c r="X745" s="110"/>
      <c r="Y745" s="106"/>
      <c r="Z745" s="106"/>
    </row>
    <row r="746" spans="12:26" ht="15.75" customHeight="1" x14ac:dyDescent="0.3">
      <c r="L746" s="109"/>
      <c r="M746" s="110"/>
      <c r="N746" s="110"/>
      <c r="Q746" s="110"/>
      <c r="R746" s="110"/>
      <c r="S746" s="110"/>
      <c r="W746" s="110"/>
      <c r="X746" s="110"/>
      <c r="Y746" s="106"/>
      <c r="Z746" s="106"/>
    </row>
    <row r="747" spans="12:26" ht="15.75" customHeight="1" x14ac:dyDescent="0.3">
      <c r="L747" s="109"/>
      <c r="M747" s="110"/>
      <c r="N747" s="110"/>
      <c r="Q747" s="110"/>
      <c r="R747" s="110"/>
      <c r="S747" s="110"/>
      <c r="W747" s="110"/>
      <c r="X747" s="110"/>
      <c r="Y747" s="106"/>
      <c r="Z747" s="106"/>
    </row>
    <row r="748" spans="12:26" ht="15.75" customHeight="1" x14ac:dyDescent="0.3">
      <c r="L748" s="109"/>
      <c r="M748" s="110"/>
      <c r="N748" s="110"/>
      <c r="Q748" s="110"/>
      <c r="R748" s="110"/>
      <c r="S748" s="110"/>
      <c r="W748" s="110"/>
      <c r="X748" s="110"/>
      <c r="Y748" s="106"/>
      <c r="Z748" s="106"/>
    </row>
    <row r="749" spans="12:26" ht="15.75" customHeight="1" x14ac:dyDescent="0.3">
      <c r="L749" s="109"/>
      <c r="M749" s="110"/>
      <c r="N749" s="110"/>
      <c r="Q749" s="110"/>
      <c r="R749" s="110"/>
      <c r="S749" s="110"/>
      <c r="W749" s="110"/>
      <c r="X749" s="110"/>
      <c r="Y749" s="106"/>
      <c r="Z749" s="106"/>
    </row>
    <row r="750" spans="12:26" ht="15.75" customHeight="1" x14ac:dyDescent="0.3">
      <c r="L750" s="109"/>
      <c r="M750" s="110"/>
      <c r="N750" s="110"/>
      <c r="Q750" s="110"/>
      <c r="R750" s="110"/>
      <c r="S750" s="110"/>
      <c r="W750" s="110"/>
      <c r="X750" s="110"/>
      <c r="Y750" s="106"/>
      <c r="Z750" s="106"/>
    </row>
    <row r="751" spans="12:26" ht="15.75" customHeight="1" x14ac:dyDescent="0.3">
      <c r="L751" s="109"/>
      <c r="M751" s="110"/>
      <c r="N751" s="110"/>
      <c r="Q751" s="110"/>
      <c r="R751" s="110"/>
      <c r="S751" s="110"/>
      <c r="W751" s="110"/>
      <c r="X751" s="110"/>
      <c r="Y751" s="106"/>
      <c r="Z751" s="106"/>
    </row>
    <row r="752" spans="12:26" ht="15.75" customHeight="1" x14ac:dyDescent="0.3">
      <c r="L752" s="109"/>
      <c r="M752" s="110"/>
      <c r="N752" s="110"/>
      <c r="Q752" s="110"/>
      <c r="R752" s="110"/>
      <c r="S752" s="110"/>
      <c r="W752" s="110"/>
      <c r="X752" s="110"/>
      <c r="Y752" s="106"/>
      <c r="Z752" s="106"/>
    </row>
    <row r="753" spans="12:26" ht="15.75" customHeight="1" x14ac:dyDescent="0.3">
      <c r="L753" s="109"/>
      <c r="M753" s="110"/>
      <c r="N753" s="110"/>
      <c r="Q753" s="110"/>
      <c r="R753" s="110"/>
      <c r="S753" s="110"/>
      <c r="W753" s="110"/>
      <c r="X753" s="110"/>
      <c r="Y753" s="106"/>
      <c r="Z753" s="106"/>
    </row>
    <row r="754" spans="12:26" ht="15.75" customHeight="1" x14ac:dyDescent="0.3">
      <c r="L754" s="109"/>
      <c r="M754" s="110"/>
      <c r="N754" s="110"/>
      <c r="Q754" s="110"/>
      <c r="R754" s="110"/>
      <c r="S754" s="110"/>
      <c r="W754" s="110"/>
      <c r="X754" s="110"/>
      <c r="Y754" s="106"/>
      <c r="Z754" s="106"/>
    </row>
    <row r="755" spans="12:26" ht="15.75" customHeight="1" x14ac:dyDescent="0.3">
      <c r="L755" s="109"/>
      <c r="M755" s="110"/>
      <c r="N755" s="110"/>
      <c r="Q755" s="110"/>
      <c r="R755" s="110"/>
      <c r="S755" s="110"/>
      <c r="W755" s="110"/>
      <c r="X755" s="110"/>
      <c r="Y755" s="106"/>
      <c r="Z755" s="106"/>
    </row>
    <row r="756" spans="12:26" ht="15.75" customHeight="1" x14ac:dyDescent="0.3">
      <c r="L756" s="109"/>
      <c r="M756" s="110"/>
      <c r="N756" s="110"/>
      <c r="Q756" s="110"/>
      <c r="R756" s="110"/>
      <c r="S756" s="110"/>
      <c r="W756" s="110"/>
      <c r="X756" s="110"/>
      <c r="Y756" s="106"/>
      <c r="Z756" s="106"/>
    </row>
    <row r="757" spans="12:26" ht="15.75" customHeight="1" x14ac:dyDescent="0.3">
      <c r="L757" s="109"/>
      <c r="M757" s="110"/>
      <c r="N757" s="110"/>
      <c r="Q757" s="110"/>
      <c r="R757" s="110"/>
      <c r="S757" s="110"/>
      <c r="W757" s="110"/>
      <c r="X757" s="110"/>
      <c r="Y757" s="106"/>
      <c r="Z757" s="106"/>
    </row>
    <row r="758" spans="12:26" ht="15.75" customHeight="1" x14ac:dyDescent="0.3">
      <c r="L758" s="109"/>
      <c r="M758" s="110"/>
      <c r="N758" s="110"/>
      <c r="Q758" s="110"/>
      <c r="R758" s="110"/>
      <c r="S758" s="110"/>
      <c r="W758" s="110"/>
      <c r="X758" s="110"/>
      <c r="Y758" s="106"/>
      <c r="Z758" s="106"/>
    </row>
    <row r="759" spans="12:26" ht="15.75" customHeight="1" x14ac:dyDescent="0.3">
      <c r="L759" s="109"/>
      <c r="M759" s="110"/>
      <c r="N759" s="110"/>
      <c r="Q759" s="110"/>
      <c r="R759" s="110"/>
      <c r="S759" s="110"/>
      <c r="W759" s="110"/>
      <c r="X759" s="110"/>
      <c r="Y759" s="106"/>
      <c r="Z759" s="106"/>
    </row>
    <row r="760" spans="12:26" ht="15.75" customHeight="1" x14ac:dyDescent="0.3">
      <c r="L760" s="109"/>
      <c r="M760" s="110"/>
      <c r="N760" s="110"/>
      <c r="Q760" s="110"/>
      <c r="R760" s="110"/>
      <c r="S760" s="110"/>
      <c r="W760" s="110"/>
      <c r="X760" s="110"/>
      <c r="Y760" s="106"/>
      <c r="Z760" s="106"/>
    </row>
    <row r="761" spans="12:26" ht="15.75" customHeight="1" x14ac:dyDescent="0.3">
      <c r="L761" s="109"/>
      <c r="M761" s="110"/>
      <c r="N761" s="110"/>
      <c r="Q761" s="110"/>
      <c r="R761" s="110"/>
      <c r="S761" s="110"/>
      <c r="W761" s="110"/>
      <c r="X761" s="110"/>
      <c r="Y761" s="106"/>
      <c r="Z761" s="106"/>
    </row>
    <row r="762" spans="12:26" ht="15.75" customHeight="1" x14ac:dyDescent="0.3">
      <c r="L762" s="109"/>
      <c r="M762" s="110"/>
      <c r="N762" s="110"/>
      <c r="Q762" s="110"/>
      <c r="R762" s="110"/>
      <c r="S762" s="110"/>
      <c r="W762" s="110"/>
      <c r="X762" s="110"/>
      <c r="Y762" s="106"/>
      <c r="Z762" s="106"/>
    </row>
    <row r="763" spans="12:26" ht="15.75" customHeight="1" x14ac:dyDescent="0.3">
      <c r="L763" s="109"/>
      <c r="M763" s="110"/>
      <c r="N763" s="110"/>
      <c r="Q763" s="110"/>
      <c r="R763" s="110"/>
      <c r="S763" s="110"/>
      <c r="W763" s="110"/>
      <c r="X763" s="110"/>
      <c r="Y763" s="106"/>
      <c r="Z763" s="106"/>
    </row>
    <row r="764" spans="12:26" ht="15.75" customHeight="1" x14ac:dyDescent="0.3">
      <c r="L764" s="109"/>
      <c r="M764" s="110"/>
      <c r="N764" s="110"/>
      <c r="Q764" s="110"/>
      <c r="R764" s="110"/>
      <c r="S764" s="110"/>
      <c r="W764" s="110"/>
      <c r="X764" s="110"/>
      <c r="Y764" s="106"/>
      <c r="Z764" s="106"/>
    </row>
    <row r="765" spans="12:26" ht="15.75" customHeight="1" x14ac:dyDescent="0.3">
      <c r="L765" s="109"/>
      <c r="M765" s="110"/>
      <c r="N765" s="110"/>
      <c r="Q765" s="110"/>
      <c r="R765" s="110"/>
      <c r="S765" s="110"/>
      <c r="W765" s="110"/>
      <c r="X765" s="110"/>
      <c r="Y765" s="106"/>
      <c r="Z765" s="106"/>
    </row>
    <row r="766" spans="12:26" ht="15.75" customHeight="1" x14ac:dyDescent="0.3">
      <c r="L766" s="109"/>
      <c r="M766" s="110"/>
      <c r="N766" s="110"/>
      <c r="Q766" s="110"/>
      <c r="R766" s="110"/>
      <c r="S766" s="110"/>
      <c r="W766" s="110"/>
      <c r="X766" s="110"/>
      <c r="Y766" s="106"/>
      <c r="Z766" s="106"/>
    </row>
    <row r="767" spans="12:26" ht="15.75" customHeight="1" x14ac:dyDescent="0.3">
      <c r="L767" s="109"/>
      <c r="M767" s="110"/>
      <c r="N767" s="110"/>
      <c r="Q767" s="110"/>
      <c r="R767" s="110"/>
      <c r="S767" s="110"/>
      <c r="W767" s="110"/>
      <c r="X767" s="110"/>
      <c r="Y767" s="106"/>
      <c r="Z767" s="106"/>
    </row>
    <row r="768" spans="12:26" ht="15.75" customHeight="1" x14ac:dyDescent="0.3">
      <c r="L768" s="109"/>
      <c r="M768" s="110"/>
      <c r="N768" s="110"/>
      <c r="Q768" s="110"/>
      <c r="R768" s="110"/>
      <c r="S768" s="110"/>
      <c r="W768" s="110"/>
      <c r="X768" s="110"/>
      <c r="Y768" s="106"/>
      <c r="Z768" s="106"/>
    </row>
    <row r="769" spans="12:26" ht="15.75" customHeight="1" x14ac:dyDescent="0.3">
      <c r="L769" s="109"/>
      <c r="M769" s="110"/>
      <c r="N769" s="110"/>
      <c r="Q769" s="110"/>
      <c r="R769" s="110"/>
      <c r="S769" s="110"/>
      <c r="W769" s="110"/>
      <c r="X769" s="110"/>
      <c r="Y769" s="106"/>
      <c r="Z769" s="106"/>
    </row>
    <row r="770" spans="12:26" ht="15.75" customHeight="1" x14ac:dyDescent="0.3">
      <c r="L770" s="109"/>
      <c r="M770" s="110"/>
      <c r="N770" s="110"/>
      <c r="Q770" s="110"/>
      <c r="R770" s="110"/>
      <c r="S770" s="110"/>
      <c r="W770" s="110"/>
      <c r="X770" s="110"/>
      <c r="Y770" s="106"/>
      <c r="Z770" s="106"/>
    </row>
    <row r="771" spans="12:26" ht="15.75" customHeight="1" x14ac:dyDescent="0.3">
      <c r="L771" s="109"/>
      <c r="M771" s="110"/>
      <c r="N771" s="110"/>
      <c r="Q771" s="110"/>
      <c r="R771" s="110"/>
      <c r="S771" s="110"/>
      <c r="W771" s="110"/>
      <c r="X771" s="110"/>
      <c r="Y771" s="106"/>
      <c r="Z771" s="106"/>
    </row>
    <row r="772" spans="12:26" ht="15.75" customHeight="1" x14ac:dyDescent="0.3">
      <c r="L772" s="109"/>
      <c r="M772" s="110"/>
      <c r="N772" s="110"/>
      <c r="Q772" s="110"/>
      <c r="R772" s="110"/>
      <c r="S772" s="110"/>
      <c r="W772" s="110"/>
      <c r="X772" s="110"/>
      <c r="Y772" s="106"/>
      <c r="Z772" s="106"/>
    </row>
    <row r="773" spans="12:26" ht="15.75" customHeight="1" x14ac:dyDescent="0.3">
      <c r="L773" s="109"/>
      <c r="M773" s="110"/>
      <c r="N773" s="110"/>
      <c r="Q773" s="110"/>
      <c r="R773" s="110"/>
      <c r="S773" s="110"/>
      <c r="W773" s="110"/>
      <c r="X773" s="110"/>
      <c r="Y773" s="106"/>
      <c r="Z773" s="106"/>
    </row>
    <row r="774" spans="12:26" ht="15.75" customHeight="1" x14ac:dyDescent="0.3">
      <c r="L774" s="109"/>
      <c r="M774" s="110"/>
      <c r="N774" s="110"/>
      <c r="Q774" s="110"/>
      <c r="R774" s="110"/>
      <c r="S774" s="110"/>
      <c r="W774" s="110"/>
      <c r="X774" s="110"/>
      <c r="Y774" s="106"/>
      <c r="Z774" s="106"/>
    </row>
    <row r="775" spans="12:26" ht="15.75" customHeight="1" x14ac:dyDescent="0.3">
      <c r="L775" s="109"/>
      <c r="M775" s="110"/>
      <c r="N775" s="110"/>
      <c r="Q775" s="110"/>
      <c r="R775" s="110"/>
      <c r="S775" s="110"/>
      <c r="W775" s="110"/>
      <c r="X775" s="110"/>
      <c r="Y775" s="106"/>
      <c r="Z775" s="106"/>
    </row>
    <row r="776" spans="12:26" ht="15.75" customHeight="1" x14ac:dyDescent="0.3">
      <c r="L776" s="109"/>
      <c r="M776" s="110"/>
      <c r="N776" s="110"/>
      <c r="Q776" s="110"/>
      <c r="R776" s="110"/>
      <c r="S776" s="110"/>
      <c r="W776" s="110"/>
      <c r="X776" s="110"/>
      <c r="Y776" s="106"/>
      <c r="Z776" s="106"/>
    </row>
    <row r="777" spans="12:26" ht="15.75" customHeight="1" x14ac:dyDescent="0.3">
      <c r="L777" s="109"/>
      <c r="M777" s="110"/>
      <c r="N777" s="110"/>
      <c r="Q777" s="110"/>
      <c r="R777" s="110"/>
      <c r="S777" s="110"/>
      <c r="W777" s="110"/>
      <c r="X777" s="110"/>
      <c r="Y777" s="106"/>
      <c r="Z777" s="106"/>
    </row>
    <row r="778" spans="12:26" ht="15.75" customHeight="1" x14ac:dyDescent="0.3">
      <c r="L778" s="109"/>
      <c r="M778" s="110"/>
      <c r="N778" s="110"/>
      <c r="Q778" s="110"/>
      <c r="R778" s="110"/>
      <c r="S778" s="110"/>
      <c r="W778" s="110"/>
      <c r="X778" s="110"/>
      <c r="Y778" s="106"/>
      <c r="Z778" s="106"/>
    </row>
    <row r="779" spans="12:26" ht="15.75" customHeight="1" x14ac:dyDescent="0.3">
      <c r="L779" s="109"/>
      <c r="M779" s="110"/>
      <c r="N779" s="110"/>
      <c r="Q779" s="110"/>
      <c r="R779" s="110"/>
      <c r="S779" s="110"/>
      <c r="W779" s="110"/>
      <c r="X779" s="110"/>
      <c r="Y779" s="106"/>
      <c r="Z779" s="106"/>
    </row>
    <row r="780" spans="12:26" ht="15.75" customHeight="1" x14ac:dyDescent="0.3">
      <c r="L780" s="109"/>
      <c r="M780" s="110"/>
      <c r="N780" s="110"/>
      <c r="Q780" s="110"/>
      <c r="R780" s="110"/>
      <c r="S780" s="110"/>
      <c r="W780" s="110"/>
      <c r="X780" s="110"/>
      <c r="Y780" s="106"/>
      <c r="Z780" s="106"/>
    </row>
    <row r="781" spans="12:26" ht="15.75" customHeight="1" x14ac:dyDescent="0.3">
      <c r="L781" s="109"/>
      <c r="M781" s="110"/>
      <c r="N781" s="110"/>
      <c r="Q781" s="110"/>
      <c r="R781" s="110"/>
      <c r="S781" s="110"/>
      <c r="W781" s="110"/>
      <c r="X781" s="110"/>
      <c r="Y781" s="106"/>
      <c r="Z781" s="106"/>
    </row>
    <row r="782" spans="12:26" ht="15.75" customHeight="1" x14ac:dyDescent="0.3">
      <c r="L782" s="109"/>
      <c r="M782" s="110"/>
      <c r="N782" s="110"/>
      <c r="Q782" s="110"/>
      <c r="R782" s="110"/>
      <c r="S782" s="110"/>
      <c r="W782" s="110"/>
      <c r="X782" s="110"/>
      <c r="Y782" s="106"/>
      <c r="Z782" s="106"/>
    </row>
    <row r="783" spans="12:26" ht="15.75" customHeight="1" x14ac:dyDescent="0.3">
      <c r="L783" s="109"/>
      <c r="M783" s="110"/>
      <c r="N783" s="110"/>
      <c r="Q783" s="110"/>
      <c r="R783" s="110"/>
      <c r="S783" s="110"/>
      <c r="W783" s="110"/>
      <c r="X783" s="110"/>
      <c r="Y783" s="106"/>
      <c r="Z783" s="106"/>
    </row>
    <row r="784" spans="12:26" ht="15.75" customHeight="1" x14ac:dyDescent="0.3">
      <c r="L784" s="109"/>
      <c r="M784" s="110"/>
      <c r="N784" s="110"/>
      <c r="Q784" s="110"/>
      <c r="R784" s="110"/>
      <c r="S784" s="110"/>
      <c r="W784" s="110"/>
      <c r="X784" s="110"/>
      <c r="Y784" s="106"/>
      <c r="Z784" s="106"/>
    </row>
    <row r="785" spans="12:26" ht="15.75" customHeight="1" x14ac:dyDescent="0.3">
      <c r="L785" s="109"/>
      <c r="M785" s="110"/>
      <c r="N785" s="110"/>
      <c r="Q785" s="110"/>
      <c r="R785" s="110"/>
      <c r="S785" s="110"/>
      <c r="W785" s="110"/>
      <c r="X785" s="110"/>
      <c r="Y785" s="106"/>
      <c r="Z785" s="106"/>
    </row>
    <row r="786" spans="12:26" ht="15.75" customHeight="1" x14ac:dyDescent="0.3">
      <c r="L786" s="109"/>
      <c r="M786" s="110"/>
      <c r="N786" s="110"/>
      <c r="Q786" s="110"/>
      <c r="R786" s="110"/>
      <c r="S786" s="110"/>
      <c r="W786" s="110"/>
      <c r="X786" s="110"/>
      <c r="Y786" s="106"/>
      <c r="Z786" s="106"/>
    </row>
    <row r="787" spans="12:26" ht="15.75" customHeight="1" x14ac:dyDescent="0.3">
      <c r="L787" s="109"/>
      <c r="M787" s="110"/>
      <c r="N787" s="110"/>
      <c r="Q787" s="110"/>
      <c r="R787" s="110"/>
      <c r="S787" s="110"/>
      <c r="W787" s="110"/>
      <c r="X787" s="110"/>
      <c r="Y787" s="106"/>
      <c r="Z787" s="106"/>
    </row>
    <row r="788" spans="12:26" ht="15.75" customHeight="1" x14ac:dyDescent="0.3">
      <c r="L788" s="109"/>
      <c r="M788" s="110"/>
      <c r="N788" s="110"/>
      <c r="Q788" s="110"/>
      <c r="R788" s="110"/>
      <c r="S788" s="110"/>
      <c r="W788" s="110"/>
      <c r="X788" s="110"/>
      <c r="Y788" s="106"/>
      <c r="Z788" s="106"/>
    </row>
    <row r="789" spans="12:26" ht="15.75" customHeight="1" x14ac:dyDescent="0.3">
      <c r="L789" s="109"/>
      <c r="M789" s="110"/>
      <c r="N789" s="110"/>
      <c r="Q789" s="110"/>
      <c r="R789" s="110"/>
      <c r="S789" s="110"/>
      <c r="W789" s="110"/>
      <c r="X789" s="110"/>
      <c r="Y789" s="106"/>
      <c r="Z789" s="106"/>
    </row>
    <row r="790" spans="12:26" ht="15.75" customHeight="1" x14ac:dyDescent="0.3">
      <c r="L790" s="109"/>
      <c r="M790" s="110"/>
      <c r="N790" s="110"/>
      <c r="Q790" s="110"/>
      <c r="R790" s="110"/>
      <c r="S790" s="110"/>
      <c r="W790" s="110"/>
      <c r="X790" s="110"/>
      <c r="Y790" s="106"/>
      <c r="Z790" s="106"/>
    </row>
    <row r="791" spans="12:26" ht="15.75" customHeight="1" x14ac:dyDescent="0.3">
      <c r="L791" s="109"/>
      <c r="M791" s="110"/>
      <c r="N791" s="110"/>
      <c r="Q791" s="110"/>
      <c r="R791" s="110"/>
      <c r="S791" s="110"/>
      <c r="W791" s="110"/>
      <c r="X791" s="110"/>
      <c r="Y791" s="106"/>
      <c r="Z791" s="106"/>
    </row>
    <row r="792" spans="12:26" ht="15.75" customHeight="1" x14ac:dyDescent="0.3">
      <c r="L792" s="109"/>
      <c r="M792" s="110"/>
      <c r="N792" s="110"/>
      <c r="Q792" s="110"/>
      <c r="R792" s="110"/>
      <c r="S792" s="110"/>
      <c r="W792" s="110"/>
      <c r="X792" s="110"/>
      <c r="Y792" s="106"/>
      <c r="Z792" s="106"/>
    </row>
    <row r="793" spans="12:26" ht="15.75" customHeight="1" x14ac:dyDescent="0.3">
      <c r="L793" s="109"/>
      <c r="M793" s="110"/>
      <c r="N793" s="110"/>
      <c r="Q793" s="110"/>
      <c r="R793" s="110"/>
      <c r="S793" s="110"/>
      <c r="W793" s="110"/>
      <c r="X793" s="110"/>
      <c r="Y793" s="106"/>
      <c r="Z793" s="106"/>
    </row>
    <row r="794" spans="12:26" ht="15.75" customHeight="1" x14ac:dyDescent="0.3">
      <c r="L794" s="109"/>
      <c r="M794" s="110"/>
      <c r="N794" s="110"/>
      <c r="Q794" s="110"/>
      <c r="R794" s="110"/>
      <c r="S794" s="110"/>
      <c r="W794" s="110"/>
      <c r="X794" s="110"/>
      <c r="Y794" s="106"/>
      <c r="Z794" s="106"/>
    </row>
    <row r="795" spans="12:26" ht="15.75" customHeight="1" x14ac:dyDescent="0.3">
      <c r="L795" s="109"/>
      <c r="M795" s="110"/>
      <c r="N795" s="110"/>
      <c r="Q795" s="110"/>
      <c r="R795" s="110"/>
      <c r="S795" s="110"/>
      <c r="W795" s="110"/>
      <c r="X795" s="110"/>
      <c r="Y795" s="106"/>
      <c r="Z795" s="106"/>
    </row>
    <row r="796" spans="12:26" ht="15.75" customHeight="1" x14ac:dyDescent="0.3">
      <c r="L796" s="109"/>
      <c r="M796" s="110"/>
      <c r="N796" s="110"/>
      <c r="Q796" s="110"/>
      <c r="R796" s="110"/>
      <c r="S796" s="110"/>
      <c r="W796" s="110"/>
      <c r="X796" s="110"/>
      <c r="Y796" s="106"/>
      <c r="Z796" s="106"/>
    </row>
    <row r="797" spans="12:26" ht="15.75" customHeight="1" x14ac:dyDescent="0.3">
      <c r="L797" s="109"/>
      <c r="M797" s="110"/>
      <c r="N797" s="110"/>
      <c r="Q797" s="110"/>
      <c r="R797" s="110"/>
      <c r="S797" s="110"/>
      <c r="W797" s="110"/>
      <c r="X797" s="110"/>
      <c r="Y797" s="106"/>
      <c r="Z797" s="106"/>
    </row>
    <row r="798" spans="12:26" ht="15.75" customHeight="1" x14ac:dyDescent="0.3">
      <c r="L798" s="109"/>
      <c r="M798" s="110"/>
      <c r="N798" s="110"/>
      <c r="Q798" s="110"/>
      <c r="R798" s="110"/>
      <c r="S798" s="110"/>
      <c r="W798" s="110"/>
      <c r="X798" s="110"/>
      <c r="Y798" s="106"/>
      <c r="Z798" s="106"/>
    </row>
    <row r="799" spans="12:26" ht="15.75" customHeight="1" x14ac:dyDescent="0.3">
      <c r="L799" s="109"/>
      <c r="M799" s="110"/>
      <c r="N799" s="110"/>
      <c r="Q799" s="110"/>
      <c r="R799" s="110"/>
      <c r="S799" s="110"/>
      <c r="W799" s="110"/>
      <c r="X799" s="110"/>
      <c r="Y799" s="106"/>
      <c r="Z799" s="106"/>
    </row>
    <row r="800" spans="12:26" ht="15.75" customHeight="1" x14ac:dyDescent="0.3">
      <c r="L800" s="109"/>
      <c r="M800" s="110"/>
      <c r="N800" s="110"/>
      <c r="Q800" s="110"/>
      <c r="R800" s="110"/>
      <c r="S800" s="110"/>
      <c r="W800" s="110"/>
      <c r="X800" s="110"/>
      <c r="Y800" s="106"/>
      <c r="Z800" s="106"/>
    </row>
    <row r="801" spans="12:26" ht="15.75" customHeight="1" x14ac:dyDescent="0.3">
      <c r="L801" s="109"/>
      <c r="M801" s="110"/>
      <c r="N801" s="110"/>
      <c r="Q801" s="110"/>
      <c r="R801" s="110"/>
      <c r="S801" s="110"/>
      <c r="W801" s="110"/>
      <c r="X801" s="110"/>
      <c r="Y801" s="106"/>
      <c r="Z801" s="106"/>
    </row>
    <row r="802" spans="12:26" ht="15.75" customHeight="1" x14ac:dyDescent="0.3">
      <c r="L802" s="109"/>
      <c r="M802" s="110"/>
      <c r="N802" s="110"/>
      <c r="Q802" s="110"/>
      <c r="R802" s="110"/>
      <c r="S802" s="110"/>
      <c r="W802" s="110"/>
      <c r="X802" s="110"/>
      <c r="Y802" s="106"/>
      <c r="Z802" s="106"/>
    </row>
    <row r="803" spans="12:26" ht="15.75" customHeight="1" x14ac:dyDescent="0.3">
      <c r="L803" s="109"/>
      <c r="M803" s="110"/>
      <c r="N803" s="110"/>
      <c r="Q803" s="110"/>
      <c r="R803" s="110"/>
      <c r="S803" s="110"/>
      <c r="W803" s="110"/>
      <c r="X803" s="110"/>
      <c r="Y803" s="106"/>
      <c r="Z803" s="106"/>
    </row>
    <row r="804" spans="12:26" ht="15.75" customHeight="1" x14ac:dyDescent="0.3">
      <c r="L804" s="109"/>
      <c r="M804" s="110"/>
      <c r="N804" s="110"/>
      <c r="Q804" s="110"/>
      <c r="R804" s="110"/>
      <c r="S804" s="110"/>
      <c r="W804" s="110"/>
      <c r="X804" s="110"/>
      <c r="Y804" s="106"/>
      <c r="Z804" s="106"/>
    </row>
    <row r="805" spans="12:26" ht="15.75" customHeight="1" x14ac:dyDescent="0.3">
      <c r="L805" s="109"/>
      <c r="M805" s="110"/>
      <c r="N805" s="110"/>
      <c r="Q805" s="110"/>
      <c r="R805" s="110"/>
      <c r="S805" s="110"/>
      <c r="W805" s="110"/>
      <c r="X805" s="110"/>
      <c r="Y805" s="106"/>
      <c r="Z805" s="106"/>
    </row>
    <row r="806" spans="12:26" ht="15.75" customHeight="1" x14ac:dyDescent="0.3">
      <c r="L806" s="109"/>
      <c r="M806" s="110"/>
      <c r="N806" s="110"/>
      <c r="Q806" s="110"/>
      <c r="R806" s="110"/>
      <c r="S806" s="110"/>
      <c r="W806" s="110"/>
      <c r="X806" s="110"/>
      <c r="Y806" s="106"/>
      <c r="Z806" s="106"/>
    </row>
    <row r="807" spans="12:26" ht="15.75" customHeight="1" x14ac:dyDescent="0.3">
      <c r="L807" s="109"/>
      <c r="M807" s="110"/>
      <c r="N807" s="110"/>
      <c r="Q807" s="110"/>
      <c r="R807" s="110"/>
      <c r="S807" s="110"/>
      <c r="W807" s="110"/>
      <c r="X807" s="110"/>
      <c r="Y807" s="106"/>
      <c r="Z807" s="106"/>
    </row>
    <row r="808" spans="12:26" ht="15.75" customHeight="1" x14ac:dyDescent="0.3">
      <c r="L808" s="109"/>
      <c r="M808" s="110"/>
      <c r="N808" s="110"/>
      <c r="Q808" s="110"/>
      <c r="R808" s="110"/>
      <c r="S808" s="110"/>
      <c r="W808" s="110"/>
      <c r="X808" s="110"/>
      <c r="Y808" s="106"/>
      <c r="Z808" s="106"/>
    </row>
    <row r="809" spans="12:26" ht="15.75" customHeight="1" x14ac:dyDescent="0.3">
      <c r="L809" s="109"/>
      <c r="M809" s="110"/>
      <c r="N809" s="110"/>
      <c r="Q809" s="110"/>
      <c r="R809" s="110"/>
      <c r="S809" s="110"/>
      <c r="W809" s="110"/>
      <c r="X809" s="110"/>
      <c r="Y809" s="106"/>
      <c r="Z809" s="106"/>
    </row>
    <row r="810" spans="12:26" ht="15.75" customHeight="1" x14ac:dyDescent="0.3">
      <c r="L810" s="109"/>
      <c r="M810" s="110"/>
      <c r="N810" s="110"/>
      <c r="Q810" s="110"/>
      <c r="R810" s="110"/>
      <c r="S810" s="110"/>
      <c r="W810" s="110"/>
      <c r="X810" s="110"/>
      <c r="Y810" s="106"/>
      <c r="Z810" s="106"/>
    </row>
    <row r="811" spans="12:26" ht="15.75" customHeight="1" x14ac:dyDescent="0.3">
      <c r="L811" s="109"/>
      <c r="M811" s="110"/>
      <c r="N811" s="110"/>
      <c r="Q811" s="110"/>
      <c r="R811" s="110"/>
      <c r="S811" s="110"/>
      <c r="W811" s="110"/>
      <c r="X811" s="110"/>
      <c r="Y811" s="106"/>
      <c r="Z811" s="106"/>
    </row>
    <row r="812" spans="12:26" ht="15.75" customHeight="1" x14ac:dyDescent="0.3">
      <c r="L812" s="109"/>
      <c r="M812" s="110"/>
      <c r="N812" s="110"/>
      <c r="Q812" s="110"/>
      <c r="R812" s="110"/>
      <c r="S812" s="110"/>
      <c r="W812" s="110"/>
      <c r="X812" s="110"/>
      <c r="Y812" s="106"/>
      <c r="Z812" s="106"/>
    </row>
    <row r="813" spans="12:26" ht="15.75" customHeight="1" x14ac:dyDescent="0.3">
      <c r="L813" s="109"/>
      <c r="M813" s="110"/>
      <c r="N813" s="110"/>
      <c r="Q813" s="110"/>
      <c r="R813" s="110"/>
      <c r="S813" s="110"/>
      <c r="W813" s="110"/>
      <c r="X813" s="110"/>
      <c r="Y813" s="106"/>
      <c r="Z813" s="106"/>
    </row>
    <row r="814" spans="12:26" ht="15.75" customHeight="1" x14ac:dyDescent="0.3">
      <c r="L814" s="109"/>
      <c r="M814" s="110"/>
      <c r="N814" s="110"/>
      <c r="Q814" s="110"/>
      <c r="R814" s="110"/>
      <c r="S814" s="110"/>
      <c r="W814" s="110"/>
      <c r="X814" s="110"/>
      <c r="Y814" s="106"/>
      <c r="Z814" s="106"/>
    </row>
    <row r="815" spans="12:26" ht="15.75" customHeight="1" x14ac:dyDescent="0.3">
      <c r="L815" s="109"/>
      <c r="M815" s="110"/>
      <c r="N815" s="110"/>
      <c r="Q815" s="110"/>
      <c r="R815" s="110"/>
      <c r="S815" s="110"/>
      <c r="W815" s="110"/>
      <c r="X815" s="110"/>
      <c r="Y815" s="106"/>
      <c r="Z815" s="106"/>
    </row>
    <row r="816" spans="12:26" ht="15.75" customHeight="1" x14ac:dyDescent="0.3">
      <c r="L816" s="109"/>
      <c r="M816" s="110"/>
      <c r="N816" s="110"/>
      <c r="Q816" s="110"/>
      <c r="R816" s="110"/>
      <c r="S816" s="110"/>
      <c r="W816" s="110"/>
      <c r="X816" s="110"/>
      <c r="Y816" s="106"/>
      <c r="Z816" s="106"/>
    </row>
    <row r="817" spans="12:26" ht="15.75" customHeight="1" x14ac:dyDescent="0.3">
      <c r="L817" s="109"/>
      <c r="M817" s="110"/>
      <c r="N817" s="110"/>
      <c r="Q817" s="110"/>
      <c r="R817" s="110"/>
      <c r="S817" s="110"/>
      <c r="W817" s="110"/>
      <c r="X817" s="110"/>
      <c r="Y817" s="106"/>
      <c r="Z817" s="106"/>
    </row>
    <row r="818" spans="12:26" ht="15.75" customHeight="1" x14ac:dyDescent="0.3">
      <c r="L818" s="109"/>
      <c r="M818" s="110"/>
      <c r="N818" s="110"/>
      <c r="Q818" s="110"/>
      <c r="R818" s="110"/>
      <c r="S818" s="110"/>
      <c r="W818" s="110"/>
      <c r="X818" s="110"/>
      <c r="Y818" s="106"/>
      <c r="Z818" s="106"/>
    </row>
    <row r="819" spans="12:26" ht="15.75" customHeight="1" x14ac:dyDescent="0.3">
      <c r="L819" s="109"/>
      <c r="M819" s="110"/>
      <c r="N819" s="110"/>
      <c r="Q819" s="110"/>
      <c r="R819" s="110"/>
      <c r="S819" s="110"/>
      <c r="W819" s="110"/>
      <c r="X819" s="110"/>
      <c r="Y819" s="106"/>
      <c r="Z819" s="106"/>
    </row>
    <row r="820" spans="12:26" ht="15.75" customHeight="1" x14ac:dyDescent="0.3">
      <c r="L820" s="109"/>
      <c r="M820" s="110"/>
      <c r="N820" s="110"/>
      <c r="Q820" s="110"/>
      <c r="R820" s="110"/>
      <c r="S820" s="110"/>
      <c r="W820" s="110"/>
      <c r="X820" s="110"/>
      <c r="Y820" s="106"/>
      <c r="Z820" s="106"/>
    </row>
    <row r="821" spans="12:26" ht="15.75" customHeight="1" x14ac:dyDescent="0.3">
      <c r="L821" s="109"/>
      <c r="M821" s="110"/>
      <c r="N821" s="110"/>
      <c r="Q821" s="110"/>
      <c r="R821" s="110"/>
      <c r="S821" s="110"/>
      <c r="W821" s="110"/>
      <c r="X821" s="110"/>
      <c r="Y821" s="106"/>
      <c r="Z821" s="106"/>
    </row>
    <row r="822" spans="12:26" ht="15.75" customHeight="1" x14ac:dyDescent="0.3">
      <c r="L822" s="109"/>
      <c r="M822" s="110"/>
      <c r="N822" s="110"/>
      <c r="Q822" s="110"/>
      <c r="R822" s="110"/>
      <c r="S822" s="110"/>
      <c r="W822" s="110"/>
      <c r="X822" s="110"/>
      <c r="Y822" s="106"/>
      <c r="Z822" s="106"/>
    </row>
    <row r="823" spans="12:26" ht="15.75" customHeight="1" x14ac:dyDescent="0.3">
      <c r="L823" s="109"/>
      <c r="M823" s="110"/>
      <c r="N823" s="110"/>
      <c r="Q823" s="110"/>
      <c r="R823" s="110"/>
      <c r="S823" s="110"/>
      <c r="W823" s="110"/>
      <c r="X823" s="110"/>
      <c r="Y823" s="106"/>
      <c r="Z823" s="106"/>
    </row>
    <row r="824" spans="12:26" ht="15.75" customHeight="1" x14ac:dyDescent="0.3">
      <c r="L824" s="109"/>
      <c r="M824" s="110"/>
      <c r="N824" s="110"/>
      <c r="Q824" s="110"/>
      <c r="R824" s="110"/>
      <c r="S824" s="110"/>
      <c r="W824" s="110"/>
      <c r="X824" s="110"/>
      <c r="Y824" s="106"/>
      <c r="Z824" s="106"/>
    </row>
    <row r="825" spans="12:26" ht="15.75" customHeight="1" x14ac:dyDescent="0.3">
      <c r="L825" s="109"/>
      <c r="M825" s="110"/>
      <c r="N825" s="110"/>
      <c r="Q825" s="110"/>
      <c r="R825" s="110"/>
      <c r="S825" s="110"/>
      <c r="W825" s="110"/>
      <c r="X825" s="110"/>
      <c r="Y825" s="106"/>
      <c r="Z825" s="106"/>
    </row>
    <row r="826" spans="12:26" ht="15.75" customHeight="1" x14ac:dyDescent="0.3">
      <c r="L826" s="109"/>
      <c r="M826" s="110"/>
      <c r="N826" s="110"/>
      <c r="Q826" s="110"/>
      <c r="R826" s="110"/>
      <c r="S826" s="110"/>
      <c r="W826" s="110"/>
      <c r="X826" s="110"/>
      <c r="Y826" s="106"/>
      <c r="Z826" s="106"/>
    </row>
    <row r="827" spans="12:26" ht="15.75" customHeight="1" x14ac:dyDescent="0.3">
      <c r="L827" s="109"/>
      <c r="M827" s="110"/>
      <c r="N827" s="110"/>
      <c r="Q827" s="110"/>
      <c r="R827" s="110"/>
      <c r="S827" s="110"/>
      <c r="W827" s="110"/>
      <c r="X827" s="110"/>
      <c r="Y827" s="106"/>
      <c r="Z827" s="106"/>
    </row>
    <row r="828" spans="12:26" ht="15.75" customHeight="1" x14ac:dyDescent="0.3">
      <c r="L828" s="109"/>
      <c r="M828" s="110"/>
      <c r="N828" s="110"/>
      <c r="Q828" s="110"/>
      <c r="R828" s="110"/>
      <c r="S828" s="110"/>
      <c r="W828" s="110"/>
      <c r="X828" s="110"/>
      <c r="Y828" s="106"/>
      <c r="Z828" s="106"/>
    </row>
    <row r="829" spans="12:26" ht="15.75" customHeight="1" x14ac:dyDescent="0.3">
      <c r="L829" s="109"/>
      <c r="M829" s="110"/>
      <c r="N829" s="110"/>
      <c r="Q829" s="110"/>
      <c r="R829" s="110"/>
      <c r="S829" s="110"/>
      <c r="W829" s="110"/>
      <c r="X829" s="110"/>
      <c r="Y829" s="106"/>
      <c r="Z829" s="106"/>
    </row>
    <row r="830" spans="12:26" ht="15.75" customHeight="1" x14ac:dyDescent="0.3">
      <c r="L830" s="109"/>
      <c r="M830" s="110"/>
      <c r="N830" s="110"/>
      <c r="Q830" s="110"/>
      <c r="R830" s="110"/>
      <c r="S830" s="110"/>
      <c r="W830" s="110"/>
      <c r="X830" s="110"/>
      <c r="Y830" s="106"/>
      <c r="Z830" s="106"/>
    </row>
    <row r="831" spans="12:26" ht="15.75" customHeight="1" x14ac:dyDescent="0.3">
      <c r="L831" s="109"/>
      <c r="M831" s="110"/>
      <c r="N831" s="110"/>
      <c r="Q831" s="110"/>
      <c r="R831" s="110"/>
      <c r="S831" s="110"/>
      <c r="W831" s="110"/>
      <c r="X831" s="110"/>
      <c r="Y831" s="106"/>
      <c r="Z831" s="106"/>
    </row>
    <row r="832" spans="12:26" ht="15.75" customHeight="1" x14ac:dyDescent="0.3">
      <c r="L832" s="109"/>
      <c r="M832" s="110"/>
      <c r="N832" s="110"/>
      <c r="Q832" s="110"/>
      <c r="R832" s="110"/>
      <c r="S832" s="110"/>
      <c r="W832" s="110"/>
      <c r="X832" s="110"/>
      <c r="Y832" s="106"/>
      <c r="Z832" s="106"/>
    </row>
    <row r="833" spans="12:26" ht="15.75" customHeight="1" x14ac:dyDescent="0.3">
      <c r="L833" s="109"/>
      <c r="M833" s="110"/>
      <c r="N833" s="110"/>
      <c r="Q833" s="110"/>
      <c r="R833" s="110"/>
      <c r="S833" s="110"/>
      <c r="W833" s="110"/>
      <c r="X833" s="110"/>
      <c r="Y833" s="106"/>
      <c r="Z833" s="106"/>
    </row>
    <row r="834" spans="12:26" ht="15.75" customHeight="1" x14ac:dyDescent="0.3">
      <c r="L834" s="109"/>
      <c r="M834" s="110"/>
      <c r="N834" s="110"/>
      <c r="Q834" s="110"/>
      <c r="R834" s="110"/>
      <c r="S834" s="110"/>
      <c r="W834" s="110"/>
      <c r="X834" s="110"/>
      <c r="Y834" s="106"/>
      <c r="Z834" s="106"/>
    </row>
    <row r="835" spans="12:26" ht="15.75" customHeight="1" x14ac:dyDescent="0.3">
      <c r="L835" s="109"/>
      <c r="M835" s="110"/>
      <c r="N835" s="110"/>
      <c r="Q835" s="110"/>
      <c r="R835" s="110"/>
      <c r="S835" s="110"/>
      <c r="W835" s="110"/>
      <c r="X835" s="110"/>
      <c r="Y835" s="106"/>
      <c r="Z835" s="106"/>
    </row>
    <row r="836" spans="12:26" ht="15.75" customHeight="1" x14ac:dyDescent="0.3">
      <c r="L836" s="109"/>
      <c r="M836" s="110"/>
      <c r="N836" s="110"/>
      <c r="Q836" s="110"/>
      <c r="R836" s="110"/>
      <c r="S836" s="110"/>
      <c r="W836" s="110"/>
      <c r="X836" s="110"/>
      <c r="Y836" s="106"/>
      <c r="Z836" s="106"/>
    </row>
    <row r="837" spans="12:26" ht="15.75" customHeight="1" x14ac:dyDescent="0.3">
      <c r="L837" s="109"/>
      <c r="M837" s="110"/>
      <c r="N837" s="110"/>
      <c r="Q837" s="110"/>
      <c r="R837" s="110"/>
      <c r="S837" s="110"/>
      <c r="W837" s="110"/>
      <c r="X837" s="110"/>
      <c r="Y837" s="106"/>
      <c r="Z837" s="106"/>
    </row>
    <row r="838" spans="12:26" ht="15.75" customHeight="1" x14ac:dyDescent="0.3">
      <c r="L838" s="109"/>
      <c r="M838" s="110"/>
      <c r="N838" s="110"/>
      <c r="Q838" s="110"/>
      <c r="R838" s="110"/>
      <c r="S838" s="110"/>
      <c r="W838" s="110"/>
      <c r="X838" s="110"/>
      <c r="Y838" s="106"/>
      <c r="Z838" s="106"/>
    </row>
    <row r="839" spans="12:26" ht="15.75" customHeight="1" x14ac:dyDescent="0.3">
      <c r="L839" s="109"/>
      <c r="M839" s="110"/>
      <c r="N839" s="110"/>
      <c r="Q839" s="110"/>
      <c r="R839" s="110"/>
      <c r="S839" s="110"/>
      <c r="W839" s="110"/>
      <c r="X839" s="110"/>
      <c r="Y839" s="106"/>
      <c r="Z839" s="106"/>
    </row>
    <row r="840" spans="12:26" ht="15.75" customHeight="1" x14ac:dyDescent="0.3">
      <c r="L840" s="109"/>
      <c r="M840" s="110"/>
      <c r="N840" s="110"/>
      <c r="Q840" s="110"/>
      <c r="R840" s="110"/>
      <c r="S840" s="110"/>
      <c r="W840" s="110"/>
      <c r="X840" s="110"/>
      <c r="Y840" s="106"/>
      <c r="Z840" s="106"/>
    </row>
    <row r="841" spans="12:26" ht="15.75" customHeight="1" x14ac:dyDescent="0.3">
      <c r="L841" s="109"/>
      <c r="M841" s="110"/>
      <c r="N841" s="110"/>
      <c r="Q841" s="110"/>
      <c r="R841" s="110"/>
      <c r="S841" s="110"/>
      <c r="W841" s="110"/>
      <c r="X841" s="110"/>
      <c r="Y841" s="106"/>
      <c r="Z841" s="106"/>
    </row>
    <row r="842" spans="12:26" ht="15.75" customHeight="1" x14ac:dyDescent="0.3">
      <c r="L842" s="109"/>
      <c r="M842" s="110"/>
      <c r="N842" s="110"/>
      <c r="Q842" s="110"/>
      <c r="R842" s="110"/>
      <c r="S842" s="110"/>
      <c r="W842" s="110"/>
      <c r="X842" s="110"/>
      <c r="Y842" s="106"/>
      <c r="Z842" s="106"/>
    </row>
    <row r="843" spans="12:26" ht="15.75" customHeight="1" x14ac:dyDescent="0.3">
      <c r="L843" s="109"/>
      <c r="M843" s="110"/>
      <c r="N843" s="110"/>
      <c r="Q843" s="110"/>
      <c r="R843" s="110"/>
      <c r="S843" s="110"/>
      <c r="W843" s="110"/>
      <c r="X843" s="110"/>
      <c r="Y843" s="106"/>
      <c r="Z843" s="106"/>
    </row>
    <row r="844" spans="12:26" ht="15.75" customHeight="1" x14ac:dyDescent="0.3">
      <c r="L844" s="109"/>
      <c r="M844" s="110"/>
      <c r="N844" s="110"/>
      <c r="Q844" s="110"/>
      <c r="R844" s="110"/>
      <c r="S844" s="110"/>
      <c r="W844" s="110"/>
      <c r="X844" s="110"/>
      <c r="Y844" s="106"/>
      <c r="Z844" s="106"/>
    </row>
    <row r="845" spans="12:26" ht="15.75" customHeight="1" x14ac:dyDescent="0.3">
      <c r="L845" s="109"/>
      <c r="M845" s="110"/>
      <c r="N845" s="110"/>
      <c r="Q845" s="110"/>
      <c r="R845" s="110"/>
      <c r="S845" s="110"/>
      <c r="W845" s="110"/>
      <c r="X845" s="110"/>
      <c r="Y845" s="106"/>
      <c r="Z845" s="106"/>
    </row>
    <row r="846" spans="12:26" ht="15.75" customHeight="1" x14ac:dyDescent="0.3">
      <c r="L846" s="109"/>
      <c r="M846" s="110"/>
      <c r="N846" s="110"/>
      <c r="Q846" s="110"/>
      <c r="R846" s="110"/>
      <c r="S846" s="110"/>
      <c r="W846" s="110"/>
      <c r="X846" s="110"/>
      <c r="Y846" s="106"/>
      <c r="Z846" s="106"/>
    </row>
    <row r="847" spans="12:26" ht="15.75" customHeight="1" x14ac:dyDescent="0.3">
      <c r="L847" s="109"/>
      <c r="M847" s="110"/>
      <c r="N847" s="110"/>
      <c r="Q847" s="110"/>
      <c r="R847" s="110"/>
      <c r="S847" s="110"/>
      <c r="W847" s="110"/>
      <c r="X847" s="110"/>
      <c r="Y847" s="106"/>
      <c r="Z847" s="106"/>
    </row>
    <row r="848" spans="12:26" ht="15.75" customHeight="1" x14ac:dyDescent="0.3">
      <c r="L848" s="109"/>
      <c r="M848" s="110"/>
      <c r="N848" s="110"/>
      <c r="Q848" s="110"/>
      <c r="R848" s="110"/>
      <c r="S848" s="110"/>
      <c r="W848" s="110"/>
      <c r="X848" s="110"/>
      <c r="Y848" s="106"/>
      <c r="Z848" s="106"/>
    </row>
    <row r="849" spans="12:26" ht="15.75" customHeight="1" x14ac:dyDescent="0.3">
      <c r="L849" s="109"/>
      <c r="M849" s="110"/>
      <c r="N849" s="110"/>
      <c r="Q849" s="110"/>
      <c r="R849" s="110"/>
      <c r="S849" s="110"/>
      <c r="W849" s="110"/>
      <c r="X849" s="110"/>
      <c r="Y849" s="106"/>
      <c r="Z849" s="106"/>
    </row>
    <row r="850" spans="12:26" ht="15.75" customHeight="1" x14ac:dyDescent="0.3">
      <c r="L850" s="109"/>
      <c r="M850" s="110"/>
      <c r="N850" s="110"/>
      <c r="Q850" s="110"/>
      <c r="R850" s="110"/>
      <c r="S850" s="110"/>
      <c r="W850" s="110"/>
      <c r="X850" s="110"/>
      <c r="Y850" s="106"/>
      <c r="Z850" s="106"/>
    </row>
    <row r="851" spans="12:26" ht="15.75" customHeight="1" x14ac:dyDescent="0.3">
      <c r="L851" s="109"/>
      <c r="M851" s="110"/>
      <c r="N851" s="110"/>
      <c r="Q851" s="110"/>
      <c r="R851" s="110"/>
      <c r="S851" s="110"/>
      <c r="W851" s="110"/>
      <c r="X851" s="110"/>
      <c r="Y851" s="106"/>
      <c r="Z851" s="106"/>
    </row>
    <row r="852" spans="12:26" ht="15.75" customHeight="1" x14ac:dyDescent="0.3">
      <c r="L852" s="109"/>
      <c r="M852" s="110"/>
      <c r="N852" s="110"/>
      <c r="Q852" s="110"/>
      <c r="R852" s="110"/>
      <c r="S852" s="110"/>
      <c r="W852" s="110"/>
      <c r="X852" s="110"/>
      <c r="Y852" s="106"/>
      <c r="Z852" s="106"/>
    </row>
    <row r="853" spans="12:26" ht="15.75" customHeight="1" x14ac:dyDescent="0.3">
      <c r="L853" s="109"/>
      <c r="M853" s="110"/>
      <c r="N853" s="110"/>
      <c r="Q853" s="110"/>
      <c r="R853" s="110"/>
      <c r="S853" s="110"/>
      <c r="W853" s="110"/>
      <c r="X853" s="110"/>
      <c r="Y853" s="106"/>
      <c r="Z853" s="106"/>
    </row>
    <row r="854" spans="12:26" ht="15.75" customHeight="1" x14ac:dyDescent="0.3">
      <c r="L854" s="109"/>
      <c r="M854" s="110"/>
      <c r="N854" s="110"/>
      <c r="Q854" s="110"/>
      <c r="R854" s="110"/>
      <c r="S854" s="110"/>
      <c r="W854" s="110"/>
      <c r="X854" s="110"/>
      <c r="Y854" s="106"/>
      <c r="Z854" s="106"/>
    </row>
    <row r="855" spans="12:26" ht="15.75" customHeight="1" x14ac:dyDescent="0.3">
      <c r="L855" s="109"/>
      <c r="M855" s="110"/>
      <c r="N855" s="110"/>
      <c r="Q855" s="110"/>
      <c r="R855" s="110"/>
      <c r="S855" s="110"/>
      <c r="W855" s="110"/>
      <c r="X855" s="110"/>
      <c r="Y855" s="106"/>
      <c r="Z855" s="106"/>
    </row>
    <row r="856" spans="12:26" ht="15.75" customHeight="1" x14ac:dyDescent="0.3">
      <c r="L856" s="109"/>
      <c r="M856" s="110"/>
      <c r="N856" s="110"/>
      <c r="Q856" s="110"/>
      <c r="R856" s="110"/>
      <c r="S856" s="110"/>
      <c r="W856" s="110"/>
      <c r="X856" s="110"/>
      <c r="Y856" s="106"/>
      <c r="Z856" s="106"/>
    </row>
    <row r="857" spans="12:26" ht="15.75" customHeight="1" x14ac:dyDescent="0.3">
      <c r="L857" s="109"/>
      <c r="M857" s="110"/>
      <c r="N857" s="110"/>
      <c r="Q857" s="110"/>
      <c r="R857" s="110"/>
      <c r="S857" s="110"/>
      <c r="W857" s="110"/>
      <c r="X857" s="110"/>
      <c r="Y857" s="106"/>
      <c r="Z857" s="106"/>
    </row>
    <row r="858" spans="12:26" ht="15.75" customHeight="1" x14ac:dyDescent="0.3">
      <c r="L858" s="109"/>
      <c r="M858" s="110"/>
      <c r="N858" s="110"/>
      <c r="Q858" s="110"/>
      <c r="R858" s="110"/>
      <c r="S858" s="110"/>
      <c r="W858" s="110"/>
      <c r="X858" s="110"/>
      <c r="Y858" s="106"/>
      <c r="Z858" s="106"/>
    </row>
    <row r="859" spans="12:26" ht="15.75" customHeight="1" x14ac:dyDescent="0.3">
      <c r="L859" s="109"/>
      <c r="M859" s="110"/>
      <c r="N859" s="110"/>
      <c r="Q859" s="110"/>
      <c r="R859" s="110"/>
      <c r="S859" s="110"/>
      <c r="W859" s="110"/>
      <c r="X859" s="110"/>
      <c r="Y859" s="106"/>
      <c r="Z859" s="106"/>
    </row>
    <row r="860" spans="12:26" ht="15.75" customHeight="1" x14ac:dyDescent="0.3">
      <c r="L860" s="109"/>
      <c r="M860" s="110"/>
      <c r="N860" s="110"/>
      <c r="Q860" s="110"/>
      <c r="R860" s="110"/>
      <c r="S860" s="110"/>
      <c r="W860" s="110"/>
      <c r="X860" s="110"/>
      <c r="Y860" s="106"/>
      <c r="Z860" s="106"/>
    </row>
    <row r="861" spans="12:26" ht="15.75" customHeight="1" x14ac:dyDescent="0.3">
      <c r="L861" s="109"/>
      <c r="M861" s="110"/>
      <c r="N861" s="110"/>
      <c r="Q861" s="110"/>
      <c r="R861" s="110"/>
      <c r="S861" s="110"/>
      <c r="W861" s="110"/>
      <c r="X861" s="110"/>
      <c r="Y861" s="106"/>
      <c r="Z861" s="106"/>
    </row>
    <row r="862" spans="12:26" ht="15.75" customHeight="1" x14ac:dyDescent="0.3">
      <c r="L862" s="109"/>
      <c r="M862" s="110"/>
      <c r="N862" s="110"/>
      <c r="Q862" s="110"/>
      <c r="R862" s="110"/>
      <c r="S862" s="110"/>
      <c r="W862" s="110"/>
      <c r="X862" s="110"/>
      <c r="Y862" s="106"/>
      <c r="Z862" s="106"/>
    </row>
    <row r="863" spans="12:26" ht="15.75" customHeight="1" x14ac:dyDescent="0.3">
      <c r="L863" s="109"/>
      <c r="M863" s="110"/>
      <c r="N863" s="110"/>
      <c r="Q863" s="110"/>
      <c r="R863" s="110"/>
      <c r="S863" s="110"/>
      <c r="W863" s="110"/>
      <c r="X863" s="110"/>
      <c r="Y863" s="106"/>
      <c r="Z863" s="106"/>
    </row>
    <row r="864" spans="12:26" ht="15.75" customHeight="1" x14ac:dyDescent="0.3">
      <c r="L864" s="109"/>
      <c r="M864" s="110"/>
      <c r="N864" s="110"/>
      <c r="Q864" s="110"/>
      <c r="R864" s="110"/>
      <c r="S864" s="110"/>
      <c r="W864" s="110"/>
      <c r="X864" s="110"/>
      <c r="Y864" s="106"/>
      <c r="Z864" s="106"/>
    </row>
    <row r="865" spans="12:26" ht="15.75" customHeight="1" x14ac:dyDescent="0.3">
      <c r="L865" s="109"/>
      <c r="M865" s="110"/>
      <c r="N865" s="110"/>
      <c r="Q865" s="110"/>
      <c r="R865" s="110"/>
      <c r="S865" s="110"/>
      <c r="W865" s="110"/>
      <c r="X865" s="110"/>
      <c r="Y865" s="106"/>
      <c r="Z865" s="106"/>
    </row>
    <row r="866" spans="12:26" ht="15.75" customHeight="1" x14ac:dyDescent="0.3">
      <c r="L866" s="109"/>
      <c r="M866" s="110"/>
      <c r="N866" s="110"/>
      <c r="Q866" s="110"/>
      <c r="R866" s="110"/>
      <c r="S866" s="110"/>
      <c r="W866" s="110"/>
      <c r="X866" s="110"/>
      <c r="Y866" s="106"/>
      <c r="Z866" s="106"/>
    </row>
    <row r="867" spans="12:26" ht="15.75" customHeight="1" x14ac:dyDescent="0.3">
      <c r="L867" s="109"/>
      <c r="M867" s="110"/>
      <c r="N867" s="110"/>
      <c r="Q867" s="110"/>
      <c r="R867" s="110"/>
      <c r="S867" s="110"/>
      <c r="W867" s="110"/>
      <c r="X867" s="110"/>
      <c r="Y867" s="106"/>
      <c r="Z867" s="106"/>
    </row>
    <row r="868" spans="12:26" ht="15.75" customHeight="1" x14ac:dyDescent="0.3">
      <c r="L868" s="109"/>
      <c r="M868" s="110"/>
      <c r="N868" s="110"/>
      <c r="Q868" s="110"/>
      <c r="R868" s="110"/>
      <c r="S868" s="110"/>
      <c r="W868" s="110"/>
      <c r="X868" s="110"/>
      <c r="Y868" s="106"/>
      <c r="Z868" s="106"/>
    </row>
    <row r="869" spans="12:26" ht="15.75" customHeight="1" x14ac:dyDescent="0.3">
      <c r="L869" s="109"/>
      <c r="M869" s="110"/>
      <c r="N869" s="110"/>
      <c r="Q869" s="110"/>
      <c r="R869" s="110"/>
      <c r="S869" s="110"/>
      <c r="W869" s="110"/>
      <c r="X869" s="110"/>
      <c r="Y869" s="106"/>
      <c r="Z869" s="106"/>
    </row>
    <row r="870" spans="12:26" ht="15.75" customHeight="1" x14ac:dyDescent="0.3">
      <c r="L870" s="109"/>
      <c r="M870" s="110"/>
      <c r="N870" s="110"/>
      <c r="Q870" s="110"/>
      <c r="R870" s="110"/>
      <c r="S870" s="110"/>
      <c r="W870" s="110"/>
      <c r="X870" s="110"/>
      <c r="Y870" s="106"/>
      <c r="Z870" s="106"/>
    </row>
    <row r="871" spans="12:26" ht="15.75" customHeight="1" x14ac:dyDescent="0.3">
      <c r="L871" s="109"/>
      <c r="M871" s="110"/>
      <c r="N871" s="110"/>
      <c r="Q871" s="110"/>
      <c r="R871" s="110"/>
      <c r="S871" s="110"/>
      <c r="W871" s="110"/>
      <c r="X871" s="110"/>
      <c r="Y871" s="106"/>
      <c r="Z871" s="106"/>
    </row>
    <row r="872" spans="12:26" ht="15.75" customHeight="1" x14ac:dyDescent="0.3">
      <c r="L872" s="109"/>
      <c r="M872" s="110"/>
      <c r="N872" s="110"/>
      <c r="Q872" s="110"/>
      <c r="R872" s="110"/>
      <c r="S872" s="110"/>
      <c r="W872" s="110"/>
      <c r="X872" s="110"/>
      <c r="Y872" s="106"/>
      <c r="Z872" s="106"/>
    </row>
    <row r="873" spans="12:26" ht="15.75" customHeight="1" x14ac:dyDescent="0.3">
      <c r="L873" s="109"/>
      <c r="M873" s="110"/>
      <c r="N873" s="110"/>
      <c r="Q873" s="110"/>
      <c r="R873" s="110"/>
      <c r="S873" s="110"/>
      <c r="W873" s="110"/>
      <c r="X873" s="110"/>
      <c r="Y873" s="106"/>
      <c r="Z873" s="106"/>
    </row>
    <row r="874" spans="12:26" ht="15.75" customHeight="1" x14ac:dyDescent="0.3">
      <c r="L874" s="109"/>
      <c r="M874" s="110"/>
      <c r="N874" s="110"/>
      <c r="Q874" s="110"/>
      <c r="R874" s="110"/>
      <c r="S874" s="110"/>
      <c r="W874" s="110"/>
      <c r="X874" s="110"/>
      <c r="Y874" s="106"/>
      <c r="Z874" s="106"/>
    </row>
    <row r="875" spans="12:26" ht="15.75" customHeight="1" x14ac:dyDescent="0.3">
      <c r="L875" s="109"/>
      <c r="M875" s="110"/>
      <c r="N875" s="110"/>
      <c r="Q875" s="110"/>
      <c r="R875" s="110"/>
      <c r="S875" s="110"/>
      <c r="W875" s="110"/>
      <c r="X875" s="110"/>
      <c r="Y875" s="106"/>
      <c r="Z875" s="106"/>
    </row>
    <row r="876" spans="12:26" ht="15.75" customHeight="1" x14ac:dyDescent="0.3">
      <c r="L876" s="109"/>
      <c r="M876" s="110"/>
      <c r="N876" s="110"/>
      <c r="Q876" s="110"/>
      <c r="R876" s="110"/>
      <c r="S876" s="110"/>
      <c r="W876" s="110"/>
      <c r="X876" s="110"/>
      <c r="Y876" s="106"/>
      <c r="Z876" s="106"/>
    </row>
    <row r="877" spans="12:26" ht="15.75" customHeight="1" x14ac:dyDescent="0.3">
      <c r="L877" s="109"/>
      <c r="M877" s="110"/>
      <c r="N877" s="110"/>
      <c r="Q877" s="110"/>
      <c r="R877" s="110"/>
      <c r="S877" s="110"/>
      <c r="W877" s="110"/>
      <c r="X877" s="110"/>
      <c r="Y877" s="106"/>
      <c r="Z877" s="106"/>
    </row>
    <row r="878" spans="12:26" ht="15.75" customHeight="1" x14ac:dyDescent="0.3">
      <c r="L878" s="109"/>
      <c r="M878" s="110"/>
      <c r="N878" s="110"/>
      <c r="Q878" s="110"/>
      <c r="R878" s="110"/>
      <c r="S878" s="110"/>
      <c r="W878" s="110"/>
      <c r="X878" s="110"/>
      <c r="Y878" s="106"/>
      <c r="Z878" s="106"/>
    </row>
    <row r="879" spans="12:26" ht="15.75" customHeight="1" x14ac:dyDescent="0.3">
      <c r="L879" s="109"/>
      <c r="M879" s="110"/>
      <c r="N879" s="110"/>
      <c r="Q879" s="110"/>
      <c r="R879" s="110"/>
      <c r="S879" s="110"/>
      <c r="W879" s="110"/>
      <c r="X879" s="110"/>
      <c r="Y879" s="106"/>
      <c r="Z879" s="106"/>
    </row>
    <row r="880" spans="12:26" ht="15.75" customHeight="1" x14ac:dyDescent="0.3">
      <c r="L880" s="109"/>
      <c r="M880" s="110"/>
      <c r="N880" s="110"/>
      <c r="Q880" s="110"/>
      <c r="R880" s="110"/>
      <c r="S880" s="110"/>
      <c r="W880" s="110"/>
      <c r="X880" s="110"/>
      <c r="Y880" s="106"/>
      <c r="Z880" s="106"/>
    </row>
    <row r="881" spans="12:26" ht="15.75" customHeight="1" x14ac:dyDescent="0.3">
      <c r="L881" s="109"/>
      <c r="M881" s="110"/>
      <c r="N881" s="110"/>
      <c r="Q881" s="110"/>
      <c r="R881" s="110"/>
      <c r="S881" s="110"/>
      <c r="W881" s="110"/>
      <c r="X881" s="110"/>
      <c r="Y881" s="106"/>
      <c r="Z881" s="106"/>
    </row>
    <row r="882" spans="12:26" ht="15.75" customHeight="1" x14ac:dyDescent="0.3">
      <c r="L882" s="109"/>
      <c r="M882" s="110"/>
      <c r="N882" s="110"/>
      <c r="Q882" s="110"/>
      <c r="R882" s="110"/>
      <c r="S882" s="110"/>
      <c r="W882" s="110"/>
      <c r="X882" s="110"/>
      <c r="Y882" s="106"/>
      <c r="Z882" s="106"/>
    </row>
    <row r="883" spans="12:26" ht="15.75" customHeight="1" x14ac:dyDescent="0.3">
      <c r="L883" s="109"/>
      <c r="M883" s="110"/>
      <c r="N883" s="110"/>
      <c r="Q883" s="110"/>
      <c r="R883" s="110"/>
      <c r="S883" s="110"/>
      <c r="W883" s="110"/>
      <c r="X883" s="110"/>
      <c r="Y883" s="106"/>
      <c r="Z883" s="106"/>
    </row>
    <row r="884" spans="12:26" ht="15.75" customHeight="1" x14ac:dyDescent="0.3">
      <c r="L884" s="109"/>
      <c r="M884" s="110"/>
      <c r="N884" s="110"/>
      <c r="Q884" s="110"/>
      <c r="R884" s="110"/>
      <c r="S884" s="110"/>
      <c r="W884" s="110"/>
      <c r="X884" s="110"/>
      <c r="Y884" s="106"/>
      <c r="Z884" s="106"/>
    </row>
    <row r="885" spans="12:26" ht="15.75" customHeight="1" x14ac:dyDescent="0.3">
      <c r="L885" s="109"/>
      <c r="M885" s="110"/>
      <c r="N885" s="110"/>
      <c r="Q885" s="110"/>
      <c r="R885" s="110"/>
      <c r="S885" s="110"/>
      <c r="W885" s="110"/>
      <c r="X885" s="110"/>
      <c r="Y885" s="106"/>
      <c r="Z885" s="106"/>
    </row>
    <row r="886" spans="12:26" ht="15.75" customHeight="1" x14ac:dyDescent="0.3">
      <c r="L886" s="109"/>
      <c r="M886" s="110"/>
      <c r="N886" s="110"/>
      <c r="Q886" s="110"/>
      <c r="R886" s="110"/>
      <c r="S886" s="110"/>
      <c r="W886" s="110"/>
      <c r="X886" s="110"/>
      <c r="Y886" s="106"/>
      <c r="Z886" s="106"/>
    </row>
    <row r="887" spans="12:26" ht="15.75" customHeight="1" x14ac:dyDescent="0.3">
      <c r="L887" s="109"/>
      <c r="M887" s="110"/>
      <c r="N887" s="110"/>
      <c r="Q887" s="110"/>
      <c r="R887" s="110"/>
      <c r="S887" s="110"/>
      <c r="W887" s="110"/>
      <c r="X887" s="110"/>
      <c r="Y887" s="106"/>
      <c r="Z887" s="106"/>
    </row>
    <row r="888" spans="12:26" ht="15.75" customHeight="1" x14ac:dyDescent="0.3">
      <c r="L888" s="109"/>
      <c r="M888" s="110"/>
      <c r="N888" s="110"/>
      <c r="Q888" s="110"/>
      <c r="R888" s="110"/>
      <c r="S888" s="110"/>
      <c r="W888" s="110"/>
      <c r="X888" s="110"/>
      <c r="Y888" s="106"/>
      <c r="Z888" s="106"/>
    </row>
    <row r="889" spans="12:26" ht="15.75" customHeight="1" x14ac:dyDescent="0.3">
      <c r="L889" s="109"/>
      <c r="M889" s="110"/>
      <c r="N889" s="110"/>
      <c r="Q889" s="110"/>
      <c r="R889" s="110"/>
      <c r="S889" s="110"/>
      <c r="W889" s="110"/>
      <c r="X889" s="110"/>
      <c r="Y889" s="106"/>
      <c r="Z889" s="106"/>
    </row>
    <row r="890" spans="12:26" ht="15.75" customHeight="1" x14ac:dyDescent="0.3">
      <c r="L890" s="109"/>
      <c r="M890" s="110"/>
      <c r="N890" s="110"/>
      <c r="Q890" s="110"/>
      <c r="R890" s="110"/>
      <c r="S890" s="110"/>
      <c r="W890" s="110"/>
      <c r="X890" s="110"/>
      <c r="Y890" s="106"/>
      <c r="Z890" s="106"/>
    </row>
    <row r="891" spans="12:26" ht="15.75" customHeight="1" x14ac:dyDescent="0.3">
      <c r="L891" s="109"/>
      <c r="M891" s="110"/>
      <c r="N891" s="110"/>
      <c r="Q891" s="110"/>
      <c r="R891" s="110"/>
      <c r="S891" s="110"/>
      <c r="W891" s="110"/>
      <c r="X891" s="110"/>
      <c r="Y891" s="106"/>
      <c r="Z891" s="106"/>
    </row>
    <row r="892" spans="12:26" ht="15.75" customHeight="1" x14ac:dyDescent="0.3">
      <c r="L892" s="109"/>
      <c r="M892" s="110"/>
      <c r="N892" s="110"/>
      <c r="Q892" s="110"/>
      <c r="R892" s="110"/>
      <c r="S892" s="110"/>
      <c r="W892" s="110"/>
      <c r="X892" s="110"/>
      <c r="Y892" s="106"/>
      <c r="Z892" s="106"/>
    </row>
    <row r="893" spans="12:26" ht="15.75" customHeight="1" x14ac:dyDescent="0.3">
      <c r="L893" s="109"/>
      <c r="M893" s="110"/>
      <c r="N893" s="110"/>
      <c r="Q893" s="110"/>
      <c r="R893" s="110"/>
      <c r="S893" s="110"/>
      <c r="W893" s="110"/>
      <c r="X893" s="110"/>
      <c r="Y893" s="106"/>
      <c r="Z893" s="106"/>
    </row>
    <row r="894" spans="12:26" ht="15.75" customHeight="1" x14ac:dyDescent="0.3">
      <c r="L894" s="109"/>
      <c r="M894" s="110"/>
      <c r="N894" s="110"/>
      <c r="Q894" s="110"/>
      <c r="R894" s="110"/>
      <c r="S894" s="110"/>
      <c r="W894" s="110"/>
      <c r="X894" s="110"/>
      <c r="Y894" s="106"/>
      <c r="Z894" s="106"/>
    </row>
    <row r="895" spans="12:26" ht="15.75" customHeight="1" x14ac:dyDescent="0.3">
      <c r="L895" s="109"/>
      <c r="M895" s="110"/>
      <c r="N895" s="110"/>
      <c r="Q895" s="110"/>
      <c r="R895" s="110"/>
      <c r="S895" s="110"/>
      <c r="W895" s="110"/>
      <c r="X895" s="110"/>
      <c r="Y895" s="106"/>
      <c r="Z895" s="106"/>
    </row>
    <row r="896" spans="12:26" ht="15.75" customHeight="1" x14ac:dyDescent="0.3">
      <c r="L896" s="109"/>
      <c r="M896" s="110"/>
      <c r="N896" s="110"/>
      <c r="Q896" s="110"/>
      <c r="R896" s="110"/>
      <c r="S896" s="110"/>
      <c r="W896" s="110"/>
      <c r="X896" s="110"/>
      <c r="Y896" s="106"/>
      <c r="Z896" s="106"/>
    </row>
    <row r="897" spans="12:26" ht="15.75" customHeight="1" x14ac:dyDescent="0.3">
      <c r="L897" s="109"/>
      <c r="M897" s="110"/>
      <c r="N897" s="110"/>
      <c r="Q897" s="110"/>
      <c r="R897" s="110"/>
      <c r="S897" s="110"/>
      <c r="W897" s="110"/>
      <c r="X897" s="110"/>
      <c r="Y897" s="106"/>
      <c r="Z897" s="106"/>
    </row>
    <row r="898" spans="12:26" ht="15.75" customHeight="1" x14ac:dyDescent="0.3">
      <c r="L898" s="109"/>
      <c r="M898" s="110"/>
      <c r="N898" s="110"/>
      <c r="Q898" s="110"/>
      <c r="R898" s="110"/>
      <c r="S898" s="110"/>
      <c r="W898" s="110"/>
      <c r="X898" s="110"/>
      <c r="Y898" s="106"/>
      <c r="Z898" s="106"/>
    </row>
    <row r="899" spans="12:26" ht="15.75" customHeight="1" x14ac:dyDescent="0.3">
      <c r="L899" s="109"/>
      <c r="M899" s="110"/>
      <c r="N899" s="110"/>
      <c r="Q899" s="110"/>
      <c r="R899" s="110"/>
      <c r="S899" s="110"/>
      <c r="W899" s="110"/>
      <c r="X899" s="110"/>
      <c r="Y899" s="106"/>
      <c r="Z899" s="106"/>
    </row>
    <row r="900" spans="12:26" ht="15.75" customHeight="1" x14ac:dyDescent="0.3">
      <c r="L900" s="109"/>
      <c r="M900" s="110"/>
      <c r="N900" s="110"/>
      <c r="Q900" s="110"/>
      <c r="R900" s="110"/>
      <c r="S900" s="110"/>
      <c r="W900" s="110"/>
      <c r="X900" s="110"/>
      <c r="Y900" s="106"/>
      <c r="Z900" s="106"/>
    </row>
    <row r="901" spans="12:26" ht="15.75" customHeight="1" x14ac:dyDescent="0.3">
      <c r="L901" s="109"/>
      <c r="M901" s="110"/>
      <c r="N901" s="110"/>
      <c r="Q901" s="110"/>
      <c r="R901" s="110"/>
      <c r="S901" s="110"/>
      <c r="W901" s="110"/>
      <c r="X901" s="110"/>
      <c r="Y901" s="106"/>
      <c r="Z901" s="106"/>
    </row>
    <row r="902" spans="12:26" ht="15.75" customHeight="1" x14ac:dyDescent="0.3">
      <c r="L902" s="109"/>
      <c r="M902" s="110"/>
      <c r="N902" s="110"/>
      <c r="Q902" s="110"/>
      <c r="R902" s="110"/>
      <c r="S902" s="110"/>
      <c r="W902" s="110"/>
      <c r="X902" s="110"/>
      <c r="Y902" s="106"/>
      <c r="Z902" s="106"/>
    </row>
    <row r="903" spans="12:26" ht="15.75" customHeight="1" x14ac:dyDescent="0.3">
      <c r="L903" s="109"/>
      <c r="M903" s="110"/>
      <c r="N903" s="110"/>
      <c r="Q903" s="110"/>
      <c r="R903" s="110"/>
      <c r="S903" s="110"/>
      <c r="W903" s="110"/>
      <c r="X903" s="110"/>
      <c r="Y903" s="106"/>
      <c r="Z903" s="106"/>
    </row>
    <row r="904" spans="12:26" ht="15.75" customHeight="1" x14ac:dyDescent="0.3">
      <c r="L904" s="109"/>
      <c r="M904" s="110"/>
      <c r="N904" s="110"/>
      <c r="Q904" s="110"/>
      <c r="R904" s="110"/>
      <c r="S904" s="110"/>
      <c r="W904" s="110"/>
      <c r="X904" s="110"/>
      <c r="Y904" s="106"/>
      <c r="Z904" s="106"/>
    </row>
    <row r="905" spans="12:26" ht="15.75" customHeight="1" x14ac:dyDescent="0.3">
      <c r="L905" s="109"/>
      <c r="M905" s="110"/>
      <c r="N905" s="110"/>
      <c r="Q905" s="110"/>
      <c r="R905" s="110"/>
      <c r="S905" s="110"/>
      <c r="W905" s="110"/>
      <c r="X905" s="110"/>
      <c r="Y905" s="106"/>
      <c r="Z905" s="106"/>
    </row>
    <row r="906" spans="12:26" ht="15.75" customHeight="1" x14ac:dyDescent="0.3">
      <c r="L906" s="109"/>
      <c r="M906" s="110"/>
      <c r="N906" s="110"/>
      <c r="Q906" s="110"/>
      <c r="R906" s="110"/>
      <c r="S906" s="110"/>
      <c r="W906" s="110"/>
      <c r="X906" s="110"/>
      <c r="Y906" s="106"/>
      <c r="Z906" s="106"/>
    </row>
    <row r="907" spans="12:26" ht="15.75" customHeight="1" x14ac:dyDescent="0.3">
      <c r="L907" s="109"/>
      <c r="M907" s="110"/>
      <c r="N907" s="110"/>
      <c r="Q907" s="110"/>
      <c r="R907" s="110"/>
      <c r="S907" s="110"/>
      <c r="W907" s="110"/>
      <c r="X907" s="110"/>
      <c r="Y907" s="106"/>
      <c r="Z907" s="106"/>
    </row>
    <row r="908" spans="12:26" ht="15.75" customHeight="1" x14ac:dyDescent="0.3">
      <c r="L908" s="109"/>
      <c r="M908" s="110"/>
      <c r="N908" s="110"/>
      <c r="Q908" s="110"/>
      <c r="R908" s="110"/>
      <c r="S908" s="110"/>
      <c r="W908" s="110"/>
      <c r="X908" s="110"/>
      <c r="Y908" s="106"/>
      <c r="Z908" s="106"/>
    </row>
    <row r="909" spans="12:26" ht="15.75" customHeight="1" x14ac:dyDescent="0.3">
      <c r="L909" s="109"/>
      <c r="M909" s="110"/>
      <c r="N909" s="110"/>
      <c r="Q909" s="110"/>
      <c r="R909" s="110"/>
      <c r="S909" s="110"/>
      <c r="W909" s="110"/>
      <c r="X909" s="110"/>
      <c r="Y909" s="106"/>
      <c r="Z909" s="106"/>
    </row>
    <row r="910" spans="12:26" ht="15.75" customHeight="1" x14ac:dyDescent="0.3">
      <c r="L910" s="109"/>
      <c r="M910" s="110"/>
      <c r="N910" s="110"/>
      <c r="Q910" s="110"/>
      <c r="R910" s="110"/>
      <c r="S910" s="110"/>
      <c r="W910" s="110"/>
      <c r="X910" s="110"/>
      <c r="Y910" s="106"/>
      <c r="Z910" s="106"/>
    </row>
    <row r="911" spans="12:26" ht="15.75" customHeight="1" x14ac:dyDescent="0.3">
      <c r="L911" s="109"/>
      <c r="M911" s="110"/>
      <c r="N911" s="110"/>
      <c r="Q911" s="110"/>
      <c r="R911" s="110"/>
      <c r="S911" s="110"/>
      <c r="W911" s="110"/>
      <c r="X911" s="110"/>
      <c r="Y911" s="106"/>
      <c r="Z911" s="106"/>
    </row>
    <row r="912" spans="12:26" ht="15.75" customHeight="1" x14ac:dyDescent="0.3">
      <c r="L912" s="109"/>
      <c r="M912" s="110"/>
      <c r="N912" s="110"/>
      <c r="Q912" s="110"/>
      <c r="R912" s="110"/>
      <c r="S912" s="110"/>
      <c r="W912" s="110"/>
      <c r="X912" s="110"/>
      <c r="Y912" s="106"/>
      <c r="Z912" s="106"/>
    </row>
    <row r="913" spans="12:26" ht="15.75" customHeight="1" x14ac:dyDescent="0.3">
      <c r="L913" s="109"/>
      <c r="M913" s="110"/>
      <c r="N913" s="110"/>
      <c r="Q913" s="110"/>
      <c r="R913" s="110"/>
      <c r="S913" s="110"/>
      <c r="W913" s="110"/>
      <c r="X913" s="110"/>
      <c r="Y913" s="106"/>
      <c r="Z913" s="106"/>
    </row>
    <row r="914" spans="12:26" ht="15.75" customHeight="1" x14ac:dyDescent="0.3">
      <c r="L914" s="109"/>
      <c r="M914" s="110"/>
      <c r="N914" s="110"/>
      <c r="Q914" s="110"/>
      <c r="R914" s="110"/>
      <c r="S914" s="110"/>
      <c r="W914" s="110"/>
      <c r="X914" s="110"/>
      <c r="Y914" s="106"/>
      <c r="Z914" s="106"/>
    </row>
    <row r="915" spans="12:26" ht="15.75" customHeight="1" x14ac:dyDescent="0.3">
      <c r="L915" s="109"/>
      <c r="M915" s="110"/>
      <c r="N915" s="110"/>
      <c r="Q915" s="110"/>
      <c r="R915" s="110"/>
      <c r="S915" s="110"/>
      <c r="W915" s="110"/>
      <c r="X915" s="110"/>
      <c r="Y915" s="106"/>
      <c r="Z915" s="106"/>
    </row>
    <row r="916" spans="12:26" ht="15.75" customHeight="1" x14ac:dyDescent="0.3">
      <c r="L916" s="109"/>
      <c r="M916" s="110"/>
      <c r="N916" s="110"/>
      <c r="Q916" s="110"/>
      <c r="R916" s="110"/>
      <c r="S916" s="110"/>
      <c r="W916" s="110"/>
      <c r="X916" s="110"/>
      <c r="Y916" s="106"/>
      <c r="Z916" s="106"/>
    </row>
    <row r="917" spans="12:26" ht="15.75" customHeight="1" x14ac:dyDescent="0.3">
      <c r="L917" s="109"/>
      <c r="M917" s="110"/>
      <c r="N917" s="110"/>
      <c r="Q917" s="110"/>
      <c r="R917" s="110"/>
      <c r="S917" s="110"/>
      <c r="W917" s="110"/>
      <c r="X917" s="110"/>
      <c r="Y917" s="106"/>
      <c r="Z917" s="106"/>
    </row>
    <row r="918" spans="12:26" ht="15.75" customHeight="1" x14ac:dyDescent="0.3">
      <c r="L918" s="109"/>
      <c r="M918" s="110"/>
      <c r="N918" s="110"/>
      <c r="Q918" s="110"/>
      <c r="R918" s="110"/>
      <c r="S918" s="110"/>
      <c r="W918" s="110"/>
      <c r="X918" s="110"/>
      <c r="Y918" s="106"/>
      <c r="Z918" s="106"/>
    </row>
    <row r="919" spans="12:26" ht="15.75" customHeight="1" x14ac:dyDescent="0.3">
      <c r="L919" s="109"/>
      <c r="M919" s="110"/>
      <c r="N919" s="110"/>
      <c r="Q919" s="110"/>
      <c r="R919" s="110"/>
      <c r="S919" s="110"/>
      <c r="W919" s="110"/>
      <c r="X919" s="110"/>
      <c r="Y919" s="106"/>
      <c r="Z919" s="106"/>
    </row>
    <row r="920" spans="12:26" ht="15.75" customHeight="1" x14ac:dyDescent="0.3">
      <c r="L920" s="109"/>
      <c r="M920" s="110"/>
      <c r="N920" s="110"/>
      <c r="Q920" s="110"/>
      <c r="R920" s="110"/>
      <c r="S920" s="110"/>
      <c r="W920" s="110"/>
      <c r="X920" s="110"/>
      <c r="Y920" s="106"/>
      <c r="Z920" s="106"/>
    </row>
    <row r="921" spans="12:26" ht="15.75" customHeight="1" x14ac:dyDescent="0.3">
      <c r="L921" s="109"/>
      <c r="M921" s="110"/>
      <c r="N921" s="110"/>
      <c r="Q921" s="110"/>
      <c r="R921" s="110"/>
      <c r="S921" s="110"/>
      <c r="W921" s="110"/>
      <c r="X921" s="110"/>
      <c r="Y921" s="106"/>
      <c r="Z921" s="106"/>
    </row>
    <row r="922" spans="12:26" ht="15.75" customHeight="1" x14ac:dyDescent="0.3">
      <c r="L922" s="109"/>
      <c r="M922" s="110"/>
      <c r="N922" s="110"/>
      <c r="Q922" s="110"/>
      <c r="R922" s="110"/>
      <c r="S922" s="110"/>
      <c r="W922" s="110"/>
      <c r="X922" s="110"/>
      <c r="Y922" s="106"/>
      <c r="Z922" s="106"/>
    </row>
    <row r="923" spans="12:26" ht="15.75" customHeight="1" x14ac:dyDescent="0.3">
      <c r="L923" s="109"/>
      <c r="M923" s="110"/>
      <c r="N923" s="110"/>
      <c r="Q923" s="110"/>
      <c r="R923" s="110"/>
      <c r="S923" s="110"/>
      <c r="W923" s="110"/>
      <c r="X923" s="110"/>
      <c r="Y923" s="106"/>
      <c r="Z923" s="106"/>
    </row>
    <row r="924" spans="12:26" ht="15.75" customHeight="1" x14ac:dyDescent="0.3">
      <c r="L924" s="109"/>
      <c r="M924" s="110"/>
      <c r="N924" s="110"/>
      <c r="Q924" s="110"/>
      <c r="R924" s="110"/>
      <c r="S924" s="110"/>
      <c r="W924" s="110"/>
      <c r="X924" s="110"/>
      <c r="Y924" s="106"/>
      <c r="Z924" s="106"/>
    </row>
    <row r="925" spans="12:26" ht="15.75" customHeight="1" x14ac:dyDescent="0.3">
      <c r="L925" s="109"/>
      <c r="M925" s="110"/>
      <c r="N925" s="110"/>
      <c r="Q925" s="110"/>
      <c r="R925" s="110"/>
      <c r="S925" s="110"/>
      <c r="W925" s="110"/>
      <c r="X925" s="110"/>
      <c r="Y925" s="106"/>
      <c r="Z925" s="106"/>
    </row>
    <row r="926" spans="12:26" ht="15.75" customHeight="1" x14ac:dyDescent="0.3">
      <c r="L926" s="109"/>
      <c r="M926" s="110"/>
      <c r="N926" s="110"/>
      <c r="Q926" s="110"/>
      <c r="R926" s="110"/>
      <c r="S926" s="110"/>
      <c r="W926" s="110"/>
      <c r="X926" s="110"/>
      <c r="Y926" s="106"/>
      <c r="Z926" s="106"/>
    </row>
    <row r="927" spans="12:26" ht="15.75" customHeight="1" x14ac:dyDescent="0.3">
      <c r="L927" s="109"/>
      <c r="M927" s="110"/>
      <c r="N927" s="110"/>
      <c r="Q927" s="110"/>
      <c r="R927" s="110"/>
      <c r="S927" s="110"/>
      <c r="W927" s="110"/>
      <c r="X927" s="110"/>
      <c r="Y927" s="106"/>
      <c r="Z927" s="106"/>
    </row>
    <row r="928" spans="12:26" ht="15.75" customHeight="1" x14ac:dyDescent="0.3">
      <c r="L928" s="109"/>
      <c r="M928" s="110"/>
      <c r="N928" s="110"/>
      <c r="Q928" s="110"/>
      <c r="R928" s="110"/>
      <c r="S928" s="110"/>
      <c r="W928" s="110"/>
      <c r="X928" s="110"/>
      <c r="Y928" s="106"/>
      <c r="Z928" s="106"/>
    </row>
    <row r="929" spans="12:26" ht="15.75" customHeight="1" x14ac:dyDescent="0.3">
      <c r="L929" s="109"/>
      <c r="M929" s="110"/>
      <c r="N929" s="110"/>
      <c r="Q929" s="110"/>
      <c r="R929" s="110"/>
      <c r="S929" s="110"/>
      <c r="W929" s="110"/>
      <c r="X929" s="110"/>
      <c r="Y929" s="106"/>
      <c r="Z929" s="106"/>
    </row>
    <row r="930" spans="12:26" ht="15.75" customHeight="1" x14ac:dyDescent="0.3">
      <c r="L930" s="109"/>
      <c r="M930" s="110"/>
      <c r="N930" s="110"/>
      <c r="Q930" s="110"/>
      <c r="R930" s="110"/>
      <c r="S930" s="110"/>
      <c r="W930" s="110"/>
      <c r="X930" s="110"/>
      <c r="Y930" s="106"/>
      <c r="Z930" s="106"/>
    </row>
    <row r="931" spans="12:26" ht="15.75" customHeight="1" x14ac:dyDescent="0.3">
      <c r="L931" s="109"/>
      <c r="M931" s="110"/>
      <c r="N931" s="110"/>
      <c r="Q931" s="110"/>
      <c r="R931" s="110"/>
      <c r="S931" s="110"/>
      <c r="W931" s="110"/>
      <c r="X931" s="110"/>
      <c r="Y931" s="106"/>
      <c r="Z931" s="106"/>
    </row>
    <row r="932" spans="12:26" ht="15.75" customHeight="1" x14ac:dyDescent="0.3">
      <c r="L932" s="109"/>
      <c r="M932" s="110"/>
      <c r="N932" s="110"/>
      <c r="Q932" s="110"/>
      <c r="R932" s="110"/>
      <c r="S932" s="110"/>
      <c r="W932" s="110"/>
      <c r="X932" s="110"/>
      <c r="Y932" s="106"/>
      <c r="Z932" s="106"/>
    </row>
    <row r="933" spans="12:26" ht="15.75" customHeight="1" x14ac:dyDescent="0.3">
      <c r="L933" s="109"/>
      <c r="M933" s="110"/>
      <c r="N933" s="110"/>
      <c r="Q933" s="110"/>
      <c r="R933" s="110"/>
      <c r="S933" s="110"/>
      <c r="W933" s="110"/>
      <c r="X933" s="110"/>
      <c r="Y933" s="106"/>
      <c r="Z933" s="106"/>
    </row>
    <row r="934" spans="12:26" ht="15.75" customHeight="1" x14ac:dyDescent="0.3">
      <c r="L934" s="109"/>
      <c r="M934" s="110"/>
      <c r="N934" s="110"/>
      <c r="Q934" s="110"/>
      <c r="R934" s="110"/>
      <c r="S934" s="110"/>
      <c r="W934" s="110"/>
      <c r="X934" s="110"/>
      <c r="Y934" s="106"/>
      <c r="Z934" s="106"/>
    </row>
    <row r="935" spans="12:26" ht="15.75" customHeight="1" x14ac:dyDescent="0.3">
      <c r="L935" s="109"/>
      <c r="M935" s="110"/>
      <c r="N935" s="110"/>
      <c r="Q935" s="110"/>
      <c r="R935" s="110"/>
      <c r="S935" s="110"/>
      <c r="W935" s="110"/>
      <c r="X935" s="110"/>
      <c r="Y935" s="106"/>
      <c r="Z935" s="106"/>
    </row>
    <row r="936" spans="12:26" ht="15.75" customHeight="1" x14ac:dyDescent="0.3">
      <c r="L936" s="109"/>
      <c r="M936" s="110"/>
      <c r="N936" s="110"/>
      <c r="Q936" s="110"/>
      <c r="R936" s="110"/>
      <c r="S936" s="110"/>
      <c r="W936" s="110"/>
      <c r="X936" s="110"/>
      <c r="Y936" s="106"/>
      <c r="Z936" s="106"/>
    </row>
    <row r="937" spans="12:26" ht="15.75" customHeight="1" x14ac:dyDescent="0.3">
      <c r="L937" s="109"/>
      <c r="M937" s="110"/>
      <c r="N937" s="110"/>
      <c r="Q937" s="110"/>
      <c r="R937" s="110"/>
      <c r="S937" s="110"/>
      <c r="W937" s="110"/>
      <c r="X937" s="110"/>
      <c r="Y937" s="106"/>
      <c r="Z937" s="106"/>
    </row>
    <row r="938" spans="12:26" ht="15.75" customHeight="1" x14ac:dyDescent="0.3">
      <c r="L938" s="109"/>
      <c r="M938" s="110"/>
      <c r="N938" s="110"/>
      <c r="Q938" s="110"/>
      <c r="R938" s="110"/>
      <c r="S938" s="110"/>
      <c r="W938" s="110"/>
      <c r="X938" s="110"/>
      <c r="Y938" s="106"/>
      <c r="Z938" s="106"/>
    </row>
    <row r="939" spans="12:26" ht="15.75" customHeight="1" x14ac:dyDescent="0.3">
      <c r="L939" s="109"/>
      <c r="M939" s="110"/>
      <c r="N939" s="110"/>
      <c r="Q939" s="110"/>
      <c r="R939" s="110"/>
      <c r="S939" s="110"/>
      <c r="W939" s="110"/>
      <c r="X939" s="110"/>
      <c r="Y939" s="106"/>
      <c r="Z939" s="106"/>
    </row>
    <row r="940" spans="12:26" ht="15.75" customHeight="1" x14ac:dyDescent="0.3">
      <c r="L940" s="109"/>
      <c r="M940" s="110"/>
      <c r="N940" s="110"/>
      <c r="Q940" s="110"/>
      <c r="R940" s="110"/>
      <c r="S940" s="110"/>
      <c r="W940" s="110"/>
      <c r="X940" s="110"/>
      <c r="Y940" s="106"/>
      <c r="Z940" s="106"/>
    </row>
    <row r="941" spans="12:26" ht="15.75" customHeight="1" x14ac:dyDescent="0.3">
      <c r="L941" s="109"/>
      <c r="M941" s="110"/>
      <c r="N941" s="110"/>
      <c r="Q941" s="110"/>
      <c r="R941" s="110"/>
      <c r="S941" s="110"/>
      <c r="W941" s="110"/>
      <c r="X941" s="110"/>
      <c r="Y941" s="106"/>
      <c r="Z941" s="106"/>
    </row>
    <row r="942" spans="12:26" ht="15.75" customHeight="1" x14ac:dyDescent="0.3">
      <c r="L942" s="109"/>
      <c r="M942" s="110"/>
      <c r="N942" s="110"/>
      <c r="Q942" s="110"/>
      <c r="R942" s="110"/>
      <c r="S942" s="110"/>
      <c r="W942" s="110"/>
      <c r="X942" s="110"/>
      <c r="Y942" s="106"/>
      <c r="Z942" s="106"/>
    </row>
    <row r="943" spans="12:26" ht="15.75" customHeight="1" x14ac:dyDescent="0.3">
      <c r="L943" s="109"/>
      <c r="M943" s="110"/>
      <c r="N943" s="110"/>
      <c r="Q943" s="110"/>
      <c r="R943" s="110"/>
      <c r="S943" s="110"/>
      <c r="W943" s="110"/>
      <c r="X943" s="110"/>
      <c r="Y943" s="106"/>
      <c r="Z943" s="106"/>
    </row>
    <row r="944" spans="12:26" ht="15.75" customHeight="1" x14ac:dyDescent="0.3">
      <c r="L944" s="109"/>
      <c r="M944" s="110"/>
      <c r="N944" s="110"/>
      <c r="Q944" s="110"/>
      <c r="R944" s="110"/>
      <c r="S944" s="110"/>
      <c r="W944" s="110"/>
      <c r="X944" s="110"/>
      <c r="Y944" s="106"/>
      <c r="Z944" s="106"/>
    </row>
    <row r="945" spans="12:26" ht="15.75" customHeight="1" x14ac:dyDescent="0.3">
      <c r="L945" s="109"/>
      <c r="M945" s="110"/>
      <c r="N945" s="110"/>
      <c r="Q945" s="110"/>
      <c r="R945" s="110"/>
      <c r="S945" s="110"/>
      <c r="W945" s="110"/>
      <c r="X945" s="110"/>
      <c r="Y945" s="106"/>
      <c r="Z945" s="106"/>
    </row>
    <row r="946" spans="12:26" ht="15.75" customHeight="1" x14ac:dyDescent="0.3">
      <c r="L946" s="109"/>
      <c r="M946" s="110"/>
      <c r="N946" s="110"/>
      <c r="Q946" s="110"/>
      <c r="R946" s="110"/>
      <c r="S946" s="110"/>
      <c r="W946" s="110"/>
      <c r="X946" s="110"/>
      <c r="Y946" s="106"/>
      <c r="Z946" s="106"/>
    </row>
    <row r="947" spans="12:26" ht="15.75" customHeight="1" x14ac:dyDescent="0.3">
      <c r="L947" s="109"/>
      <c r="M947" s="110"/>
      <c r="N947" s="110"/>
      <c r="Q947" s="110"/>
      <c r="R947" s="110"/>
      <c r="S947" s="110"/>
      <c r="W947" s="110"/>
      <c r="X947" s="110"/>
      <c r="Y947" s="106"/>
      <c r="Z947" s="106"/>
    </row>
    <row r="948" spans="12:26" ht="15.75" customHeight="1" x14ac:dyDescent="0.3">
      <c r="L948" s="109"/>
      <c r="M948" s="110"/>
      <c r="N948" s="110"/>
      <c r="Q948" s="110"/>
      <c r="R948" s="110"/>
      <c r="S948" s="110"/>
      <c r="W948" s="110"/>
      <c r="X948" s="110"/>
      <c r="Y948" s="106"/>
      <c r="Z948" s="106"/>
    </row>
    <row r="949" spans="12:26" ht="15.75" customHeight="1" x14ac:dyDescent="0.3">
      <c r="L949" s="109"/>
      <c r="M949" s="110"/>
      <c r="N949" s="110"/>
      <c r="Q949" s="110"/>
      <c r="R949" s="110"/>
      <c r="S949" s="110"/>
      <c r="W949" s="110"/>
      <c r="X949" s="110"/>
      <c r="Y949" s="106"/>
      <c r="Z949" s="106"/>
    </row>
    <row r="950" spans="12:26" ht="15.75" customHeight="1" x14ac:dyDescent="0.3">
      <c r="L950" s="109"/>
      <c r="M950" s="110"/>
      <c r="N950" s="110"/>
      <c r="Q950" s="110"/>
      <c r="R950" s="110"/>
      <c r="S950" s="110"/>
      <c r="W950" s="110"/>
      <c r="X950" s="110"/>
      <c r="Y950" s="106"/>
      <c r="Z950" s="106"/>
    </row>
    <row r="951" spans="12:26" ht="15.75" customHeight="1" x14ac:dyDescent="0.3">
      <c r="L951" s="109"/>
      <c r="M951" s="110"/>
      <c r="N951" s="110"/>
      <c r="Q951" s="110"/>
      <c r="R951" s="110"/>
      <c r="S951" s="110"/>
      <c r="W951" s="110"/>
      <c r="X951" s="110"/>
      <c r="Y951" s="106"/>
      <c r="Z951" s="106"/>
    </row>
    <row r="952" spans="12:26" ht="15.75" customHeight="1" x14ac:dyDescent="0.3">
      <c r="L952" s="109"/>
      <c r="M952" s="110"/>
      <c r="N952" s="110"/>
      <c r="Q952" s="110"/>
      <c r="R952" s="110"/>
      <c r="S952" s="110"/>
      <c r="W952" s="110"/>
      <c r="X952" s="110"/>
      <c r="Y952" s="106"/>
      <c r="Z952" s="106"/>
    </row>
    <row r="953" spans="12:26" ht="15.75" customHeight="1" x14ac:dyDescent="0.3">
      <c r="L953" s="109"/>
      <c r="M953" s="110"/>
      <c r="N953" s="110"/>
      <c r="Q953" s="110"/>
      <c r="R953" s="110"/>
      <c r="S953" s="110"/>
      <c r="W953" s="110"/>
      <c r="X953" s="110"/>
      <c r="Y953" s="106"/>
      <c r="Z953" s="106"/>
    </row>
    <row r="954" spans="12:26" ht="15.75" customHeight="1" x14ac:dyDescent="0.3">
      <c r="L954" s="109"/>
      <c r="M954" s="110"/>
      <c r="N954" s="110"/>
      <c r="Q954" s="110"/>
      <c r="R954" s="110"/>
      <c r="S954" s="110"/>
      <c r="W954" s="110"/>
      <c r="X954" s="110"/>
      <c r="Y954" s="106"/>
      <c r="Z954" s="106"/>
    </row>
    <row r="955" spans="12:26" ht="15.75" customHeight="1" x14ac:dyDescent="0.3">
      <c r="L955" s="109"/>
      <c r="M955" s="110"/>
      <c r="N955" s="110"/>
      <c r="Q955" s="110"/>
      <c r="R955" s="110"/>
      <c r="S955" s="110"/>
      <c r="W955" s="110"/>
      <c r="X955" s="110"/>
      <c r="Y955" s="106"/>
      <c r="Z955" s="106"/>
    </row>
    <row r="956" spans="12:26" ht="15.75" customHeight="1" x14ac:dyDescent="0.3">
      <c r="L956" s="109"/>
      <c r="M956" s="110"/>
      <c r="N956" s="110"/>
      <c r="Q956" s="110"/>
      <c r="R956" s="110"/>
      <c r="S956" s="110"/>
      <c r="W956" s="110"/>
      <c r="X956" s="110"/>
      <c r="Y956" s="106"/>
      <c r="Z956" s="106"/>
    </row>
    <row r="957" spans="12:26" ht="15.75" customHeight="1" x14ac:dyDescent="0.3">
      <c r="L957" s="109"/>
      <c r="M957" s="110"/>
      <c r="N957" s="110"/>
      <c r="Q957" s="110"/>
      <c r="R957" s="110"/>
      <c r="S957" s="110"/>
      <c r="W957" s="110"/>
      <c r="X957" s="110"/>
      <c r="Y957" s="106"/>
      <c r="Z957" s="106"/>
    </row>
    <row r="958" spans="12:26" ht="15.75" customHeight="1" x14ac:dyDescent="0.3">
      <c r="L958" s="109"/>
      <c r="M958" s="110"/>
      <c r="N958" s="110"/>
      <c r="Q958" s="110"/>
      <c r="R958" s="110"/>
      <c r="S958" s="110"/>
      <c r="W958" s="110"/>
      <c r="X958" s="110"/>
      <c r="Y958" s="106"/>
      <c r="Z958" s="106"/>
    </row>
    <row r="959" spans="12:26" ht="15.75" customHeight="1" x14ac:dyDescent="0.3">
      <c r="L959" s="109"/>
      <c r="M959" s="110"/>
      <c r="N959" s="110"/>
      <c r="Q959" s="110"/>
      <c r="R959" s="110"/>
      <c r="S959" s="110"/>
      <c r="W959" s="110"/>
      <c r="X959" s="110"/>
      <c r="Y959" s="106"/>
      <c r="Z959" s="106"/>
    </row>
    <row r="960" spans="12:26" ht="15.75" customHeight="1" x14ac:dyDescent="0.3">
      <c r="L960" s="109"/>
      <c r="M960" s="110"/>
      <c r="N960" s="110"/>
      <c r="Q960" s="110"/>
      <c r="R960" s="110"/>
      <c r="S960" s="110"/>
      <c r="W960" s="110"/>
      <c r="X960" s="110"/>
      <c r="Y960" s="106"/>
      <c r="Z960" s="106"/>
    </row>
    <row r="961" spans="12:26" ht="15.75" customHeight="1" x14ac:dyDescent="0.3">
      <c r="L961" s="109"/>
      <c r="M961" s="110"/>
      <c r="N961" s="110"/>
      <c r="Q961" s="110"/>
      <c r="R961" s="110"/>
      <c r="S961" s="110"/>
      <c r="W961" s="110"/>
      <c r="X961" s="110"/>
      <c r="Y961" s="106"/>
      <c r="Z961" s="106"/>
    </row>
    <row r="962" spans="12:26" ht="15.75" customHeight="1" x14ac:dyDescent="0.3">
      <c r="L962" s="109"/>
      <c r="M962" s="110"/>
      <c r="N962" s="110"/>
      <c r="Q962" s="110"/>
      <c r="R962" s="110"/>
      <c r="S962" s="110"/>
      <c r="W962" s="110"/>
      <c r="X962" s="110"/>
      <c r="Y962" s="106"/>
      <c r="Z962" s="106"/>
    </row>
    <row r="963" spans="12:26" ht="15.75" customHeight="1" x14ac:dyDescent="0.3">
      <c r="L963" s="109"/>
      <c r="M963" s="110"/>
      <c r="N963" s="110"/>
      <c r="Q963" s="110"/>
      <c r="R963" s="110"/>
      <c r="S963" s="110"/>
      <c r="W963" s="110"/>
      <c r="X963" s="110"/>
      <c r="Y963" s="106"/>
      <c r="Z963" s="106"/>
    </row>
    <row r="964" spans="12:26" ht="15.75" customHeight="1" x14ac:dyDescent="0.3">
      <c r="L964" s="109"/>
      <c r="M964" s="110"/>
      <c r="N964" s="110"/>
      <c r="Q964" s="110"/>
      <c r="R964" s="110"/>
      <c r="S964" s="110"/>
      <c r="W964" s="110"/>
      <c r="X964" s="110"/>
      <c r="Y964" s="106"/>
      <c r="Z964" s="106"/>
    </row>
    <row r="965" spans="12:26" ht="15.75" customHeight="1" x14ac:dyDescent="0.3">
      <c r="L965" s="109"/>
      <c r="M965" s="110"/>
      <c r="N965" s="110"/>
      <c r="Q965" s="110"/>
      <c r="R965" s="110"/>
      <c r="S965" s="110"/>
      <c r="W965" s="110"/>
      <c r="X965" s="110"/>
      <c r="Y965" s="106"/>
      <c r="Z965" s="106"/>
    </row>
    <row r="966" spans="12:26" ht="15.75" customHeight="1" x14ac:dyDescent="0.3">
      <c r="L966" s="109"/>
      <c r="M966" s="110"/>
      <c r="N966" s="110"/>
      <c r="Q966" s="110"/>
      <c r="R966" s="110"/>
      <c r="S966" s="110"/>
      <c r="W966" s="110"/>
      <c r="X966" s="110"/>
      <c r="Y966" s="106"/>
      <c r="Z966" s="106"/>
    </row>
    <row r="967" spans="12:26" ht="15.75" customHeight="1" x14ac:dyDescent="0.3">
      <c r="L967" s="109"/>
      <c r="M967" s="110"/>
      <c r="N967" s="110"/>
      <c r="Q967" s="110"/>
      <c r="R967" s="110"/>
      <c r="S967" s="110"/>
      <c r="W967" s="110"/>
      <c r="X967" s="110"/>
      <c r="Y967" s="106"/>
      <c r="Z967" s="106"/>
    </row>
    <row r="968" spans="12:26" ht="15.75" customHeight="1" x14ac:dyDescent="0.3">
      <c r="L968" s="109"/>
      <c r="M968" s="110"/>
      <c r="N968" s="110"/>
      <c r="Q968" s="110"/>
      <c r="R968" s="110"/>
      <c r="S968" s="110"/>
      <c r="W968" s="110"/>
      <c r="X968" s="110"/>
      <c r="Y968" s="106"/>
      <c r="Z968" s="106"/>
    </row>
    <row r="969" spans="12:26" ht="15.75" customHeight="1" x14ac:dyDescent="0.3">
      <c r="L969" s="109"/>
      <c r="M969" s="110"/>
      <c r="N969" s="110"/>
      <c r="Q969" s="110"/>
      <c r="R969" s="110"/>
      <c r="S969" s="110"/>
      <c r="W969" s="110"/>
      <c r="X969" s="110"/>
      <c r="Y969" s="106"/>
      <c r="Z969" s="106"/>
    </row>
    <row r="970" spans="12:26" ht="15.75" customHeight="1" x14ac:dyDescent="0.3">
      <c r="L970" s="109"/>
      <c r="M970" s="110"/>
      <c r="N970" s="110"/>
      <c r="Q970" s="110"/>
      <c r="R970" s="110"/>
      <c r="S970" s="110"/>
      <c r="W970" s="110"/>
      <c r="X970" s="110"/>
      <c r="Y970" s="106"/>
      <c r="Z970" s="106"/>
    </row>
    <row r="971" spans="12:26" ht="15.75" customHeight="1" x14ac:dyDescent="0.3">
      <c r="L971" s="109"/>
      <c r="M971" s="110"/>
      <c r="N971" s="110"/>
      <c r="Q971" s="110"/>
      <c r="R971" s="110"/>
      <c r="S971" s="110"/>
      <c r="W971" s="110"/>
      <c r="X971" s="110"/>
      <c r="Y971" s="106"/>
      <c r="Z971" s="106"/>
    </row>
    <row r="972" spans="12:26" ht="15.75" customHeight="1" x14ac:dyDescent="0.3">
      <c r="L972" s="109"/>
      <c r="M972" s="110"/>
      <c r="N972" s="110"/>
      <c r="Q972" s="110"/>
      <c r="R972" s="110"/>
      <c r="S972" s="110"/>
      <c r="W972" s="110"/>
      <c r="X972" s="110"/>
      <c r="Y972" s="106"/>
      <c r="Z972" s="106"/>
    </row>
    <row r="973" spans="12:26" ht="15.75" customHeight="1" x14ac:dyDescent="0.3">
      <c r="L973" s="109"/>
      <c r="M973" s="110"/>
      <c r="N973" s="110"/>
      <c r="Q973" s="110"/>
      <c r="R973" s="110"/>
      <c r="S973" s="110"/>
      <c r="W973" s="110"/>
      <c r="X973" s="110"/>
      <c r="Y973" s="106"/>
      <c r="Z973" s="106"/>
    </row>
    <row r="974" spans="12:26" ht="15.75" customHeight="1" x14ac:dyDescent="0.3">
      <c r="L974" s="109"/>
      <c r="M974" s="110"/>
      <c r="N974" s="110"/>
      <c r="Q974" s="110"/>
      <c r="R974" s="110"/>
      <c r="S974" s="110"/>
      <c r="W974" s="110"/>
      <c r="X974" s="110"/>
      <c r="Y974" s="106"/>
      <c r="Z974" s="106"/>
    </row>
    <row r="975" spans="12:26" ht="15.75" customHeight="1" x14ac:dyDescent="0.3">
      <c r="L975" s="109"/>
      <c r="M975" s="110"/>
      <c r="N975" s="110"/>
      <c r="Q975" s="110"/>
      <c r="R975" s="110"/>
      <c r="S975" s="110"/>
      <c r="W975" s="110"/>
      <c r="X975" s="110"/>
      <c r="Y975" s="106"/>
      <c r="Z975" s="106"/>
    </row>
    <row r="976" spans="12:26" ht="15.75" customHeight="1" x14ac:dyDescent="0.3">
      <c r="L976" s="109"/>
      <c r="M976" s="110"/>
      <c r="N976" s="110"/>
      <c r="Q976" s="110"/>
      <c r="R976" s="110"/>
      <c r="S976" s="110"/>
      <c r="W976" s="110"/>
      <c r="X976" s="110"/>
      <c r="Y976" s="106"/>
      <c r="Z976" s="106"/>
    </row>
    <row r="977" spans="12:26" ht="15.75" customHeight="1" x14ac:dyDescent="0.3">
      <c r="L977" s="109"/>
      <c r="M977" s="110"/>
      <c r="N977" s="110"/>
      <c r="Q977" s="110"/>
      <c r="R977" s="110"/>
      <c r="S977" s="110"/>
      <c r="W977" s="110"/>
      <c r="X977" s="110"/>
      <c r="Y977" s="106"/>
      <c r="Z977" s="106"/>
    </row>
    <row r="978" spans="12:26" ht="15.75" customHeight="1" x14ac:dyDescent="0.3">
      <c r="L978" s="109"/>
      <c r="M978" s="110"/>
      <c r="N978" s="110"/>
      <c r="Q978" s="110"/>
      <c r="R978" s="110"/>
      <c r="S978" s="110"/>
      <c r="W978" s="110"/>
      <c r="X978" s="110"/>
      <c r="Y978" s="106"/>
      <c r="Z978" s="106"/>
    </row>
    <row r="979" spans="12:26" ht="15.75" customHeight="1" x14ac:dyDescent="0.3">
      <c r="L979" s="109"/>
      <c r="M979" s="110"/>
      <c r="N979" s="110"/>
      <c r="Q979" s="110"/>
      <c r="R979" s="110"/>
      <c r="S979" s="110"/>
      <c r="W979" s="110"/>
      <c r="X979" s="110"/>
      <c r="Y979" s="106"/>
      <c r="Z979" s="106"/>
    </row>
    <row r="980" spans="12:26" ht="15.75" customHeight="1" x14ac:dyDescent="0.3">
      <c r="L980" s="109"/>
      <c r="M980" s="110"/>
      <c r="N980" s="110"/>
      <c r="Q980" s="110"/>
      <c r="R980" s="110"/>
      <c r="S980" s="110"/>
      <c r="W980" s="110"/>
      <c r="X980" s="110"/>
      <c r="Y980" s="106"/>
      <c r="Z980" s="106"/>
    </row>
    <row r="981" spans="12:26" ht="15.75" customHeight="1" x14ac:dyDescent="0.3">
      <c r="L981" s="109"/>
      <c r="M981" s="110"/>
      <c r="N981" s="110"/>
      <c r="Q981" s="110"/>
      <c r="R981" s="110"/>
      <c r="S981" s="110"/>
      <c r="W981" s="110"/>
      <c r="X981" s="110"/>
      <c r="Y981" s="106"/>
      <c r="Z981" s="106"/>
    </row>
    <row r="982" spans="12:26" ht="15.75" customHeight="1" x14ac:dyDescent="0.3">
      <c r="L982" s="109"/>
      <c r="M982" s="110"/>
      <c r="N982" s="110"/>
      <c r="Q982" s="110"/>
      <c r="R982" s="110"/>
      <c r="S982" s="110"/>
      <c r="W982" s="110"/>
      <c r="X982" s="110"/>
      <c r="Y982" s="106"/>
      <c r="Z982" s="106"/>
    </row>
    <row r="983" spans="12:26" ht="15.75" customHeight="1" x14ac:dyDescent="0.3">
      <c r="L983" s="109"/>
      <c r="M983" s="110"/>
      <c r="N983" s="110"/>
      <c r="Q983" s="110"/>
      <c r="R983" s="110"/>
      <c r="S983" s="110"/>
      <c r="W983" s="110"/>
      <c r="X983" s="110"/>
      <c r="Y983" s="106"/>
      <c r="Z983" s="106"/>
    </row>
    <row r="984" spans="12:26" ht="15.75" customHeight="1" x14ac:dyDescent="0.3">
      <c r="L984" s="109"/>
      <c r="M984" s="110"/>
      <c r="N984" s="110"/>
      <c r="Q984" s="110"/>
      <c r="R984" s="110"/>
      <c r="S984" s="110"/>
      <c r="W984" s="110"/>
      <c r="X984" s="110"/>
      <c r="Y984" s="106"/>
      <c r="Z984" s="106"/>
    </row>
    <row r="985" spans="12:26" ht="15.75" customHeight="1" x14ac:dyDescent="0.3">
      <c r="L985" s="109"/>
      <c r="M985" s="110"/>
      <c r="N985" s="110"/>
      <c r="Q985" s="110"/>
      <c r="R985" s="110"/>
      <c r="S985" s="110"/>
      <c r="W985" s="110"/>
      <c r="X985" s="110"/>
      <c r="Y985" s="106"/>
      <c r="Z985" s="106"/>
    </row>
    <row r="986" spans="12:26" ht="15.75" customHeight="1" x14ac:dyDescent="0.3">
      <c r="L986" s="109"/>
      <c r="M986" s="110"/>
      <c r="N986" s="110"/>
      <c r="Q986" s="110"/>
      <c r="R986" s="110"/>
      <c r="S986" s="110"/>
      <c r="W986" s="110"/>
      <c r="X986" s="110"/>
      <c r="Y986" s="106"/>
      <c r="Z986" s="106"/>
    </row>
    <row r="987" spans="12:26" ht="15.75" customHeight="1" x14ac:dyDescent="0.3">
      <c r="L987" s="109"/>
      <c r="M987" s="110"/>
      <c r="N987" s="110"/>
      <c r="Q987" s="110"/>
      <c r="R987" s="110"/>
      <c r="S987" s="110"/>
      <c r="W987" s="110"/>
      <c r="X987" s="110"/>
      <c r="Y987" s="106"/>
      <c r="Z987" s="106"/>
    </row>
    <row r="988" spans="12:26" ht="15.75" customHeight="1" x14ac:dyDescent="0.3">
      <c r="L988" s="109"/>
      <c r="M988" s="110"/>
      <c r="N988" s="110"/>
      <c r="Q988" s="110"/>
      <c r="R988" s="110"/>
      <c r="S988" s="110"/>
      <c r="W988" s="110"/>
      <c r="X988" s="110"/>
      <c r="Y988" s="106"/>
      <c r="Z988" s="106"/>
    </row>
    <row r="989" spans="12:26" ht="15.75" customHeight="1" x14ac:dyDescent="0.3">
      <c r="L989" s="109"/>
      <c r="M989" s="110"/>
      <c r="N989" s="110"/>
      <c r="Q989" s="110"/>
      <c r="R989" s="110"/>
      <c r="S989" s="110"/>
      <c r="W989" s="110"/>
      <c r="X989" s="110"/>
      <c r="Y989" s="106"/>
      <c r="Z989" s="106"/>
    </row>
    <row r="990" spans="12:26" ht="15.75" customHeight="1" x14ac:dyDescent="0.3">
      <c r="L990" s="109"/>
      <c r="M990" s="110"/>
      <c r="N990" s="110"/>
      <c r="Q990" s="110"/>
      <c r="R990" s="110"/>
      <c r="S990" s="110"/>
      <c r="W990" s="110"/>
      <c r="X990" s="110"/>
      <c r="Y990" s="106"/>
      <c r="Z990" s="106"/>
    </row>
    <row r="991" spans="12:26" ht="15.75" customHeight="1" x14ac:dyDescent="0.3">
      <c r="L991" s="109"/>
      <c r="M991" s="110"/>
      <c r="N991" s="110"/>
      <c r="Q991" s="110"/>
      <c r="R991" s="110"/>
      <c r="S991" s="110"/>
      <c r="W991" s="110"/>
      <c r="X991" s="110"/>
      <c r="Y991" s="106"/>
      <c r="Z991" s="106"/>
    </row>
    <row r="992" spans="12:26" ht="15.75" customHeight="1" x14ac:dyDescent="0.3">
      <c r="L992" s="109"/>
      <c r="M992" s="110"/>
      <c r="N992" s="110"/>
      <c r="Q992" s="110"/>
      <c r="R992" s="110"/>
      <c r="S992" s="110"/>
      <c r="W992" s="110"/>
      <c r="X992" s="110"/>
      <c r="Y992" s="106"/>
      <c r="Z992" s="106"/>
    </row>
    <row r="993" spans="12:26" ht="15.75" customHeight="1" x14ac:dyDescent="0.3">
      <c r="L993" s="109"/>
      <c r="M993" s="110"/>
      <c r="N993" s="110"/>
      <c r="Q993" s="110"/>
      <c r="R993" s="110"/>
      <c r="S993" s="110"/>
      <c r="W993" s="110"/>
      <c r="X993" s="110"/>
      <c r="Y993" s="106"/>
      <c r="Z993" s="106"/>
    </row>
    <row r="994" spans="12:26" ht="15.75" customHeight="1" x14ac:dyDescent="0.3">
      <c r="L994" s="109"/>
      <c r="M994" s="110"/>
      <c r="N994" s="110"/>
      <c r="Q994" s="110"/>
      <c r="R994" s="110"/>
      <c r="S994" s="110"/>
      <c r="W994" s="110"/>
      <c r="X994" s="110"/>
      <c r="Y994" s="106"/>
      <c r="Z994" s="106"/>
    </row>
    <row r="995" spans="12:26" ht="15.75" customHeight="1" x14ac:dyDescent="0.3">
      <c r="L995" s="109"/>
      <c r="M995" s="110"/>
      <c r="N995" s="110"/>
      <c r="Q995" s="110"/>
      <c r="R995" s="110"/>
      <c r="S995" s="110"/>
      <c r="W995" s="110"/>
      <c r="X995" s="110"/>
      <c r="Y995" s="106"/>
      <c r="Z995" s="106"/>
    </row>
    <row r="996" spans="12:26" ht="15.75" customHeight="1" x14ac:dyDescent="0.3">
      <c r="L996" s="109"/>
      <c r="M996" s="110"/>
      <c r="N996" s="110"/>
      <c r="Q996" s="110"/>
      <c r="R996" s="110"/>
      <c r="S996" s="110"/>
      <c r="W996" s="110"/>
      <c r="X996" s="110"/>
      <c r="Y996" s="106"/>
      <c r="Z996" s="106"/>
    </row>
  </sheetData>
  <sheetProtection formatCells="0" formatColumns="0" formatRows="0" insertColumns="0" insertRows="0" insertHyperlinks="0" sort="0"/>
  <mergeCells count="9">
    <mergeCell ref="L3:R5"/>
    <mergeCell ref="L2:M2"/>
    <mergeCell ref="B15:J15"/>
    <mergeCell ref="F5:G5"/>
    <mergeCell ref="H5:I5"/>
    <mergeCell ref="B4:C4"/>
    <mergeCell ref="D4:E4"/>
    <mergeCell ref="F4:J4"/>
    <mergeCell ref="B1:J2"/>
  </mergeCells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Short Term Incentive Calculator</vt:lpstr>
      <vt:lpstr>Look Up Table</vt:lpstr>
      <vt:lpstr>'Look Up Table'!EBITDA</vt:lpstr>
      <vt:lpstr>'Look Up Table'!Leverage_L</vt:lpstr>
      <vt:lpstr>'Look Up Table'!Leverage_M</vt:lpstr>
      <vt:lpstr>'Short Term Incentive Calculator'!Print_Area</vt:lpstr>
      <vt:lpstr>'Look Up Table'!Z_C6FDA605_6424_4D37_B4C3_6A6126B6C2AB_.wvu.PrintArea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2025-04-28T15:53:29Z</cp:lastPrinted>
  <dcterms:created xsi:type="dcterms:W3CDTF">2025-04-04T13:59:05Z</dcterms:created>
  <dcterms:modified xsi:type="dcterms:W3CDTF">2025-05-02T17:38:48Z</dcterms:modified>
</cp:coreProperties>
</file>