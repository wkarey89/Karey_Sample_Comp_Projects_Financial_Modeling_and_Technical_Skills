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kare\OneDrive\Desktop\1) Comp Portfolio\0) GitHub\fdsf\"/>
    </mc:Choice>
  </mc:AlternateContent>
  <xr:revisionPtr revIDLastSave="0" documentId="13_ncr:1_{0D11186F-7A1D-4FC7-99D1-FB3D9C033E16}" xr6:coauthVersionLast="47" xr6:coauthVersionMax="47" xr10:uidLastSave="{00000000-0000-0000-0000-000000000000}"/>
  <bookViews>
    <workbookView xWindow="-110" yWindow="-110" windowWidth="38620" windowHeight="21100" activeTab="1" xr2:uid="{5A955635-A4C7-408E-AF7A-28CC352BF57C}"/>
  </bookViews>
  <sheets>
    <sheet name="2.2 Multi-Linear Reg Compl" sheetId="2" r:id="rId1"/>
    <sheet name="2.3 Reg Analysis Output" sheetId="1" r:id="rId2"/>
  </sheets>
  <externalReferences>
    <externalReference r:id="rId3"/>
    <externalReference r:id="rId4"/>
  </externalReferences>
  <definedNames>
    <definedName name="__123Graph_A" hidden="1">[1]IplhA!$AC$140:$GF$140</definedName>
    <definedName name="__123Graph_A1" hidden="1">[1]IplpA!$H$32:$IU$32</definedName>
    <definedName name="__123Graph_B1" hidden="1">[1]IplpA!$H$33:$IU$33</definedName>
    <definedName name="__123Graph_C1" hidden="1">[1]IplpA!$H$34:$IU$34</definedName>
    <definedName name="__123Graph_D1" hidden="1">[1]IplpA!$H$35:$IU$35</definedName>
    <definedName name="__123Graph_E1" hidden="1">[1]IplpA!$H$36:$IU$36</definedName>
    <definedName name="__123Graph_F1" hidden="1">[1]IplpA!$H$37:$IU$37</definedName>
    <definedName name="__123Graph_X" hidden="1">[1]IplpA!$D$4:$D$203</definedName>
    <definedName name="__123Graph_X1" hidden="1">[1]IplpA!$D$4:$D$203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_xleta.AND" hidden="1" xlm="1">#NAME?</definedName>
    <definedName name="anscount" hidden="1">1</definedName>
    <definedName name="limcount" hidden="1">1</definedName>
    <definedName name="sencount" hidden="1">1</definedName>
    <definedName name="wrn.HyperBudget." localSheetId="0" hidden="1">{#N/A,#N/A,TRUE,"Criteria";#N/A,#N/A,TRUE,"HyperA";#N/A,#N/A,TRUE,"HyperF";#N/A,#N/A,TRUE,"HyperP";#N/A,#N/A,TRUE,"HyperH";#N/A,#N/A,TRUE,"HyperT";#N/A,#N/A,TRUE,"HyperG";"H1_4",#N/A,TRUE,"HyperAgr ";"H5_9",#N/A,TRUE,"HyperAgr ";"H10_14",#N/A,TRUE,"HyperAgr ";"H1_4",#N/A,TRUE,"HyperFgr";"H5_9",#N/A,TRUE,"HyperFgr";"H10_14",#N/A,TRUE,"HyperFgr";"H1_4",#N/A,TRUE,"HyperPgr";"H5_9",#N/A,TRUE,"HyperPgr";"H10_14",#N/A,TRUE,"HyperPgr";"H1_4",#N/A,TRUE,"HyperHgr";"H5_9",#N/A,TRUE,"HyperHgr";"H10_14",#N/A,TRUE,"HyperHgr";"H1_4",#N/A,TRUE,"HyperTgr";"H5_9",#N/A,TRUE,"HyperTgr";"H10_14",#N/A,TRUE,"HyperTgr";"H1_4",#N/A,TRUE,"HyperGgr";"H5_9",#N/A,TRUE,"HyperGgr";"H10_14",#N/A,TRUE,"HyperGgr";"H1_4",#N/A,TRUE,"HyperExpR";"H5_9",#N/A,TRUE,"HyperExpR";"H10_14",#N/A,TRUE,"HyperExpR"}</definedName>
    <definedName name="wrn.HyperBudget." hidden="1">{#N/A,#N/A,TRUE,"Criteria";#N/A,#N/A,TRUE,"HyperA";#N/A,#N/A,TRUE,"HyperF";#N/A,#N/A,TRUE,"HyperP";#N/A,#N/A,TRUE,"HyperH";#N/A,#N/A,TRUE,"HyperT";#N/A,#N/A,TRUE,"HyperG";"H1_4",#N/A,TRUE,"HyperAgr ";"H5_9",#N/A,TRUE,"HyperAgr ";"H10_14",#N/A,TRUE,"HyperAgr ";"H1_4",#N/A,TRUE,"HyperFgr";"H5_9",#N/A,TRUE,"HyperFgr";"H10_14",#N/A,TRUE,"HyperFgr";"H1_4",#N/A,TRUE,"HyperPgr";"H5_9",#N/A,TRUE,"HyperPgr";"H10_14",#N/A,TRUE,"HyperPgr";"H1_4",#N/A,TRUE,"HyperHgr";"H5_9",#N/A,TRUE,"HyperHgr";"H10_14",#N/A,TRUE,"HyperHgr";"H1_4",#N/A,TRUE,"HyperTgr";"H5_9",#N/A,TRUE,"HyperTgr";"H10_14",#N/A,TRUE,"HyperTgr";"H1_4",#N/A,TRUE,"HyperGgr";"H5_9",#N/A,TRUE,"HyperGgr";"H10_14",#N/A,TRUE,"HyperGgr";"H1_4",#N/A,TRUE,"HyperExpR";"H5_9",#N/A,TRUE,"HyperExpR";"H10_14",#N/A,TRUE,"HyperExpR"}</definedName>
    <definedName name="wrn.Sakkie." localSheetId="0" hidden="1">{"H1_5",#N/A,FALSE,"HyperExpVar";"H6_11",#N/A,FALSE,"HyperExpVar";"H12_14",#N/A,FALSE,"HyperExpVar"}</definedName>
    <definedName name="wrn.Sakkie." hidden="1">{"H1_5",#N/A,FALSE,"HyperExpVar";"H6_11",#N/A,FALSE,"HyperExpVar";"H12_14",#N/A,FALSE,"HyperExpVar"}</definedName>
    <definedName name="wrn.Test." localSheetId="0" hidden="1">{"H1_4",#N/A,TRUE,"HyperGgr";"H5_9",#N/A,TRUE,"HyperGgr";"H10_14",#N/A,TRUE,"HyperGgr";"H1_4",#N/A,TRUE,"HyperExpR";"H5_9",#N/A,TRUE,"HyperExpR";"H10_14",#N/A,TRUE,"HyperExpR"}</definedName>
    <definedName name="wrn.Test." hidden="1">{"H1_4",#N/A,TRUE,"HyperGgr";"H5_9",#N/A,TRUE,"HyperGgr";"H10_14",#N/A,TRUE,"HyperGgr";"H1_4",#N/A,TRUE,"HyperExpR";"H5_9",#N/A,TRUE,"HyperExpR";"H10_14",#N/A,TRUE,"HyperExpR"}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4" i="2" l="1"/>
  <c r="J22" i="2"/>
  <c r="J21" i="2"/>
  <c r="J20" i="2"/>
  <c r="J19" i="2"/>
  <c r="I14" i="2" s="1"/>
  <c r="J17" i="2" l="1"/>
</calcChain>
</file>

<file path=xl/sharedStrings.xml><?xml version="1.0" encoding="utf-8"?>
<sst xmlns="http://schemas.openxmlformats.org/spreadsheetml/2006/main" count="77" uniqueCount="69">
  <si>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</si>
  <si>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</si>
  <si>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</si>
  <si>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</si>
  <si>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</si>
  <si>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</si>
  <si>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</si>
  <si>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</si>
  <si>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</si>
  <si>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</si>
  <si>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</si>
  <si>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</si>
  <si>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</si>
  <si>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</si>
  <si>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</si>
  <si>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</si>
  <si>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</si>
  <si>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</si>
  <si>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</si>
  <si>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</si>
  <si>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</si>
  <si>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</si>
  <si>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</si>
  <si>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</si>
  <si>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Organization Revenue</t>
  </si>
  <si>
    <t>Payroll Costs excluding CEO</t>
  </si>
  <si>
    <t>EBITDA</t>
  </si>
  <si>
    <t>RESIDUAL OUTPUT</t>
  </si>
  <si>
    <t>Observation</t>
  </si>
  <si>
    <t>Predicted Annual Basic Cash</t>
  </si>
  <si>
    <t>Residuals</t>
  </si>
  <si>
    <t xml:space="preserve">📊 </t>
  </si>
  <si>
    <t>1) Organization Revenue</t>
  </si>
  <si>
    <t>2) Payroll Costs (excluding CEO)</t>
  </si>
  <si>
    <t>3) EBITDA (Earnings Before Interest, Taxes, Depreciation, and Amortization)</t>
  </si>
  <si>
    <t xml:space="preserve">🧮 </t>
  </si>
  <si>
    <t>Regression Formula:</t>
  </si>
  <si>
    <t>Organization Size Data in $m - CEO Compensation Data</t>
  </si>
  <si>
    <t>Multiple Regression Equation:</t>
  </si>
  <si>
    <t>Annual Basic Cash</t>
  </si>
  <si>
    <t>Intercept (a)</t>
  </si>
  <si>
    <t xml:space="preserve">	The baseline CEO pay when all predictors are 0 (not realistic, but standard in regression)</t>
  </si>
  <si>
    <r>
      <t>Organization Revenue (b</t>
    </r>
    <r>
      <rPr>
        <b/>
        <vertAlign val="subscript"/>
        <sz val="10"/>
        <rFont val="Aptos Narrow"/>
        <family val="2"/>
        <scheme val="minor"/>
      </rPr>
      <t>1</t>
    </r>
    <r>
      <rPr>
        <b/>
        <sz val="10"/>
        <rFont val="Aptos Narrow"/>
        <family val="2"/>
        <scheme val="minor"/>
      </rPr>
      <t>)</t>
    </r>
  </si>
  <si>
    <t xml:space="preserve">	For every $1M increase in revenue, CEO pay increases by $123.9K (holding other factors constant)</t>
  </si>
  <si>
    <r>
      <t>Payroll Costs excl CEO  (b</t>
    </r>
    <r>
      <rPr>
        <b/>
        <vertAlign val="subscript"/>
        <sz val="10"/>
        <rFont val="Aptos Narrow"/>
        <family val="2"/>
        <scheme val="minor"/>
      </rPr>
      <t>2</t>
    </r>
    <r>
      <rPr>
        <b/>
        <sz val="10"/>
        <rFont val="Aptos Narrow"/>
        <family val="2"/>
        <scheme val="minor"/>
      </rPr>
      <t>)</t>
    </r>
  </si>
  <si>
    <t xml:space="preserve">	For every $1M increase in company payroll (not including CEO), CEO pay increases by ~$1.1M</t>
  </si>
  <si>
    <r>
      <t>EBITDA (b</t>
    </r>
    <r>
      <rPr>
        <b/>
        <vertAlign val="subscript"/>
        <sz val="10"/>
        <rFont val="Aptos Narrow"/>
        <family val="2"/>
        <scheme val="minor"/>
      </rPr>
      <t>3</t>
    </r>
    <r>
      <rPr>
        <b/>
        <sz val="10"/>
        <rFont val="Aptos Narrow"/>
        <family val="2"/>
        <scheme val="minor"/>
      </rPr>
      <t>)</t>
    </r>
  </si>
  <si>
    <t xml:space="preserve">	Every $1M increase in EBITDA is associated with a ~$9.99K increase in CEO pay</t>
  </si>
  <si>
    <t>R-squared</t>
  </si>
  <si>
    <t xml:space="preserve">This means 92.3% of the variance in CEO annual basic cash pay is explained by these 3 predictors—a very strong model.
</t>
  </si>
  <si>
    <r>
      <t xml:space="preserve">This is a multiple linear regression model that predicts CEO Annual Salary based on </t>
    </r>
    <r>
      <rPr>
        <b/>
        <u/>
        <sz val="11"/>
        <color rgb="FF7030A0"/>
        <rFont val="Aptos Narrow"/>
        <family val="2"/>
        <scheme val="minor"/>
      </rPr>
      <t>3 independent variables</t>
    </r>
    <r>
      <rPr>
        <b/>
        <sz val="11"/>
        <color rgb="FF7030A0"/>
        <rFont val="Aptos Narrow"/>
        <family val="2"/>
        <scheme val="minor"/>
      </rPr>
      <t>:</t>
    </r>
  </si>
  <si>
    <t>👉 These tell you how much each variable contributes to CEO pay.</t>
  </si>
  <si>
    <r>
      <rPr>
        <b/>
        <sz val="11"/>
        <rFont val="Aptos Narrow"/>
        <family val="2"/>
        <scheme val="minor"/>
      </rPr>
      <t xml:space="preserve">✏️ </t>
    </r>
    <r>
      <rPr>
        <b/>
        <u/>
        <sz val="11"/>
        <rFont val="Aptos Narrow"/>
        <family val="2"/>
        <scheme val="minor"/>
      </rPr>
      <t xml:space="preserve">Example Interpretation: </t>
    </r>
    <r>
      <rPr>
        <sz val="11"/>
        <rFont val="Aptos Narrow"/>
        <family val="2"/>
        <scheme val="minor"/>
      </rPr>
      <t>For every $1M increase in EBITDA, CEO base pay increases by ~$9,991, holding other variables constant.</t>
    </r>
  </si>
  <si>
    <r>
      <rPr>
        <b/>
        <u/>
        <sz val="11"/>
        <rFont val="Aptos Narrow"/>
        <family val="2"/>
        <scheme val="minor"/>
      </rPr>
      <t>Predicted CEO Pay</t>
    </r>
    <r>
      <rPr>
        <b/>
        <sz val="11"/>
        <rFont val="Aptos Narrow"/>
        <family val="2"/>
        <scheme val="minor"/>
      </rPr>
      <t xml:space="preserve"> </t>
    </r>
    <r>
      <rPr>
        <sz val="11"/>
        <rFont val="Aptos Narrow"/>
        <family val="2"/>
        <scheme val="minor"/>
      </rPr>
      <t>= $1,037,865</t>
    </r>
  </si>
  <si>
    <r>
      <rPr>
        <b/>
        <u/>
        <sz val="11"/>
        <rFont val="Aptos Narrow"/>
        <family val="2"/>
        <scheme val="minor"/>
      </rPr>
      <t>EBITDA</t>
    </r>
    <r>
      <rPr>
        <b/>
        <sz val="11"/>
        <rFont val="Aptos Narrow"/>
        <family val="2"/>
        <scheme val="minor"/>
      </rPr>
      <t xml:space="preserve"> = </t>
    </r>
    <r>
      <rPr>
        <sz val="11"/>
        <rFont val="Aptos Narrow"/>
        <family val="2"/>
        <scheme val="minor"/>
      </rPr>
      <t>50M</t>
    </r>
  </si>
  <si>
    <r>
      <rPr>
        <b/>
        <u/>
        <sz val="11"/>
        <rFont val="Aptos Narrow"/>
        <family val="2"/>
        <scheme val="minor"/>
      </rPr>
      <t>Payroll Costs</t>
    </r>
    <r>
      <rPr>
        <b/>
        <sz val="11"/>
        <rFont val="Aptos Narrow"/>
        <family val="2"/>
        <scheme val="minor"/>
      </rPr>
      <t xml:space="preserve"> =</t>
    </r>
    <r>
      <rPr>
        <sz val="11"/>
        <rFont val="Aptos Narrow"/>
        <family val="2"/>
        <scheme val="minor"/>
      </rPr>
      <t xml:space="preserve"> 80M</t>
    </r>
  </si>
  <si>
    <r>
      <rPr>
        <b/>
        <u/>
        <sz val="11"/>
        <rFont val="Aptos Narrow"/>
        <family val="2"/>
        <scheme val="minor"/>
      </rPr>
      <t>Revenue</t>
    </r>
    <r>
      <rPr>
        <b/>
        <sz val="11"/>
        <rFont val="Aptos Narrow"/>
        <family val="2"/>
        <scheme val="minor"/>
      </rPr>
      <t xml:space="preserve"> =</t>
    </r>
    <r>
      <rPr>
        <sz val="11"/>
        <rFont val="Aptos Narrow"/>
        <family val="2"/>
        <scheme val="minor"/>
      </rPr>
      <t xml:space="preserve"> 500M</t>
    </r>
  </si>
  <si>
    <r>
      <rPr>
        <b/>
        <u/>
        <sz val="11"/>
        <color theme="1"/>
        <rFont val="Aptos Narrow"/>
        <family val="2"/>
        <scheme val="minor"/>
      </rPr>
      <t>Predicted CEO Pay</t>
    </r>
    <r>
      <rPr>
        <b/>
        <sz val="11"/>
        <color theme="1"/>
        <rFont val="Aptos Narrow"/>
        <family val="2"/>
        <scheme val="minor"/>
      </rPr>
      <t>=</t>
    </r>
    <r>
      <rPr>
        <b/>
        <sz val="11"/>
        <color rgb="FF00B050"/>
        <rFont val="Aptos Narrow"/>
        <family val="2"/>
        <scheme val="minor"/>
      </rPr>
      <t>388,422</t>
    </r>
    <r>
      <rPr>
        <b/>
        <sz val="11"/>
        <rFont val="Aptos Narrow"/>
        <family val="2"/>
        <scheme val="minor"/>
      </rPr>
      <t>+(</t>
    </r>
    <r>
      <rPr>
        <b/>
        <sz val="11"/>
        <color rgb="FF00B0F0"/>
        <rFont val="Aptos Narrow"/>
        <family val="2"/>
        <scheme val="minor"/>
      </rPr>
      <t>123.9×Revenue</t>
    </r>
    <r>
      <rPr>
        <b/>
        <sz val="11"/>
        <rFont val="Aptos Narrow"/>
        <family val="2"/>
        <scheme val="minor"/>
      </rPr>
      <t>)+(</t>
    </r>
    <r>
      <rPr>
        <b/>
        <sz val="11"/>
        <color theme="5"/>
        <rFont val="Aptos Narrow"/>
        <family val="2"/>
        <scheme val="minor"/>
      </rPr>
      <t>1,099.4×Payroll Costs</t>
    </r>
    <r>
      <rPr>
        <b/>
        <sz val="11"/>
        <rFont val="Aptos Narrow"/>
        <family val="2"/>
        <scheme val="minor"/>
      </rPr>
      <t>)+(</t>
    </r>
    <r>
      <rPr>
        <b/>
        <sz val="11"/>
        <color rgb="FFFF0000"/>
        <rFont val="Aptos Narrow"/>
        <family val="2"/>
        <scheme val="minor"/>
      </rPr>
      <t>9,991.3×EBITDA</t>
    </r>
    <r>
      <rPr>
        <b/>
        <sz val="11"/>
        <rFont val="Aptos Narrow"/>
        <family val="2"/>
        <scheme val="minor"/>
      </rPr>
      <t>)</t>
    </r>
  </si>
  <si>
    <t>Organization Revenue Line Fit Plot</t>
  </si>
  <si>
    <t>Shows a fairly strong linear trend — higher revenue generally = higher CEO pay</t>
  </si>
  <si>
    <t>Green = actual pay; Blue = model prediction</t>
  </si>
  <si>
    <t>Payroll Costs excluding CEO Line Fit Plot</t>
  </si>
  <si>
    <t>Also linear — companies with higher total payrolls tend to pay their CEOs more</t>
  </si>
  <si>
    <t>Orange = predicted trend</t>
  </si>
  <si>
    <t>EBITDA Line Fit Plot</t>
  </si>
  <si>
    <t>Strongest correlation: as EBITDA increases, predicted CEO pay tracks very closely</t>
  </si>
  <si>
    <t xml:space="preserve">Red = model prediction closely matching actual green line
</t>
  </si>
  <si>
    <t>🧠 Summary of the Story:</t>
  </si>
  <si>
    <r>
      <t xml:space="preserve">This regression model uses company data to estimate CEO base pay based on three key financial indicators: revenue, payroll (excluding the CEO), and EBITDA. It shows that </t>
    </r>
    <r>
      <rPr>
        <b/>
        <sz val="11"/>
        <color rgb="FFFF0000"/>
        <rFont val="Aptos Narrow"/>
        <family val="2"/>
        <scheme val="minor"/>
      </rPr>
      <t xml:space="preserve">EBITDA </t>
    </r>
    <r>
      <rPr>
        <sz val="11"/>
        <color theme="1"/>
        <rFont val="Aptos Narrow"/>
        <family val="2"/>
        <scheme val="minor"/>
      </rPr>
      <t>has the strongest influence, and the model explains about 92% of the variation in CEO compensation. The visuals confirm</t>
    </r>
    <r>
      <rPr>
        <b/>
        <sz val="11"/>
        <color theme="1"/>
        <rFont val="Aptos Narrow"/>
        <family val="2"/>
        <scheme val="minor"/>
      </rPr>
      <t xml:space="preserve"> strong linear relationships </t>
    </r>
    <r>
      <rPr>
        <sz val="11"/>
        <color theme="1"/>
        <rFont val="Aptos Narrow"/>
        <family val="2"/>
        <scheme val="minor"/>
      </rPr>
      <t xml:space="preserve">between </t>
    </r>
    <r>
      <rPr>
        <b/>
        <sz val="11"/>
        <color theme="1"/>
        <rFont val="Aptos Narrow"/>
        <family val="2"/>
        <scheme val="minor"/>
      </rPr>
      <t>financial performance</t>
    </r>
    <r>
      <rPr>
        <sz val="11"/>
        <color theme="1"/>
        <rFont val="Aptos Narrow"/>
        <family val="2"/>
        <scheme val="minor"/>
      </rPr>
      <t xml:space="preserve"> and </t>
    </r>
    <r>
      <rPr>
        <b/>
        <sz val="11"/>
        <color theme="1"/>
        <rFont val="Aptos Narrow"/>
        <family val="2"/>
        <scheme val="minor"/>
      </rPr>
      <t>CEO pay</t>
    </r>
    <r>
      <rPr>
        <sz val="11"/>
        <color theme="1"/>
        <rFont val="Aptos Narrow"/>
        <family val="2"/>
        <scheme val="minor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</si>
</sst>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#,##0.000"/>
    <numFmt numFmtId="165" formatCode="_(* #,##0_);_(* \(#,##0\);_(* &quot;-&quot;??_);_(@_)"/>
    <numFmt numFmtId="166" formatCode="#,##0.0"/>
    <numFmt numFmtId="167" formatCode="0.0"/>
  </numFmts>
  <fonts count="31" x14ac:knownFonts="1"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5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i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color rgb="FF7030A0"/>
      <name val="Aptos Narrow"/>
      <family val="2"/>
      <scheme val="minor"/>
    </font>
    <font>
      <b/>
      <sz val="10"/>
      <color rgb="FF00B050"/>
      <name val="Aptos Narrow"/>
      <family val="2"/>
      <scheme val="minor"/>
    </font>
    <font>
      <b/>
      <sz val="10"/>
      <color rgb="FF00B0F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rgb="FF00B050"/>
      <name val="Aptos Narrow"/>
      <family val="2"/>
      <scheme val="minor"/>
    </font>
    <font>
      <b/>
      <vertAlign val="subscript"/>
      <sz val="10"/>
      <name val="Aptos Narrow"/>
      <family val="2"/>
      <scheme val="minor"/>
    </font>
    <font>
      <sz val="10"/>
      <color rgb="FF00B0F0"/>
      <name val="Aptos Narrow"/>
      <family val="2"/>
      <scheme val="minor"/>
    </font>
    <font>
      <sz val="10"/>
      <color rgb="FFFF0000"/>
      <name val="Aptos Narrow"/>
      <family val="2"/>
      <scheme val="minor"/>
    </font>
    <font>
      <sz val="10"/>
      <color rgb="FF7030A0"/>
      <name val="Aptos Narrow"/>
      <family val="2"/>
      <scheme val="minor"/>
    </font>
    <font>
      <b/>
      <u/>
      <sz val="11"/>
      <color rgb="FF7030A0"/>
      <name val="Aptos Narrow"/>
      <family val="2"/>
      <scheme val="minor"/>
    </font>
    <font>
      <b/>
      <sz val="10"/>
      <color theme="5"/>
      <name val="Aptos Narrow"/>
      <family val="2"/>
      <scheme val="minor"/>
    </font>
    <font>
      <sz val="10"/>
      <color theme="5"/>
      <name val="Aptos Narrow"/>
      <family val="2"/>
      <scheme val="minor"/>
    </font>
    <font>
      <b/>
      <u/>
      <sz val="1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hair">
        <color theme="1" tint="0.499984740745262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1" fillId="0" borderId="0"/>
  </cellStyleXfs>
  <cellXfs count="64">
    <xf numFmtId="0" fontId="0" fillId="0" borderId="0" xfId="0"/>
    <xf numFmtId="0" fontId="0" fillId="0" borderId="0" xfId="0" applyAlignment="1">
      <alignment horizontal="left" vertical="top"/>
    </xf>
    <xf numFmtId="164" fontId="6" fillId="0" borderId="1" xfId="2" applyNumberFormat="1" applyFont="1" applyBorder="1" applyAlignment="1">
      <alignment horizontal="left" vertical="top"/>
    </xf>
    <xf numFmtId="3" fontId="7" fillId="0" borderId="1" xfId="2" applyNumberFormat="1" applyFont="1" applyBorder="1" applyAlignment="1">
      <alignment horizontal="left" vertical="top"/>
    </xf>
    <xf numFmtId="166" fontId="8" fillId="0" borderId="1" xfId="2" applyNumberFormat="1" applyFont="1" applyBorder="1" applyAlignment="1">
      <alignment horizontal="left" vertical="top"/>
    </xf>
    <xf numFmtId="166" fontId="9" fillId="0" borderId="1" xfId="2" applyNumberFormat="1" applyFont="1" applyBorder="1" applyAlignment="1">
      <alignment horizontal="left" vertical="top"/>
    </xf>
    <xf numFmtId="0" fontId="10" fillId="0" borderId="0" xfId="2" applyFont="1" applyAlignment="1">
      <alignment horizontal="left" vertical="top"/>
    </xf>
    <xf numFmtId="0" fontId="5" fillId="4" borderId="0" xfId="2" applyFont="1" applyFill="1" applyAlignment="1">
      <alignment vertical="top"/>
    </xf>
    <xf numFmtId="0" fontId="11" fillId="0" borderId="0" xfId="2" applyFont="1" applyAlignment="1">
      <alignment horizontal="left" vertical="top"/>
    </xf>
    <xf numFmtId="0" fontId="11" fillId="4" borderId="0" xfId="2" applyFont="1" applyFill="1" applyAlignment="1">
      <alignment horizontal="left" vertical="top"/>
    </xf>
    <xf numFmtId="0" fontId="12" fillId="0" borderId="0" xfId="2" applyFont="1" applyAlignment="1">
      <alignment horizontal="left" vertical="top"/>
    </xf>
    <xf numFmtId="0" fontId="9" fillId="0" borderId="0" xfId="2" applyFont="1" applyAlignment="1">
      <alignment horizontal="left" vertical="top"/>
    </xf>
    <xf numFmtId="0" fontId="9" fillId="4" borderId="0" xfId="2" applyFont="1" applyFill="1" applyAlignment="1">
      <alignment horizontal="left" vertical="top"/>
    </xf>
    <xf numFmtId="0" fontId="13" fillId="0" borderId="0" xfId="2" applyFont="1" applyAlignment="1">
      <alignment horizontal="left" vertical="top"/>
    </xf>
    <xf numFmtId="0" fontId="18" fillId="0" borderId="0" xfId="2" quotePrefix="1" applyFont="1" applyAlignment="1">
      <alignment horizontal="center" vertical="top" wrapText="1"/>
    </xf>
    <xf numFmtId="0" fontId="12" fillId="0" borderId="0" xfId="2" applyFont="1" applyAlignment="1">
      <alignment horizontal="center" vertical="top"/>
    </xf>
    <xf numFmtId="3" fontId="12" fillId="0" borderId="0" xfId="2" applyNumberFormat="1" applyFont="1" applyAlignment="1">
      <alignment horizontal="center" vertical="top"/>
    </xf>
    <xf numFmtId="3" fontId="18" fillId="0" borderId="0" xfId="2" quotePrefix="1" applyNumberFormat="1" applyFont="1" applyAlignment="1">
      <alignment horizontal="center" vertical="top" wrapText="1"/>
    </xf>
    <xf numFmtId="0" fontId="12" fillId="0" borderId="0" xfId="2" applyFont="1" applyAlignment="1">
      <alignment horizontal="left" vertical="top" wrapText="1"/>
    </xf>
    <xf numFmtId="1" fontId="12" fillId="0" borderId="1" xfId="2" applyNumberFormat="1" applyFont="1" applyBorder="1" applyAlignment="1">
      <alignment horizontal="left" vertical="top"/>
    </xf>
    <xf numFmtId="167" fontId="12" fillId="0" borderId="1" xfId="2" applyNumberFormat="1" applyFont="1" applyBorder="1" applyAlignment="1">
      <alignment horizontal="left" vertical="top"/>
    </xf>
    <xf numFmtId="3" fontId="12" fillId="0" borderId="1" xfId="2" applyNumberFormat="1" applyFont="1" applyBorder="1" applyAlignment="1">
      <alignment horizontal="left" vertical="top"/>
    </xf>
    <xf numFmtId="3" fontId="12" fillId="0" borderId="0" xfId="2" applyNumberFormat="1" applyFont="1" applyAlignment="1">
      <alignment horizontal="left" vertical="top"/>
    </xf>
    <xf numFmtId="4" fontId="12" fillId="0" borderId="0" xfId="2" applyNumberFormat="1" applyFont="1" applyAlignment="1">
      <alignment horizontal="left" vertical="top"/>
    </xf>
    <xf numFmtId="0" fontId="19" fillId="0" borderId="0" xfId="2" applyFont="1" applyAlignment="1">
      <alignment horizontal="left" vertical="top"/>
    </xf>
    <xf numFmtId="0" fontId="21" fillId="0" borderId="0" xfId="2" applyFont="1" applyAlignment="1">
      <alignment horizontal="left" vertical="top"/>
    </xf>
    <xf numFmtId="0" fontId="22" fillId="0" borderId="0" xfId="2" applyFont="1" applyAlignment="1">
      <alignment horizontal="left" vertical="top"/>
    </xf>
    <xf numFmtId="0" fontId="3" fillId="0" borderId="0" xfId="0" applyFont="1" applyAlignment="1">
      <alignment horizontal="left" vertical="top"/>
    </xf>
    <xf numFmtId="4" fontId="18" fillId="0" borderId="0" xfId="2" applyNumberFormat="1" applyFont="1" applyAlignment="1">
      <alignment horizontal="left" vertical="top"/>
    </xf>
    <xf numFmtId="0" fontId="23" fillId="0" borderId="0" xfId="2" applyFont="1" applyAlignment="1">
      <alignment horizontal="left" vertical="top"/>
    </xf>
    <xf numFmtId="0" fontId="10" fillId="4" borderId="0" xfId="2" applyFont="1" applyFill="1" applyAlignment="1">
      <alignment horizontal="left" vertical="top"/>
    </xf>
    <xf numFmtId="0" fontId="11" fillId="4" borderId="0" xfId="2" applyFont="1" applyFill="1" applyAlignment="1">
      <alignment vertical="top"/>
    </xf>
    <xf numFmtId="166" fontId="25" fillId="0" borderId="1" xfId="2" applyNumberFormat="1" applyFont="1" applyBorder="1" applyAlignment="1">
      <alignment horizontal="left" vertical="top"/>
    </xf>
    <xf numFmtId="0" fontId="26" fillId="0" borderId="0" xfId="2" applyFont="1" applyAlignment="1">
      <alignment horizontal="left" vertical="top"/>
    </xf>
    <xf numFmtId="0" fontId="0" fillId="0" borderId="0" xfId="0" applyAlignment="1">
      <alignment horizontal="left" vertical="top" wrapText="1"/>
    </xf>
    <xf numFmtId="0" fontId="5" fillId="0" borderId="2" xfId="0" applyFont="1" applyBorder="1" applyAlignment="1">
      <alignment horizontal="left" vertical="top"/>
    </xf>
    <xf numFmtId="165" fontId="0" fillId="0" borderId="2" xfId="1" applyNumberFormat="1" applyFont="1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43" fontId="0" fillId="0" borderId="2" xfId="1" applyFont="1" applyBorder="1" applyAlignment="1">
      <alignment horizontal="left" vertical="top"/>
    </xf>
    <xf numFmtId="0" fontId="0" fillId="0" borderId="2" xfId="0" applyBorder="1" applyAlignment="1">
      <alignment horizontal="right" vertical="top"/>
    </xf>
    <xf numFmtId="0" fontId="4" fillId="3" borderId="3" xfId="0" applyFont="1" applyFill="1" applyBorder="1" applyAlignment="1">
      <alignment horizontal="center" vertical="top" wrapText="1"/>
    </xf>
    <xf numFmtId="1" fontId="0" fillId="0" borderId="2" xfId="1" applyNumberFormat="1" applyFont="1" applyBorder="1" applyAlignment="1">
      <alignment horizontal="right" vertical="top"/>
    </xf>
    <xf numFmtId="0" fontId="4" fillId="3" borderId="3" xfId="0" quotePrefix="1" applyFont="1" applyFill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3" fontId="7" fillId="0" borderId="2" xfId="2" applyNumberFormat="1" applyFont="1" applyBorder="1" applyAlignment="1">
      <alignment horizontal="right" vertical="top"/>
    </xf>
    <xf numFmtId="166" fontId="8" fillId="0" borderId="2" xfId="2" applyNumberFormat="1" applyFont="1" applyBorder="1" applyAlignment="1">
      <alignment horizontal="right" vertical="top"/>
    </xf>
    <xf numFmtId="166" fontId="25" fillId="0" borderId="2" xfId="2" applyNumberFormat="1" applyFont="1" applyBorder="1" applyAlignment="1">
      <alignment horizontal="right" vertical="top"/>
    </xf>
    <xf numFmtId="166" fontId="9" fillId="0" borderId="2" xfId="2" applyNumberFormat="1" applyFont="1" applyBorder="1" applyAlignment="1">
      <alignment horizontal="right" vertical="top"/>
    </xf>
    <xf numFmtId="3" fontId="18" fillId="6" borderId="1" xfId="2" applyNumberFormat="1" applyFont="1" applyFill="1" applyBorder="1" applyAlignment="1">
      <alignment horizontal="center" vertical="top" wrapText="1"/>
    </xf>
    <xf numFmtId="167" fontId="18" fillId="6" borderId="1" xfId="2" quotePrefix="1" applyNumberFormat="1" applyFont="1" applyFill="1" applyBorder="1" applyAlignment="1">
      <alignment horizontal="center" vertical="top" wrapText="1"/>
    </xf>
    <xf numFmtId="3" fontId="18" fillId="6" borderId="1" xfId="2" quotePrefix="1" applyNumberFormat="1" applyFont="1" applyFill="1" applyBorder="1" applyAlignment="1">
      <alignment horizontal="center" vertical="top" wrapText="1"/>
    </xf>
    <xf numFmtId="2" fontId="0" fillId="0" borderId="2" xfId="0" applyNumberFormat="1" applyBorder="1" applyAlignment="1">
      <alignment horizontal="right" vertical="top"/>
    </xf>
    <xf numFmtId="2" fontId="6" fillId="0" borderId="2" xfId="2" applyNumberFormat="1" applyFont="1" applyBorder="1" applyAlignment="1">
      <alignment horizontal="right" vertical="top"/>
    </xf>
    <xf numFmtId="0" fontId="15" fillId="0" borderId="0" xfId="0" applyFont="1" applyAlignment="1">
      <alignment horizontal="left" vertical="top"/>
    </xf>
    <xf numFmtId="0" fontId="2" fillId="0" borderId="0" xfId="0" applyFont="1" applyAlignment="1">
      <alignment horizontal="left" vertical="top"/>
    </xf>
    <xf numFmtId="0" fontId="16" fillId="0" borderId="0" xfId="0" applyFont="1" applyAlignment="1">
      <alignment horizontal="left" vertical="top"/>
    </xf>
    <xf numFmtId="0" fontId="30" fillId="4" borderId="0" xfId="2" applyFont="1" applyFill="1" applyAlignment="1">
      <alignment vertical="top"/>
    </xf>
    <xf numFmtId="0" fontId="18" fillId="0" borderId="1" xfId="0" quotePrefix="1" applyFont="1" applyBorder="1" applyAlignment="1">
      <alignment horizontal="left" vertical="top"/>
    </xf>
    <xf numFmtId="0" fontId="17" fillId="5" borderId="0" xfId="2" quotePrefix="1" applyFont="1" applyFill="1" applyAlignment="1">
      <alignment horizontal="center" vertical="top" wrapText="1"/>
    </xf>
    <xf numFmtId="0" fontId="17" fillId="5" borderId="0" xfId="0" quotePrefix="1" applyFont="1" applyFill="1" applyAlignment="1">
      <alignment horizontal="center" vertical="top" wrapText="1"/>
    </xf>
    <xf numFmtId="0" fontId="17" fillId="5" borderId="0" xfId="0" applyFont="1" applyFill="1" applyAlignment="1">
      <alignment horizontal="center" vertical="top" wrapText="1"/>
    </xf>
    <xf numFmtId="0" fontId="4" fillId="3" borderId="4" xfId="0" applyFont="1" applyFill="1" applyBorder="1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29" fillId="2" borderId="0" xfId="0" applyFont="1" applyFill="1" applyAlignment="1">
      <alignment horizontal="center" vertical="top" wrapText="1"/>
    </xf>
  </cellXfs>
  <cellStyles count="3">
    <cellStyle name="Comma" xfId="1" builtinId="3"/>
    <cellStyle name="Normal" xfId="0" builtinId="0"/>
    <cellStyle name="Normal 2" xfId="2" xr:uid="{C935B212-DEAE-4292-BC87-023F13A513F8}"/>
  </cellStyles>
  <dxfs count="0"/>
  <tableStyles count="0" defaultTableStyle="TableStyleMedium2" defaultPivotStyle="PivotStyleLight16"/>
  <colors>
    <mruColors>
      <color rgb="FFEADC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B0F0"/>
                </a:solidFill>
              </a:defRPr>
            </a:pPr>
            <a:r>
              <a:rPr lang="en-ZA" sz="1600">
                <a:solidFill>
                  <a:srgbClr val="00B0F0"/>
                </a:solidFill>
              </a:rPr>
              <a:t>Organization Revenue Line Fit  Plot</a:t>
            </a:r>
          </a:p>
        </c:rich>
      </c:tx>
      <c:layout>
        <c:manualLayout>
          <c:xMode val="edge"/>
          <c:yMode val="edge"/>
          <c:x val="0.18827815259037148"/>
          <c:y val="3.3597883597883599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Annual Basic Cash</c:v>
          </c:tx>
          <c:spPr>
            <a:ln w="28575">
              <a:solidFill>
                <a:schemeClr val="accent6"/>
              </a:solidFill>
            </a:ln>
          </c:spPr>
          <c:marker>
            <c:spPr>
              <a:solidFill>
                <a:srgbClr val="FFFF00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'[2]2.1 Multi-Linear Reg'!$B$5:$B$54</c:f>
              <c:numCache>
                <c:formatCode>General</c:formatCode>
                <c:ptCount val="50"/>
                <c:pt idx="0">
                  <c:v>90</c:v>
                </c:pt>
                <c:pt idx="1">
                  <c:v>105</c:v>
                </c:pt>
                <c:pt idx="2">
                  <c:v>122</c:v>
                </c:pt>
                <c:pt idx="3">
                  <c:v>133</c:v>
                </c:pt>
                <c:pt idx="4">
                  <c:v>150</c:v>
                </c:pt>
                <c:pt idx="5">
                  <c:v>164</c:v>
                </c:pt>
                <c:pt idx="6">
                  <c:v>170</c:v>
                </c:pt>
                <c:pt idx="7">
                  <c:v>200</c:v>
                </c:pt>
                <c:pt idx="8">
                  <c:v>205</c:v>
                </c:pt>
                <c:pt idx="9">
                  <c:v>211</c:v>
                </c:pt>
                <c:pt idx="10">
                  <c:v>225</c:v>
                </c:pt>
                <c:pt idx="11">
                  <c:v>231</c:v>
                </c:pt>
                <c:pt idx="12">
                  <c:v>261</c:v>
                </c:pt>
                <c:pt idx="13">
                  <c:v>269</c:v>
                </c:pt>
                <c:pt idx="14">
                  <c:v>281</c:v>
                </c:pt>
                <c:pt idx="15">
                  <c:v>289</c:v>
                </c:pt>
                <c:pt idx="16">
                  <c:v>302</c:v>
                </c:pt>
                <c:pt idx="17">
                  <c:v>328</c:v>
                </c:pt>
                <c:pt idx="18">
                  <c:v>334</c:v>
                </c:pt>
                <c:pt idx="19">
                  <c:v>369</c:v>
                </c:pt>
                <c:pt idx="20">
                  <c:v>372</c:v>
                </c:pt>
                <c:pt idx="21">
                  <c:v>389</c:v>
                </c:pt>
                <c:pt idx="22">
                  <c:v>399</c:v>
                </c:pt>
                <c:pt idx="23">
                  <c:v>439</c:v>
                </c:pt>
                <c:pt idx="24">
                  <c:v>445</c:v>
                </c:pt>
                <c:pt idx="25">
                  <c:v>532</c:v>
                </c:pt>
                <c:pt idx="26">
                  <c:v>564</c:v>
                </c:pt>
                <c:pt idx="27">
                  <c:v>568</c:v>
                </c:pt>
                <c:pt idx="28">
                  <c:v>575</c:v>
                </c:pt>
                <c:pt idx="29">
                  <c:v>580</c:v>
                </c:pt>
                <c:pt idx="30">
                  <c:v>631</c:v>
                </c:pt>
                <c:pt idx="31">
                  <c:v>653</c:v>
                </c:pt>
                <c:pt idx="32">
                  <c:v>673</c:v>
                </c:pt>
                <c:pt idx="33">
                  <c:v>733</c:v>
                </c:pt>
                <c:pt idx="34">
                  <c:v>735</c:v>
                </c:pt>
                <c:pt idx="35">
                  <c:v>736</c:v>
                </c:pt>
                <c:pt idx="36">
                  <c:v>744</c:v>
                </c:pt>
                <c:pt idx="37">
                  <c:v>748</c:v>
                </c:pt>
                <c:pt idx="38">
                  <c:v>748</c:v>
                </c:pt>
                <c:pt idx="39">
                  <c:v>749</c:v>
                </c:pt>
                <c:pt idx="40">
                  <c:v>780</c:v>
                </c:pt>
                <c:pt idx="41">
                  <c:v>780</c:v>
                </c:pt>
                <c:pt idx="42">
                  <c:v>783</c:v>
                </c:pt>
                <c:pt idx="43">
                  <c:v>897</c:v>
                </c:pt>
                <c:pt idx="44">
                  <c:v>940</c:v>
                </c:pt>
                <c:pt idx="45">
                  <c:v>978</c:v>
                </c:pt>
                <c:pt idx="46">
                  <c:v>1070</c:v>
                </c:pt>
                <c:pt idx="47">
                  <c:v>1113</c:v>
                </c:pt>
                <c:pt idx="48">
                  <c:v>1173</c:v>
                </c:pt>
                <c:pt idx="49">
                  <c:v>1187</c:v>
                </c:pt>
              </c:numCache>
            </c:numRef>
          </c:xVal>
          <c:yVal>
            <c:numRef>
              <c:f>'[2]2.1 Multi-Linear Reg'!$E$5:$E$54</c:f>
              <c:numCache>
                <c:formatCode>General</c:formatCode>
                <c:ptCount val="50"/>
                <c:pt idx="0">
                  <c:v>495400</c:v>
                </c:pt>
                <c:pt idx="1">
                  <c:v>514810</c:v>
                </c:pt>
                <c:pt idx="2">
                  <c:v>404750</c:v>
                </c:pt>
                <c:pt idx="3">
                  <c:v>589510</c:v>
                </c:pt>
                <c:pt idx="4">
                  <c:v>376890</c:v>
                </c:pt>
                <c:pt idx="5">
                  <c:v>518750</c:v>
                </c:pt>
                <c:pt idx="6">
                  <c:v>495300</c:v>
                </c:pt>
                <c:pt idx="7">
                  <c:v>483430</c:v>
                </c:pt>
                <c:pt idx="8">
                  <c:v>712400</c:v>
                </c:pt>
                <c:pt idx="9">
                  <c:v>741130</c:v>
                </c:pt>
                <c:pt idx="10">
                  <c:v>579800</c:v>
                </c:pt>
                <c:pt idx="11">
                  <c:v>587550</c:v>
                </c:pt>
                <c:pt idx="12">
                  <c:v>626350</c:v>
                </c:pt>
                <c:pt idx="13">
                  <c:v>827920</c:v>
                </c:pt>
                <c:pt idx="14">
                  <c:v>719030</c:v>
                </c:pt>
                <c:pt idx="15">
                  <c:v>485470</c:v>
                </c:pt>
                <c:pt idx="16">
                  <c:v>821030</c:v>
                </c:pt>
                <c:pt idx="17">
                  <c:v>764660</c:v>
                </c:pt>
                <c:pt idx="18">
                  <c:v>773300</c:v>
                </c:pt>
                <c:pt idx="19">
                  <c:v>787650</c:v>
                </c:pt>
                <c:pt idx="20">
                  <c:v>904020</c:v>
                </c:pt>
                <c:pt idx="21">
                  <c:v>723870</c:v>
                </c:pt>
                <c:pt idx="22">
                  <c:v>793300</c:v>
                </c:pt>
                <c:pt idx="23">
                  <c:v>946060</c:v>
                </c:pt>
                <c:pt idx="24">
                  <c:v>1011380</c:v>
                </c:pt>
                <c:pt idx="25">
                  <c:v>1141430</c:v>
                </c:pt>
                <c:pt idx="26">
                  <c:v>925210</c:v>
                </c:pt>
                <c:pt idx="27">
                  <c:v>937750</c:v>
                </c:pt>
                <c:pt idx="28">
                  <c:v>1185810</c:v>
                </c:pt>
                <c:pt idx="29">
                  <c:v>1097780</c:v>
                </c:pt>
                <c:pt idx="30">
                  <c:v>1168520</c:v>
                </c:pt>
                <c:pt idx="31">
                  <c:v>1190110</c:v>
                </c:pt>
                <c:pt idx="32">
                  <c:v>955060</c:v>
                </c:pt>
                <c:pt idx="33">
                  <c:v>1059110</c:v>
                </c:pt>
                <c:pt idx="34">
                  <c:v>1030120</c:v>
                </c:pt>
                <c:pt idx="35">
                  <c:v>1210280</c:v>
                </c:pt>
                <c:pt idx="36">
                  <c:v>1159550</c:v>
                </c:pt>
                <c:pt idx="37">
                  <c:v>1313440</c:v>
                </c:pt>
                <c:pt idx="38">
                  <c:v>1172600</c:v>
                </c:pt>
                <c:pt idx="39">
                  <c:v>1356820</c:v>
                </c:pt>
                <c:pt idx="40">
                  <c:v>1217990</c:v>
                </c:pt>
                <c:pt idx="41">
                  <c:v>1284010</c:v>
                </c:pt>
                <c:pt idx="42">
                  <c:v>1112130</c:v>
                </c:pt>
                <c:pt idx="43">
                  <c:v>1279380</c:v>
                </c:pt>
                <c:pt idx="44">
                  <c:v>1721940</c:v>
                </c:pt>
                <c:pt idx="45">
                  <c:v>1438940</c:v>
                </c:pt>
                <c:pt idx="46">
                  <c:v>1304540</c:v>
                </c:pt>
                <c:pt idx="47">
                  <c:v>1546350</c:v>
                </c:pt>
                <c:pt idx="48">
                  <c:v>1721850</c:v>
                </c:pt>
                <c:pt idx="49">
                  <c:v>1551860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34-4DCD-9AB7-B5296D195AF7}"/>
            </c:ext>
          </c:extLst>
        </c:ser>
        <c:ser>
          <c:idx val="1"/>
          <c:order val="1"/>
          <c:tx>
            <c:v>Predicted Annual Basic Cash</c:v>
          </c:tx>
          <c:spPr>
            <a:ln w="28575">
              <a:solidFill>
                <a:srgbClr val="00B0F0"/>
              </a:solidFill>
            </a:ln>
          </c:spPr>
          <c:marker>
            <c:spPr>
              <a:solidFill>
                <a:srgbClr val="0070C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'[2]2.1 Multi-Linear Reg'!$B$5:$B$54</c:f>
              <c:numCache>
                <c:formatCode>General</c:formatCode>
                <c:ptCount val="50"/>
                <c:pt idx="0">
                  <c:v>90</c:v>
                </c:pt>
                <c:pt idx="1">
                  <c:v>105</c:v>
                </c:pt>
                <c:pt idx="2">
                  <c:v>122</c:v>
                </c:pt>
                <c:pt idx="3">
                  <c:v>133</c:v>
                </c:pt>
                <c:pt idx="4">
                  <c:v>150</c:v>
                </c:pt>
                <c:pt idx="5">
                  <c:v>164</c:v>
                </c:pt>
                <c:pt idx="6">
                  <c:v>170</c:v>
                </c:pt>
                <c:pt idx="7">
                  <c:v>200</c:v>
                </c:pt>
                <c:pt idx="8">
                  <c:v>205</c:v>
                </c:pt>
                <c:pt idx="9">
                  <c:v>211</c:v>
                </c:pt>
                <c:pt idx="10">
                  <c:v>225</c:v>
                </c:pt>
                <c:pt idx="11">
                  <c:v>231</c:v>
                </c:pt>
                <c:pt idx="12">
                  <c:v>261</c:v>
                </c:pt>
                <c:pt idx="13">
                  <c:v>269</c:v>
                </c:pt>
                <c:pt idx="14">
                  <c:v>281</c:v>
                </c:pt>
                <c:pt idx="15">
                  <c:v>289</c:v>
                </c:pt>
                <c:pt idx="16">
                  <c:v>302</c:v>
                </c:pt>
                <c:pt idx="17">
                  <c:v>328</c:v>
                </c:pt>
                <c:pt idx="18">
                  <c:v>334</c:v>
                </c:pt>
                <c:pt idx="19">
                  <c:v>369</c:v>
                </c:pt>
                <c:pt idx="20">
                  <c:v>372</c:v>
                </c:pt>
                <c:pt idx="21">
                  <c:v>389</c:v>
                </c:pt>
                <c:pt idx="22">
                  <c:v>399</c:v>
                </c:pt>
                <c:pt idx="23">
                  <c:v>439</c:v>
                </c:pt>
                <c:pt idx="24">
                  <c:v>445</c:v>
                </c:pt>
                <c:pt idx="25">
                  <c:v>532</c:v>
                </c:pt>
                <c:pt idx="26">
                  <c:v>564</c:v>
                </c:pt>
                <c:pt idx="27">
                  <c:v>568</c:v>
                </c:pt>
                <c:pt idx="28">
                  <c:v>575</c:v>
                </c:pt>
                <c:pt idx="29">
                  <c:v>580</c:v>
                </c:pt>
                <c:pt idx="30">
                  <c:v>631</c:v>
                </c:pt>
                <c:pt idx="31">
                  <c:v>653</c:v>
                </c:pt>
                <c:pt idx="32">
                  <c:v>673</c:v>
                </c:pt>
                <c:pt idx="33">
                  <c:v>733</c:v>
                </c:pt>
                <c:pt idx="34">
                  <c:v>735</c:v>
                </c:pt>
                <c:pt idx="35">
                  <c:v>736</c:v>
                </c:pt>
                <c:pt idx="36">
                  <c:v>744</c:v>
                </c:pt>
                <c:pt idx="37">
                  <c:v>748</c:v>
                </c:pt>
                <c:pt idx="38">
                  <c:v>748</c:v>
                </c:pt>
                <c:pt idx="39">
                  <c:v>749</c:v>
                </c:pt>
                <c:pt idx="40">
                  <c:v>780</c:v>
                </c:pt>
                <c:pt idx="41">
                  <c:v>780</c:v>
                </c:pt>
                <c:pt idx="42">
                  <c:v>783</c:v>
                </c:pt>
                <c:pt idx="43">
                  <c:v>897</c:v>
                </c:pt>
                <c:pt idx="44">
                  <c:v>940</c:v>
                </c:pt>
                <c:pt idx="45">
                  <c:v>978</c:v>
                </c:pt>
                <c:pt idx="46">
                  <c:v>1070</c:v>
                </c:pt>
                <c:pt idx="47">
                  <c:v>1113</c:v>
                </c:pt>
                <c:pt idx="48">
                  <c:v>1173</c:v>
                </c:pt>
                <c:pt idx="49">
                  <c:v>1187</c:v>
                </c:pt>
              </c:numCache>
            </c:numRef>
          </c:xVal>
          <c:yVal>
            <c:numRef>
              <c:f>'2.3 Reg Analysis Output'!$C$27:$C$76</c:f>
              <c:numCache>
                <c:formatCode>_(* #,##0_);_(* \(#,##0\);_(* "-"??_);_(@_)</c:formatCode>
                <c:ptCount val="50"/>
                <c:pt idx="0">
                  <c:v>534946.22836222546</c:v>
                </c:pt>
                <c:pt idx="1">
                  <c:v>541899.95784887741</c:v>
                </c:pt>
                <c:pt idx="2">
                  <c:v>533875.11340078653</c:v>
                </c:pt>
                <c:pt idx="3">
                  <c:v>539075.59935455583</c:v>
                </c:pt>
                <c:pt idx="4">
                  <c:v>509496.66564046877</c:v>
                </c:pt>
                <c:pt idx="5">
                  <c:v>590689.149024782</c:v>
                </c:pt>
                <c:pt idx="6">
                  <c:v>580849.25266837934</c:v>
                </c:pt>
                <c:pt idx="7">
                  <c:v>586204.25612104416</c:v>
                </c:pt>
                <c:pt idx="8">
                  <c:v>595211.02141998964</c:v>
                </c:pt>
                <c:pt idx="9">
                  <c:v>663419.98962503381</c:v>
                </c:pt>
                <c:pt idx="10">
                  <c:v>615727.560706469</c:v>
                </c:pt>
                <c:pt idx="11">
                  <c:v>643544.21431672201</c:v>
                </c:pt>
                <c:pt idx="12">
                  <c:v>663666.3478970658</c:v>
                </c:pt>
                <c:pt idx="13">
                  <c:v>751504.17831817735</c:v>
                </c:pt>
                <c:pt idx="14">
                  <c:v>729871.32127901947</c:v>
                </c:pt>
                <c:pt idx="15">
                  <c:v>679133.60194684914</c:v>
                </c:pt>
                <c:pt idx="16">
                  <c:v>719920.09852901404</c:v>
                </c:pt>
                <c:pt idx="17">
                  <c:v>734483.21585171623</c:v>
                </c:pt>
                <c:pt idx="18">
                  <c:v>725768.6039440711</c:v>
                </c:pt>
                <c:pt idx="19">
                  <c:v>779924.36136632552</c:v>
                </c:pt>
                <c:pt idx="20">
                  <c:v>811637.69302488002</c:v>
                </c:pt>
                <c:pt idx="21">
                  <c:v>789359.77949271339</c:v>
                </c:pt>
                <c:pt idx="22">
                  <c:v>775155.36799285049</c:v>
                </c:pt>
                <c:pt idx="23">
                  <c:v>883812.49294813117</c:v>
                </c:pt>
                <c:pt idx="24">
                  <c:v>868304.41155395133</c:v>
                </c:pt>
                <c:pt idx="25">
                  <c:v>893458.91639744397</c:v>
                </c:pt>
                <c:pt idx="26">
                  <c:v>1001325.6646550151</c:v>
                </c:pt>
                <c:pt idx="27">
                  <c:v>992056.010515481</c:v>
                </c:pt>
                <c:pt idx="28">
                  <c:v>987028.55194805493</c:v>
                </c:pt>
                <c:pt idx="29">
                  <c:v>1042897.5553642944</c:v>
                </c:pt>
                <c:pt idx="30">
                  <c:v>1086650.8506092045</c:v>
                </c:pt>
                <c:pt idx="31">
                  <c:v>1088182.4545957169</c:v>
                </c:pt>
                <c:pt idx="32">
                  <c:v>1082986.720614427</c:v>
                </c:pt>
                <c:pt idx="33">
                  <c:v>1074076.1715354607</c:v>
                </c:pt>
                <c:pt idx="34">
                  <c:v>1213423.3199930727</c:v>
                </c:pt>
                <c:pt idx="35">
                  <c:v>1195242.5420178762</c:v>
                </c:pt>
                <c:pt idx="36">
                  <c:v>1168522.7205398353</c:v>
                </c:pt>
                <c:pt idx="37">
                  <c:v>1204935.35979384</c:v>
                </c:pt>
                <c:pt idx="38">
                  <c:v>1152980.4147364413</c:v>
                </c:pt>
                <c:pt idx="39">
                  <c:v>1190796.4420604953</c:v>
                </c:pt>
                <c:pt idx="40">
                  <c:v>1231005.8174683074</c:v>
                </c:pt>
                <c:pt idx="41">
                  <c:v>1202056.7392252348</c:v>
                </c:pt>
                <c:pt idx="42">
                  <c:v>1245358.7427392663</c:v>
                </c:pt>
                <c:pt idx="43">
                  <c:v>1380948.7584849996</c:v>
                </c:pt>
                <c:pt idx="44">
                  <c:v>1724864.2411358801</c:v>
                </c:pt>
                <c:pt idx="45">
                  <c:v>1413424.4443909097</c:v>
                </c:pt>
                <c:pt idx="46">
                  <c:v>1381012.3916338515</c:v>
                </c:pt>
                <c:pt idx="47">
                  <c:v>1599092.0757976994</c:v>
                </c:pt>
                <c:pt idx="48">
                  <c:v>1694848.075742444</c:v>
                </c:pt>
                <c:pt idx="49">
                  <c:v>1671684.5353706437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34-4DCD-9AB7-B5296D195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417104"/>
        <c:axId val="1729416688"/>
      </c:scatterChart>
      <c:valAx>
        <c:axId val="1729417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ZA"/>
                  <a:t>Organization Revenue in $m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9416688"/>
        <c:crosses val="autoZero"/>
        <c:crossBetween val="midCat"/>
      </c:valAx>
      <c:valAx>
        <c:axId val="17294166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ZA"/>
                  <a:t>Annual Basic Cash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941710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accent2"/>
                </a:solidFill>
              </a:defRPr>
            </a:pPr>
            <a:r>
              <a:rPr lang="en-ZA" sz="1600">
                <a:solidFill>
                  <a:schemeClr val="accent2"/>
                </a:solidFill>
              </a:rPr>
              <a:t>Payroll Costs excluding CEO Line Fit  Plot</a:t>
            </a:r>
          </a:p>
        </c:rich>
      </c:tx>
      <c:layout>
        <c:manualLayout>
          <c:xMode val="edge"/>
          <c:yMode val="edge"/>
          <c:x val="0.17142178910544731"/>
          <c:y val="2.0998677248677249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Annual Basic Cash</c:v>
          </c:tx>
          <c:spPr>
            <a:ln w="28575">
              <a:solidFill>
                <a:schemeClr val="accent6"/>
              </a:solidFill>
            </a:ln>
          </c:spPr>
          <c:marker>
            <c:spPr>
              <a:solidFill>
                <a:srgbClr val="FFFF00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'[2]2.1 Multi-Linear Reg'!$C$5:$C$54</c:f>
              <c:numCache>
                <c:formatCode>General</c:formatCode>
                <c:ptCount val="50"/>
                <c:pt idx="0">
                  <c:v>15.9</c:v>
                </c:pt>
                <c:pt idx="1">
                  <c:v>16.899999999999999</c:v>
                </c:pt>
                <c:pt idx="2">
                  <c:v>19.5</c:v>
                </c:pt>
                <c:pt idx="3">
                  <c:v>23.9</c:v>
                </c:pt>
                <c:pt idx="4">
                  <c:v>17.8</c:v>
                </c:pt>
                <c:pt idx="5">
                  <c:v>41</c:v>
                </c:pt>
                <c:pt idx="6">
                  <c:v>34.1</c:v>
                </c:pt>
                <c:pt idx="7">
                  <c:v>36.5</c:v>
                </c:pt>
                <c:pt idx="8">
                  <c:v>51.4</c:v>
                </c:pt>
                <c:pt idx="9">
                  <c:v>33.700000000000003</c:v>
                </c:pt>
                <c:pt idx="10">
                  <c:v>36</c:v>
                </c:pt>
                <c:pt idx="11">
                  <c:v>57.9</c:v>
                </c:pt>
                <c:pt idx="12">
                  <c:v>60.1</c:v>
                </c:pt>
                <c:pt idx="13">
                  <c:v>67.3</c:v>
                </c:pt>
                <c:pt idx="14">
                  <c:v>69.900000000000006</c:v>
                </c:pt>
                <c:pt idx="15">
                  <c:v>59.2</c:v>
                </c:pt>
                <c:pt idx="16">
                  <c:v>60.3</c:v>
                </c:pt>
                <c:pt idx="17">
                  <c:v>68.8</c:v>
                </c:pt>
                <c:pt idx="18">
                  <c:v>50.2</c:v>
                </c:pt>
                <c:pt idx="19">
                  <c:v>62.8</c:v>
                </c:pt>
                <c:pt idx="20">
                  <c:v>59.5</c:v>
                </c:pt>
                <c:pt idx="21">
                  <c:v>76.400000000000006</c:v>
                </c:pt>
                <c:pt idx="22">
                  <c:v>87.8</c:v>
                </c:pt>
                <c:pt idx="23">
                  <c:v>96.7</c:v>
                </c:pt>
                <c:pt idx="24">
                  <c:v>80.099999999999994</c:v>
                </c:pt>
                <c:pt idx="25">
                  <c:v>85</c:v>
                </c:pt>
                <c:pt idx="26">
                  <c:v>95.9</c:v>
                </c:pt>
                <c:pt idx="27">
                  <c:v>116.1</c:v>
                </c:pt>
                <c:pt idx="28">
                  <c:v>86.2</c:v>
                </c:pt>
                <c:pt idx="29">
                  <c:v>110.1</c:v>
                </c:pt>
                <c:pt idx="30">
                  <c:v>138.69999999999999</c:v>
                </c:pt>
                <c:pt idx="31">
                  <c:v>156.69999999999999</c:v>
                </c:pt>
                <c:pt idx="32">
                  <c:v>127</c:v>
                </c:pt>
                <c:pt idx="33">
                  <c:v>139.4</c:v>
                </c:pt>
                <c:pt idx="34">
                  <c:v>139.6</c:v>
                </c:pt>
                <c:pt idx="35">
                  <c:v>169.3</c:v>
                </c:pt>
                <c:pt idx="36">
                  <c:v>185.9</c:v>
                </c:pt>
                <c:pt idx="37">
                  <c:v>149.5</c:v>
                </c:pt>
                <c:pt idx="38">
                  <c:v>149.5</c:v>
                </c:pt>
                <c:pt idx="39">
                  <c:v>164.7</c:v>
                </c:pt>
                <c:pt idx="40">
                  <c:v>137.80000000000001</c:v>
                </c:pt>
                <c:pt idx="41">
                  <c:v>156</c:v>
                </c:pt>
                <c:pt idx="42">
                  <c:v>148.69999999999999</c:v>
                </c:pt>
                <c:pt idx="43">
                  <c:v>198.3</c:v>
                </c:pt>
                <c:pt idx="44">
                  <c:v>240</c:v>
                </c:pt>
                <c:pt idx="45">
                  <c:v>176</c:v>
                </c:pt>
                <c:pt idx="46">
                  <c:v>192.5</c:v>
                </c:pt>
                <c:pt idx="47">
                  <c:v>218.8</c:v>
                </c:pt>
                <c:pt idx="48">
                  <c:v>222.8</c:v>
                </c:pt>
                <c:pt idx="49">
                  <c:v>225.6</c:v>
                </c:pt>
              </c:numCache>
            </c:numRef>
          </c:xVal>
          <c:yVal>
            <c:numRef>
              <c:f>'[2]2.1 Multi-Linear Reg'!$E$5:$E$54</c:f>
              <c:numCache>
                <c:formatCode>General</c:formatCode>
                <c:ptCount val="50"/>
                <c:pt idx="0">
                  <c:v>495400</c:v>
                </c:pt>
                <c:pt idx="1">
                  <c:v>514810</c:v>
                </c:pt>
                <c:pt idx="2">
                  <c:v>404750</c:v>
                </c:pt>
                <c:pt idx="3">
                  <c:v>589510</c:v>
                </c:pt>
                <c:pt idx="4">
                  <c:v>376890</c:v>
                </c:pt>
                <c:pt idx="5">
                  <c:v>518750</c:v>
                </c:pt>
                <c:pt idx="6">
                  <c:v>495300</c:v>
                </c:pt>
                <c:pt idx="7">
                  <c:v>483430</c:v>
                </c:pt>
                <c:pt idx="8">
                  <c:v>712400</c:v>
                </c:pt>
                <c:pt idx="9">
                  <c:v>741130</c:v>
                </c:pt>
                <c:pt idx="10">
                  <c:v>579800</c:v>
                </c:pt>
                <c:pt idx="11">
                  <c:v>587550</c:v>
                </c:pt>
                <c:pt idx="12">
                  <c:v>626350</c:v>
                </c:pt>
                <c:pt idx="13">
                  <c:v>827920</c:v>
                </c:pt>
                <c:pt idx="14">
                  <c:v>719030</c:v>
                </c:pt>
                <c:pt idx="15">
                  <c:v>485470</c:v>
                </c:pt>
                <c:pt idx="16">
                  <c:v>821030</c:v>
                </c:pt>
                <c:pt idx="17">
                  <c:v>764660</c:v>
                </c:pt>
                <c:pt idx="18">
                  <c:v>773300</c:v>
                </c:pt>
                <c:pt idx="19">
                  <c:v>787650</c:v>
                </c:pt>
                <c:pt idx="20">
                  <c:v>904020</c:v>
                </c:pt>
                <c:pt idx="21">
                  <c:v>723870</c:v>
                </c:pt>
                <c:pt idx="22">
                  <c:v>793300</c:v>
                </c:pt>
                <c:pt idx="23">
                  <c:v>946060</c:v>
                </c:pt>
                <c:pt idx="24">
                  <c:v>1011380</c:v>
                </c:pt>
                <c:pt idx="25">
                  <c:v>1141430</c:v>
                </c:pt>
                <c:pt idx="26">
                  <c:v>925210</c:v>
                </c:pt>
                <c:pt idx="27">
                  <c:v>937750</c:v>
                </c:pt>
                <c:pt idx="28">
                  <c:v>1185810</c:v>
                </c:pt>
                <c:pt idx="29">
                  <c:v>1097780</c:v>
                </c:pt>
                <c:pt idx="30">
                  <c:v>1168520</c:v>
                </c:pt>
                <c:pt idx="31">
                  <c:v>1190110</c:v>
                </c:pt>
                <c:pt idx="32">
                  <c:v>955060</c:v>
                </c:pt>
                <c:pt idx="33">
                  <c:v>1059110</c:v>
                </c:pt>
                <c:pt idx="34">
                  <c:v>1030120</c:v>
                </c:pt>
                <c:pt idx="35">
                  <c:v>1210280</c:v>
                </c:pt>
                <c:pt idx="36">
                  <c:v>1159550</c:v>
                </c:pt>
                <c:pt idx="37">
                  <c:v>1313440</c:v>
                </c:pt>
                <c:pt idx="38">
                  <c:v>1172600</c:v>
                </c:pt>
                <c:pt idx="39">
                  <c:v>1356820</c:v>
                </c:pt>
                <c:pt idx="40">
                  <c:v>1217990</c:v>
                </c:pt>
                <c:pt idx="41">
                  <c:v>1284010</c:v>
                </c:pt>
                <c:pt idx="42">
                  <c:v>1112130</c:v>
                </c:pt>
                <c:pt idx="43">
                  <c:v>1279380</c:v>
                </c:pt>
                <c:pt idx="44">
                  <c:v>1721940</c:v>
                </c:pt>
                <c:pt idx="45">
                  <c:v>1438940</c:v>
                </c:pt>
                <c:pt idx="46">
                  <c:v>1304540</c:v>
                </c:pt>
                <c:pt idx="47">
                  <c:v>1546350</c:v>
                </c:pt>
                <c:pt idx="48">
                  <c:v>1721850</c:v>
                </c:pt>
                <c:pt idx="49">
                  <c:v>1551860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C7-455E-85F2-45A59D1E04C8}"/>
            </c:ext>
          </c:extLst>
        </c:ser>
        <c:ser>
          <c:idx val="1"/>
          <c:order val="1"/>
          <c:tx>
            <c:v>Predicted Annual Basic Cash</c:v>
          </c:tx>
          <c:spPr>
            <a:ln w="28575">
              <a:solidFill>
                <a:srgbClr val="FFC000"/>
              </a:solidFill>
            </a:ln>
          </c:spPr>
          <c:marker>
            <c:spPr>
              <a:solidFill>
                <a:schemeClr val="accent2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'[2]2.1 Multi-Linear Reg'!$C$5:$C$54</c:f>
              <c:numCache>
                <c:formatCode>General</c:formatCode>
                <c:ptCount val="50"/>
                <c:pt idx="0">
                  <c:v>15.9</c:v>
                </c:pt>
                <c:pt idx="1">
                  <c:v>16.899999999999999</c:v>
                </c:pt>
                <c:pt idx="2">
                  <c:v>19.5</c:v>
                </c:pt>
                <c:pt idx="3">
                  <c:v>23.9</c:v>
                </c:pt>
                <c:pt idx="4">
                  <c:v>17.8</c:v>
                </c:pt>
                <c:pt idx="5">
                  <c:v>41</c:v>
                </c:pt>
                <c:pt idx="6">
                  <c:v>34.1</c:v>
                </c:pt>
                <c:pt idx="7">
                  <c:v>36.5</c:v>
                </c:pt>
                <c:pt idx="8">
                  <c:v>51.4</c:v>
                </c:pt>
                <c:pt idx="9">
                  <c:v>33.700000000000003</c:v>
                </c:pt>
                <c:pt idx="10">
                  <c:v>36</c:v>
                </c:pt>
                <c:pt idx="11">
                  <c:v>57.9</c:v>
                </c:pt>
                <c:pt idx="12">
                  <c:v>60.1</c:v>
                </c:pt>
                <c:pt idx="13">
                  <c:v>67.3</c:v>
                </c:pt>
                <c:pt idx="14">
                  <c:v>69.900000000000006</c:v>
                </c:pt>
                <c:pt idx="15">
                  <c:v>59.2</c:v>
                </c:pt>
                <c:pt idx="16">
                  <c:v>60.3</c:v>
                </c:pt>
                <c:pt idx="17">
                  <c:v>68.8</c:v>
                </c:pt>
                <c:pt idx="18">
                  <c:v>50.2</c:v>
                </c:pt>
                <c:pt idx="19">
                  <c:v>62.8</c:v>
                </c:pt>
                <c:pt idx="20">
                  <c:v>59.5</c:v>
                </c:pt>
                <c:pt idx="21">
                  <c:v>76.400000000000006</c:v>
                </c:pt>
                <c:pt idx="22">
                  <c:v>87.8</c:v>
                </c:pt>
                <c:pt idx="23">
                  <c:v>96.7</c:v>
                </c:pt>
                <c:pt idx="24">
                  <c:v>80.099999999999994</c:v>
                </c:pt>
                <c:pt idx="25">
                  <c:v>85</c:v>
                </c:pt>
                <c:pt idx="26">
                  <c:v>95.9</c:v>
                </c:pt>
                <c:pt idx="27">
                  <c:v>116.1</c:v>
                </c:pt>
                <c:pt idx="28">
                  <c:v>86.2</c:v>
                </c:pt>
                <c:pt idx="29">
                  <c:v>110.1</c:v>
                </c:pt>
                <c:pt idx="30">
                  <c:v>138.69999999999999</c:v>
                </c:pt>
                <c:pt idx="31">
                  <c:v>156.69999999999999</c:v>
                </c:pt>
                <c:pt idx="32">
                  <c:v>127</c:v>
                </c:pt>
                <c:pt idx="33">
                  <c:v>139.4</c:v>
                </c:pt>
                <c:pt idx="34">
                  <c:v>139.6</c:v>
                </c:pt>
                <c:pt idx="35">
                  <c:v>169.3</c:v>
                </c:pt>
                <c:pt idx="36">
                  <c:v>185.9</c:v>
                </c:pt>
                <c:pt idx="37">
                  <c:v>149.5</c:v>
                </c:pt>
                <c:pt idx="38">
                  <c:v>149.5</c:v>
                </c:pt>
                <c:pt idx="39">
                  <c:v>164.7</c:v>
                </c:pt>
                <c:pt idx="40">
                  <c:v>137.80000000000001</c:v>
                </c:pt>
                <c:pt idx="41">
                  <c:v>156</c:v>
                </c:pt>
                <c:pt idx="42">
                  <c:v>148.69999999999999</c:v>
                </c:pt>
                <c:pt idx="43">
                  <c:v>198.3</c:v>
                </c:pt>
                <c:pt idx="44">
                  <c:v>240</c:v>
                </c:pt>
                <c:pt idx="45">
                  <c:v>176</c:v>
                </c:pt>
                <c:pt idx="46">
                  <c:v>192.5</c:v>
                </c:pt>
                <c:pt idx="47">
                  <c:v>218.8</c:v>
                </c:pt>
                <c:pt idx="48">
                  <c:v>222.8</c:v>
                </c:pt>
                <c:pt idx="49">
                  <c:v>225.6</c:v>
                </c:pt>
              </c:numCache>
            </c:numRef>
          </c:xVal>
          <c:yVal>
            <c:numRef>
              <c:f>'2.3 Reg Analysis Output'!$C$27:$C$76</c:f>
              <c:numCache>
                <c:formatCode>_(* #,##0_);_(* \(#,##0\);_(* "-"??_);_(@_)</c:formatCode>
                <c:ptCount val="50"/>
                <c:pt idx="0">
                  <c:v>534946.22836222546</c:v>
                </c:pt>
                <c:pt idx="1">
                  <c:v>541899.95784887741</c:v>
                </c:pt>
                <c:pt idx="2">
                  <c:v>533875.11340078653</c:v>
                </c:pt>
                <c:pt idx="3">
                  <c:v>539075.59935455583</c:v>
                </c:pt>
                <c:pt idx="4">
                  <c:v>509496.66564046877</c:v>
                </c:pt>
                <c:pt idx="5">
                  <c:v>590689.149024782</c:v>
                </c:pt>
                <c:pt idx="6">
                  <c:v>580849.25266837934</c:v>
                </c:pt>
                <c:pt idx="7">
                  <c:v>586204.25612104416</c:v>
                </c:pt>
                <c:pt idx="8">
                  <c:v>595211.02141998964</c:v>
                </c:pt>
                <c:pt idx="9">
                  <c:v>663419.98962503381</c:v>
                </c:pt>
                <c:pt idx="10">
                  <c:v>615727.560706469</c:v>
                </c:pt>
                <c:pt idx="11">
                  <c:v>643544.21431672201</c:v>
                </c:pt>
                <c:pt idx="12">
                  <c:v>663666.3478970658</c:v>
                </c:pt>
                <c:pt idx="13">
                  <c:v>751504.17831817735</c:v>
                </c:pt>
                <c:pt idx="14">
                  <c:v>729871.32127901947</c:v>
                </c:pt>
                <c:pt idx="15">
                  <c:v>679133.60194684914</c:v>
                </c:pt>
                <c:pt idx="16">
                  <c:v>719920.09852901404</c:v>
                </c:pt>
                <c:pt idx="17">
                  <c:v>734483.21585171623</c:v>
                </c:pt>
                <c:pt idx="18">
                  <c:v>725768.6039440711</c:v>
                </c:pt>
                <c:pt idx="19">
                  <c:v>779924.36136632552</c:v>
                </c:pt>
                <c:pt idx="20">
                  <c:v>811637.69302488002</c:v>
                </c:pt>
                <c:pt idx="21">
                  <c:v>789359.77949271339</c:v>
                </c:pt>
                <c:pt idx="22">
                  <c:v>775155.36799285049</c:v>
                </c:pt>
                <c:pt idx="23">
                  <c:v>883812.49294813117</c:v>
                </c:pt>
                <c:pt idx="24">
                  <c:v>868304.41155395133</c:v>
                </c:pt>
                <c:pt idx="25">
                  <c:v>893458.91639744397</c:v>
                </c:pt>
                <c:pt idx="26">
                  <c:v>1001325.6646550151</c:v>
                </c:pt>
                <c:pt idx="27">
                  <c:v>992056.010515481</c:v>
                </c:pt>
                <c:pt idx="28">
                  <c:v>987028.55194805493</c:v>
                </c:pt>
                <c:pt idx="29">
                  <c:v>1042897.5553642944</c:v>
                </c:pt>
                <c:pt idx="30">
                  <c:v>1086650.8506092045</c:v>
                </c:pt>
                <c:pt idx="31">
                  <c:v>1088182.4545957169</c:v>
                </c:pt>
                <c:pt idx="32">
                  <c:v>1082986.720614427</c:v>
                </c:pt>
                <c:pt idx="33">
                  <c:v>1074076.1715354607</c:v>
                </c:pt>
                <c:pt idx="34">
                  <c:v>1213423.3199930727</c:v>
                </c:pt>
                <c:pt idx="35">
                  <c:v>1195242.5420178762</c:v>
                </c:pt>
                <c:pt idx="36">
                  <c:v>1168522.7205398353</c:v>
                </c:pt>
                <c:pt idx="37">
                  <c:v>1204935.35979384</c:v>
                </c:pt>
                <c:pt idx="38">
                  <c:v>1152980.4147364413</c:v>
                </c:pt>
                <c:pt idx="39">
                  <c:v>1190796.4420604953</c:v>
                </c:pt>
                <c:pt idx="40">
                  <c:v>1231005.8174683074</c:v>
                </c:pt>
                <c:pt idx="41">
                  <c:v>1202056.7392252348</c:v>
                </c:pt>
                <c:pt idx="42">
                  <c:v>1245358.7427392663</c:v>
                </c:pt>
                <c:pt idx="43">
                  <c:v>1380948.7584849996</c:v>
                </c:pt>
                <c:pt idx="44">
                  <c:v>1724864.2411358801</c:v>
                </c:pt>
                <c:pt idx="45">
                  <c:v>1413424.4443909097</c:v>
                </c:pt>
                <c:pt idx="46">
                  <c:v>1381012.3916338515</c:v>
                </c:pt>
                <c:pt idx="47">
                  <c:v>1599092.0757976994</c:v>
                </c:pt>
                <c:pt idx="48">
                  <c:v>1694848.075742444</c:v>
                </c:pt>
                <c:pt idx="49">
                  <c:v>1671684.5353706437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C7-455E-85F2-45A59D1E0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9169280"/>
        <c:axId val="2009169696"/>
      </c:scatterChart>
      <c:valAx>
        <c:axId val="2009169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ZA"/>
                  <a:t>Salary and Wage bill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09169696"/>
        <c:crosses val="autoZero"/>
        <c:crossBetween val="midCat"/>
      </c:valAx>
      <c:valAx>
        <c:axId val="20091696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ZA"/>
                  <a:t>Annual Basic Cash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0916928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FF0000"/>
                </a:solidFill>
              </a:defRPr>
            </a:pPr>
            <a:r>
              <a:rPr lang="en-ZA" sz="1600">
                <a:solidFill>
                  <a:srgbClr val="FF0000"/>
                </a:solidFill>
              </a:rPr>
              <a:t>EBITDA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Annual Basic Cash</c:v>
          </c:tx>
          <c:spPr>
            <a:ln w="28575">
              <a:solidFill>
                <a:schemeClr val="accent6"/>
              </a:solidFill>
            </a:ln>
          </c:spPr>
          <c:marker>
            <c:spPr>
              <a:solidFill>
                <a:srgbClr val="FFFF00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'[2]2.1 Multi-Linear Reg'!$D$5:$D$54</c:f>
              <c:numCache>
                <c:formatCode>General</c:formatCode>
                <c:ptCount val="50"/>
                <c:pt idx="0">
                  <c:v>11.8</c:v>
                </c:pt>
                <c:pt idx="1">
                  <c:v>12.2</c:v>
                </c:pt>
                <c:pt idx="2">
                  <c:v>10.9</c:v>
                </c:pt>
                <c:pt idx="3">
                  <c:v>10.8</c:v>
                </c:pt>
                <c:pt idx="4">
                  <c:v>8.3000000000000007</c:v>
                </c:pt>
                <c:pt idx="5">
                  <c:v>13.7</c:v>
                </c:pt>
                <c:pt idx="6">
                  <c:v>13.4</c:v>
                </c:pt>
                <c:pt idx="7">
                  <c:v>13.3</c:v>
                </c:pt>
                <c:pt idx="8">
                  <c:v>12.5</c:v>
                </c:pt>
                <c:pt idx="9">
                  <c:v>21.2</c:v>
                </c:pt>
                <c:pt idx="10">
                  <c:v>16</c:v>
                </c:pt>
                <c:pt idx="11">
                  <c:v>16.3</c:v>
                </c:pt>
                <c:pt idx="12">
                  <c:v>17.7</c:v>
                </c:pt>
                <c:pt idx="13">
                  <c:v>25.6</c:v>
                </c:pt>
                <c:pt idx="14">
                  <c:v>23</c:v>
                </c:pt>
                <c:pt idx="15">
                  <c:v>19</c:v>
                </c:pt>
                <c:pt idx="16">
                  <c:v>22.8</c:v>
                </c:pt>
                <c:pt idx="17">
                  <c:v>23</c:v>
                </c:pt>
                <c:pt idx="18">
                  <c:v>24.1</c:v>
                </c:pt>
                <c:pt idx="19">
                  <c:v>27.7</c:v>
                </c:pt>
                <c:pt idx="20">
                  <c:v>31.2</c:v>
                </c:pt>
                <c:pt idx="21">
                  <c:v>26.9</c:v>
                </c:pt>
                <c:pt idx="22">
                  <c:v>24.1</c:v>
                </c:pt>
                <c:pt idx="23">
                  <c:v>33.5</c:v>
                </c:pt>
                <c:pt idx="24">
                  <c:v>33.700000000000003</c:v>
                </c:pt>
                <c:pt idx="25">
                  <c:v>34.6</c:v>
                </c:pt>
                <c:pt idx="26">
                  <c:v>43.8</c:v>
                </c:pt>
                <c:pt idx="27">
                  <c:v>40.6</c:v>
                </c:pt>
                <c:pt idx="28">
                  <c:v>43.3</c:v>
                </c:pt>
                <c:pt idx="29">
                  <c:v>46.2</c:v>
                </c:pt>
                <c:pt idx="30">
                  <c:v>46.8</c:v>
                </c:pt>
                <c:pt idx="31">
                  <c:v>44.7</c:v>
                </c:pt>
                <c:pt idx="32">
                  <c:v>47.2</c:v>
                </c:pt>
                <c:pt idx="33">
                  <c:v>44.2</c:v>
                </c:pt>
                <c:pt idx="34">
                  <c:v>58.1</c:v>
                </c:pt>
                <c:pt idx="35">
                  <c:v>53</c:v>
                </c:pt>
                <c:pt idx="36">
                  <c:v>48.4</c:v>
                </c:pt>
                <c:pt idx="37">
                  <c:v>56</c:v>
                </c:pt>
                <c:pt idx="38">
                  <c:v>50.8</c:v>
                </c:pt>
                <c:pt idx="39">
                  <c:v>52.9</c:v>
                </c:pt>
                <c:pt idx="40">
                  <c:v>59.5</c:v>
                </c:pt>
                <c:pt idx="41">
                  <c:v>54.6</c:v>
                </c:pt>
                <c:pt idx="42">
                  <c:v>59.7</c:v>
                </c:pt>
                <c:pt idx="43">
                  <c:v>66.400000000000006</c:v>
                </c:pt>
                <c:pt idx="44">
                  <c:v>95.7</c:v>
                </c:pt>
                <c:pt idx="45">
                  <c:v>71.099999999999994</c:v>
                </c:pt>
                <c:pt idx="46">
                  <c:v>64.900000000000006</c:v>
                </c:pt>
                <c:pt idx="47">
                  <c:v>83.3</c:v>
                </c:pt>
                <c:pt idx="48">
                  <c:v>91.7</c:v>
                </c:pt>
                <c:pt idx="49">
                  <c:v>88.9</c:v>
                </c:pt>
              </c:numCache>
            </c:numRef>
          </c:xVal>
          <c:yVal>
            <c:numRef>
              <c:f>'[2]2.1 Multi-Linear Reg'!$E$5:$E$54</c:f>
              <c:numCache>
                <c:formatCode>General</c:formatCode>
                <c:ptCount val="50"/>
                <c:pt idx="0">
                  <c:v>495400</c:v>
                </c:pt>
                <c:pt idx="1">
                  <c:v>514810</c:v>
                </c:pt>
                <c:pt idx="2">
                  <c:v>404750</c:v>
                </c:pt>
                <c:pt idx="3">
                  <c:v>589510</c:v>
                </c:pt>
                <c:pt idx="4">
                  <c:v>376890</c:v>
                </c:pt>
                <c:pt idx="5">
                  <c:v>518750</c:v>
                </c:pt>
                <c:pt idx="6">
                  <c:v>495300</c:v>
                </c:pt>
                <c:pt idx="7">
                  <c:v>483430</c:v>
                </c:pt>
                <c:pt idx="8">
                  <c:v>712400</c:v>
                </c:pt>
                <c:pt idx="9">
                  <c:v>741130</c:v>
                </c:pt>
                <c:pt idx="10">
                  <c:v>579800</c:v>
                </c:pt>
                <c:pt idx="11">
                  <c:v>587550</c:v>
                </c:pt>
                <c:pt idx="12">
                  <c:v>626350</c:v>
                </c:pt>
                <c:pt idx="13">
                  <c:v>827920</c:v>
                </c:pt>
                <c:pt idx="14">
                  <c:v>719030</c:v>
                </c:pt>
                <c:pt idx="15">
                  <c:v>485470</c:v>
                </c:pt>
                <c:pt idx="16">
                  <c:v>821030</c:v>
                </c:pt>
                <c:pt idx="17">
                  <c:v>764660</c:v>
                </c:pt>
                <c:pt idx="18">
                  <c:v>773300</c:v>
                </c:pt>
                <c:pt idx="19">
                  <c:v>787650</c:v>
                </c:pt>
                <c:pt idx="20">
                  <c:v>904020</c:v>
                </c:pt>
                <c:pt idx="21">
                  <c:v>723870</c:v>
                </c:pt>
                <c:pt idx="22">
                  <c:v>793300</c:v>
                </c:pt>
                <c:pt idx="23">
                  <c:v>946060</c:v>
                </c:pt>
                <c:pt idx="24">
                  <c:v>1011380</c:v>
                </c:pt>
                <c:pt idx="25">
                  <c:v>1141430</c:v>
                </c:pt>
                <c:pt idx="26">
                  <c:v>925210</c:v>
                </c:pt>
                <c:pt idx="27">
                  <c:v>937750</c:v>
                </c:pt>
                <c:pt idx="28">
                  <c:v>1185810</c:v>
                </c:pt>
                <c:pt idx="29">
                  <c:v>1097780</c:v>
                </c:pt>
                <c:pt idx="30">
                  <c:v>1168520</c:v>
                </c:pt>
                <c:pt idx="31">
                  <c:v>1190110</c:v>
                </c:pt>
                <c:pt idx="32">
                  <c:v>955060</c:v>
                </c:pt>
                <c:pt idx="33">
                  <c:v>1059110</c:v>
                </c:pt>
                <c:pt idx="34">
                  <c:v>1030120</c:v>
                </c:pt>
                <c:pt idx="35">
                  <c:v>1210280</c:v>
                </c:pt>
                <c:pt idx="36">
                  <c:v>1159550</c:v>
                </c:pt>
                <c:pt idx="37">
                  <c:v>1313440</c:v>
                </c:pt>
                <c:pt idx="38">
                  <c:v>1172600</c:v>
                </c:pt>
                <c:pt idx="39">
                  <c:v>1356820</c:v>
                </c:pt>
                <c:pt idx="40">
                  <c:v>1217990</c:v>
                </c:pt>
                <c:pt idx="41">
                  <c:v>1284010</c:v>
                </c:pt>
                <c:pt idx="42">
                  <c:v>1112130</c:v>
                </c:pt>
                <c:pt idx="43">
                  <c:v>1279380</c:v>
                </c:pt>
                <c:pt idx="44">
                  <c:v>1721940</c:v>
                </c:pt>
                <c:pt idx="45">
                  <c:v>1438940</c:v>
                </c:pt>
                <c:pt idx="46">
                  <c:v>1304540</c:v>
                </c:pt>
                <c:pt idx="47">
                  <c:v>1546350</c:v>
                </c:pt>
                <c:pt idx="48">
                  <c:v>1721850</c:v>
                </c:pt>
                <c:pt idx="49">
                  <c:v>1551860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F9-4EA8-8986-1D187655271E}"/>
            </c:ext>
          </c:extLst>
        </c:ser>
        <c:ser>
          <c:idx val="1"/>
          <c:order val="1"/>
          <c:tx>
            <c:v>Predicted Annual Basic Cash</c:v>
          </c:tx>
          <c:spPr>
            <a:ln w="28575">
              <a:solidFill>
                <a:srgbClr val="FF0000"/>
              </a:solidFill>
            </a:ln>
          </c:spPr>
          <c:marker>
            <c:spPr>
              <a:solidFill>
                <a:srgbClr val="C0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'[2]2.1 Multi-Linear Reg'!$D$5:$D$54</c:f>
              <c:numCache>
                <c:formatCode>General</c:formatCode>
                <c:ptCount val="50"/>
                <c:pt idx="0">
                  <c:v>11.8</c:v>
                </c:pt>
                <c:pt idx="1">
                  <c:v>12.2</c:v>
                </c:pt>
                <c:pt idx="2">
                  <c:v>10.9</c:v>
                </c:pt>
                <c:pt idx="3">
                  <c:v>10.8</c:v>
                </c:pt>
                <c:pt idx="4">
                  <c:v>8.3000000000000007</c:v>
                </c:pt>
                <c:pt idx="5">
                  <c:v>13.7</c:v>
                </c:pt>
                <c:pt idx="6">
                  <c:v>13.4</c:v>
                </c:pt>
                <c:pt idx="7">
                  <c:v>13.3</c:v>
                </c:pt>
                <c:pt idx="8">
                  <c:v>12.5</c:v>
                </c:pt>
                <c:pt idx="9">
                  <c:v>21.2</c:v>
                </c:pt>
                <c:pt idx="10">
                  <c:v>16</c:v>
                </c:pt>
                <c:pt idx="11">
                  <c:v>16.3</c:v>
                </c:pt>
                <c:pt idx="12">
                  <c:v>17.7</c:v>
                </c:pt>
                <c:pt idx="13">
                  <c:v>25.6</c:v>
                </c:pt>
                <c:pt idx="14">
                  <c:v>23</c:v>
                </c:pt>
                <c:pt idx="15">
                  <c:v>19</c:v>
                </c:pt>
                <c:pt idx="16">
                  <c:v>22.8</c:v>
                </c:pt>
                <c:pt idx="17">
                  <c:v>23</c:v>
                </c:pt>
                <c:pt idx="18">
                  <c:v>24.1</c:v>
                </c:pt>
                <c:pt idx="19">
                  <c:v>27.7</c:v>
                </c:pt>
                <c:pt idx="20">
                  <c:v>31.2</c:v>
                </c:pt>
                <c:pt idx="21">
                  <c:v>26.9</c:v>
                </c:pt>
                <c:pt idx="22">
                  <c:v>24.1</c:v>
                </c:pt>
                <c:pt idx="23">
                  <c:v>33.5</c:v>
                </c:pt>
                <c:pt idx="24">
                  <c:v>33.700000000000003</c:v>
                </c:pt>
                <c:pt idx="25">
                  <c:v>34.6</c:v>
                </c:pt>
                <c:pt idx="26">
                  <c:v>43.8</c:v>
                </c:pt>
                <c:pt idx="27">
                  <c:v>40.6</c:v>
                </c:pt>
                <c:pt idx="28">
                  <c:v>43.3</c:v>
                </c:pt>
                <c:pt idx="29">
                  <c:v>46.2</c:v>
                </c:pt>
                <c:pt idx="30">
                  <c:v>46.8</c:v>
                </c:pt>
                <c:pt idx="31">
                  <c:v>44.7</c:v>
                </c:pt>
                <c:pt idx="32">
                  <c:v>47.2</c:v>
                </c:pt>
                <c:pt idx="33">
                  <c:v>44.2</c:v>
                </c:pt>
                <c:pt idx="34">
                  <c:v>58.1</c:v>
                </c:pt>
                <c:pt idx="35">
                  <c:v>53</c:v>
                </c:pt>
                <c:pt idx="36">
                  <c:v>48.4</c:v>
                </c:pt>
                <c:pt idx="37">
                  <c:v>56</c:v>
                </c:pt>
                <c:pt idx="38">
                  <c:v>50.8</c:v>
                </c:pt>
                <c:pt idx="39">
                  <c:v>52.9</c:v>
                </c:pt>
                <c:pt idx="40">
                  <c:v>59.5</c:v>
                </c:pt>
                <c:pt idx="41">
                  <c:v>54.6</c:v>
                </c:pt>
                <c:pt idx="42">
                  <c:v>59.7</c:v>
                </c:pt>
                <c:pt idx="43">
                  <c:v>66.400000000000006</c:v>
                </c:pt>
                <c:pt idx="44">
                  <c:v>95.7</c:v>
                </c:pt>
                <c:pt idx="45">
                  <c:v>71.099999999999994</c:v>
                </c:pt>
                <c:pt idx="46">
                  <c:v>64.900000000000006</c:v>
                </c:pt>
                <c:pt idx="47">
                  <c:v>83.3</c:v>
                </c:pt>
                <c:pt idx="48">
                  <c:v>91.7</c:v>
                </c:pt>
                <c:pt idx="49">
                  <c:v>88.9</c:v>
                </c:pt>
              </c:numCache>
            </c:numRef>
          </c:xVal>
          <c:yVal>
            <c:numRef>
              <c:f>'2.3 Reg Analysis Output'!$C$27:$C$76</c:f>
              <c:numCache>
                <c:formatCode>_(* #,##0_);_(* \(#,##0\);_(* "-"??_);_(@_)</c:formatCode>
                <c:ptCount val="50"/>
                <c:pt idx="0">
                  <c:v>534946.22836222546</c:v>
                </c:pt>
                <c:pt idx="1">
                  <c:v>541899.95784887741</c:v>
                </c:pt>
                <c:pt idx="2">
                  <c:v>533875.11340078653</c:v>
                </c:pt>
                <c:pt idx="3">
                  <c:v>539075.59935455583</c:v>
                </c:pt>
                <c:pt idx="4">
                  <c:v>509496.66564046877</c:v>
                </c:pt>
                <c:pt idx="5">
                  <c:v>590689.149024782</c:v>
                </c:pt>
                <c:pt idx="6">
                  <c:v>580849.25266837934</c:v>
                </c:pt>
                <c:pt idx="7">
                  <c:v>586204.25612104416</c:v>
                </c:pt>
                <c:pt idx="8">
                  <c:v>595211.02141998964</c:v>
                </c:pt>
                <c:pt idx="9">
                  <c:v>663419.98962503381</c:v>
                </c:pt>
                <c:pt idx="10">
                  <c:v>615727.560706469</c:v>
                </c:pt>
                <c:pt idx="11">
                  <c:v>643544.21431672201</c:v>
                </c:pt>
                <c:pt idx="12">
                  <c:v>663666.3478970658</c:v>
                </c:pt>
                <c:pt idx="13">
                  <c:v>751504.17831817735</c:v>
                </c:pt>
                <c:pt idx="14">
                  <c:v>729871.32127901947</c:v>
                </c:pt>
                <c:pt idx="15">
                  <c:v>679133.60194684914</c:v>
                </c:pt>
                <c:pt idx="16">
                  <c:v>719920.09852901404</c:v>
                </c:pt>
                <c:pt idx="17">
                  <c:v>734483.21585171623</c:v>
                </c:pt>
                <c:pt idx="18">
                  <c:v>725768.6039440711</c:v>
                </c:pt>
                <c:pt idx="19">
                  <c:v>779924.36136632552</c:v>
                </c:pt>
                <c:pt idx="20">
                  <c:v>811637.69302488002</c:v>
                </c:pt>
                <c:pt idx="21">
                  <c:v>789359.77949271339</c:v>
                </c:pt>
                <c:pt idx="22">
                  <c:v>775155.36799285049</c:v>
                </c:pt>
                <c:pt idx="23">
                  <c:v>883812.49294813117</c:v>
                </c:pt>
                <c:pt idx="24">
                  <c:v>868304.41155395133</c:v>
                </c:pt>
                <c:pt idx="25">
                  <c:v>893458.91639744397</c:v>
                </c:pt>
                <c:pt idx="26">
                  <c:v>1001325.6646550151</c:v>
                </c:pt>
                <c:pt idx="27">
                  <c:v>992056.010515481</c:v>
                </c:pt>
                <c:pt idx="28">
                  <c:v>987028.55194805493</c:v>
                </c:pt>
                <c:pt idx="29">
                  <c:v>1042897.5553642944</c:v>
                </c:pt>
                <c:pt idx="30">
                  <c:v>1086650.8506092045</c:v>
                </c:pt>
                <c:pt idx="31">
                  <c:v>1088182.4545957169</c:v>
                </c:pt>
                <c:pt idx="32">
                  <c:v>1082986.720614427</c:v>
                </c:pt>
                <c:pt idx="33">
                  <c:v>1074076.1715354607</c:v>
                </c:pt>
                <c:pt idx="34">
                  <c:v>1213423.3199930727</c:v>
                </c:pt>
                <c:pt idx="35">
                  <c:v>1195242.5420178762</c:v>
                </c:pt>
                <c:pt idx="36">
                  <c:v>1168522.7205398353</c:v>
                </c:pt>
                <c:pt idx="37">
                  <c:v>1204935.35979384</c:v>
                </c:pt>
                <c:pt idx="38">
                  <c:v>1152980.4147364413</c:v>
                </c:pt>
                <c:pt idx="39">
                  <c:v>1190796.4420604953</c:v>
                </c:pt>
                <c:pt idx="40">
                  <c:v>1231005.8174683074</c:v>
                </c:pt>
                <c:pt idx="41">
                  <c:v>1202056.7392252348</c:v>
                </c:pt>
                <c:pt idx="42">
                  <c:v>1245358.7427392663</c:v>
                </c:pt>
                <c:pt idx="43">
                  <c:v>1380948.7584849996</c:v>
                </c:pt>
                <c:pt idx="44">
                  <c:v>1724864.2411358801</c:v>
                </c:pt>
                <c:pt idx="45">
                  <c:v>1413424.4443909097</c:v>
                </c:pt>
                <c:pt idx="46">
                  <c:v>1381012.3916338515</c:v>
                </c:pt>
                <c:pt idx="47">
                  <c:v>1599092.0757976994</c:v>
                </c:pt>
                <c:pt idx="48">
                  <c:v>1694848.075742444</c:v>
                </c:pt>
                <c:pt idx="49">
                  <c:v>1671684.5353706437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F9-4EA8-8986-1D1876552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417936"/>
        <c:axId val="2009171776"/>
      </c:scatterChart>
      <c:valAx>
        <c:axId val="1729417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ZA"/>
                  <a:t>EBITDA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09171776"/>
        <c:crosses val="autoZero"/>
        <c:crossBetween val="midCat"/>
      </c:valAx>
      <c:valAx>
        <c:axId val="20091717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ZA"/>
                  <a:t>Annual Basic Cash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941793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91440</xdr:colOff>
      <xdr:row>0</xdr:row>
      <xdr:rowOff>160020</xdr:rowOff>
    </xdr:from>
    <xdr:to>
      <xdr:col>19</xdr:col>
      <xdr:colOff>17040</xdr:colOff>
      <xdr:row>17</xdr:row>
      <xdr:rowOff>36960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3EB90E-94C5-4147-8C20-61813E871A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91440</xdr:colOff>
      <xdr:row>18</xdr:row>
      <xdr:rowOff>83820</xdr:rowOff>
    </xdr:from>
    <xdr:to>
      <xdr:col>19</xdr:col>
      <xdr:colOff>17040</xdr:colOff>
      <xdr:row>34</xdr:row>
      <xdr:rowOff>166500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D5AEA0-933B-4185-A6DA-62746C38C6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91440</xdr:colOff>
      <xdr:row>37</xdr:row>
      <xdr:rowOff>129540</xdr:rowOff>
    </xdr:from>
    <xdr:to>
      <xdr:col>19</xdr:col>
      <xdr:colOff>17040</xdr:colOff>
      <xdr:row>54</xdr:row>
      <xdr:rowOff>44580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FD28255-BC42-4CBB-AB72-7EF3D56231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EMP\299a28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wkare\OneDrive\Desktop\3)%20Classes\CCP\Regression%20Analysis%20Delegate%20file.xlsx" TargetMode="External"/><Relationship Id="rId1" Type="http://schemas.openxmlformats.org/officeDocument/2006/relationships/externalLinkPath" Target="file:///C:\Users\wkare\OneDrive\Desktop\3)%20Classes\CCP\Regression%20Analysis%20Delegate%20fi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unctions"/>
      <sheetName val="Macros"/>
      <sheetName val="Parameters"/>
      <sheetName val="Parameters1"/>
      <sheetName val="dIndex"/>
      <sheetName val="dStocktake"/>
      <sheetName val="Whatsnew"/>
      <sheetName val="Instruct"/>
      <sheetName val="IopenPrev"/>
      <sheetName val="Iopen"/>
      <sheetName val="ServareasB"/>
      <sheetName val="ServareasA"/>
      <sheetName val="IplaB"/>
      <sheetName val="IplfB"/>
      <sheetName val="IplpB"/>
      <sheetName val="IplhB"/>
      <sheetName val="IpltB"/>
      <sheetName val="IplrB"/>
      <sheetName val="FoodconB"/>
      <sheetName val="Igs"/>
      <sheetName val="IplaA"/>
      <sheetName val="IplfA"/>
      <sheetName val="IplpA"/>
      <sheetName val="IplhA"/>
      <sheetName val="IpltA"/>
      <sheetName val="IplrA"/>
      <sheetName val="FoodconA"/>
      <sheetName val="IBANKR"/>
      <sheetName val="Ibank"/>
      <sheetName val="Iconsume"/>
      <sheetName val="Icontrol"/>
      <sheetName val="Icredit"/>
      <sheetName val="Idebit"/>
      <sheetName val="Iflash"/>
      <sheetName val="Ifloats"/>
      <sheetName val="Ihousing"/>
      <sheetName val="Iinsur"/>
      <sheetName val="IADMIN"/>
      <sheetName val="Iintrst"/>
      <sheetName val="Iloans"/>
      <sheetName val="Irdchq"/>
      <sheetName val="Iregclear"/>
      <sheetName val="Ivehicle"/>
      <sheetName val="PREVMTHVAR"/>
      <sheetName val="XvarncA"/>
      <sheetName val="XvarncF"/>
      <sheetName val="XvarncP"/>
      <sheetName val="XvrncFood"/>
      <sheetName val="XvarncH"/>
      <sheetName val="XvarncT"/>
      <sheetName val="XBSSF"/>
      <sheetName val="Xbss"/>
      <sheetName val="XBANKR"/>
      <sheetName val="Xbank"/>
      <sheetName val="Xtax"/>
      <sheetName val="Xsps"/>
      <sheetName val="Xspsprev"/>
      <sheetName val="Xspr"/>
      <sheetName val="Xsprprev"/>
      <sheetName val="Xaudit"/>
      <sheetName val="HARDSTOC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>
        <row r="7">
          <cell r="D7">
            <v>0</v>
          </cell>
        </row>
        <row r="8">
          <cell r="D8">
            <v>0</v>
          </cell>
        </row>
        <row r="9">
          <cell r="D9">
            <v>0</v>
          </cell>
        </row>
        <row r="10">
          <cell r="D10">
            <v>0</v>
          </cell>
        </row>
        <row r="11">
          <cell r="D11">
            <v>0</v>
          </cell>
        </row>
        <row r="12">
          <cell r="D12">
            <v>0</v>
          </cell>
        </row>
        <row r="13">
          <cell r="D13">
            <v>0</v>
          </cell>
        </row>
        <row r="14">
          <cell r="D14">
            <v>0</v>
          </cell>
        </row>
        <row r="15">
          <cell r="D15">
            <v>0</v>
          </cell>
        </row>
        <row r="16">
          <cell r="D16">
            <v>0</v>
          </cell>
        </row>
        <row r="17">
          <cell r="D17">
            <v>0</v>
          </cell>
        </row>
        <row r="18">
          <cell r="D18">
            <v>0</v>
          </cell>
        </row>
        <row r="20">
          <cell r="D20">
            <v>0</v>
          </cell>
        </row>
        <row r="22">
          <cell r="D22">
            <v>0</v>
          </cell>
        </row>
        <row r="84">
          <cell r="D84">
            <v>0</v>
          </cell>
        </row>
        <row r="85">
          <cell r="D85">
            <v>0</v>
          </cell>
        </row>
        <row r="86">
          <cell r="D86">
            <v>0</v>
          </cell>
        </row>
        <row r="87">
          <cell r="D87">
            <v>0</v>
          </cell>
        </row>
        <row r="88">
          <cell r="D88">
            <v>0</v>
          </cell>
        </row>
        <row r="89">
          <cell r="D89">
            <v>0</v>
          </cell>
        </row>
        <row r="90">
          <cell r="D90">
            <v>0</v>
          </cell>
        </row>
        <row r="91">
          <cell r="D91">
            <v>0</v>
          </cell>
        </row>
        <row r="92">
          <cell r="D92">
            <v>0</v>
          </cell>
        </row>
        <row r="93">
          <cell r="D93">
            <v>0</v>
          </cell>
        </row>
        <row r="94">
          <cell r="D94">
            <v>0</v>
          </cell>
        </row>
        <row r="95">
          <cell r="D95">
            <v>0</v>
          </cell>
        </row>
        <row r="96">
          <cell r="D96">
            <v>0</v>
          </cell>
        </row>
        <row r="98">
          <cell r="D98">
            <v>0</v>
          </cell>
        </row>
        <row r="101">
          <cell r="D101" t="str">
            <v>HYPERMARKET REGION</v>
          </cell>
        </row>
        <row r="102">
          <cell r="D102">
            <v>0</v>
          </cell>
        </row>
        <row r="103">
          <cell r="D103">
            <v>0</v>
          </cell>
        </row>
        <row r="104">
          <cell r="D104">
            <v>0</v>
          </cell>
        </row>
        <row r="105">
          <cell r="D105">
            <v>0</v>
          </cell>
        </row>
        <row r="106">
          <cell r="D106">
            <v>0</v>
          </cell>
        </row>
        <row r="107">
          <cell r="D107">
            <v>0</v>
          </cell>
        </row>
        <row r="108">
          <cell r="D108">
            <v>0</v>
          </cell>
        </row>
        <row r="109">
          <cell r="D109">
            <v>0</v>
          </cell>
        </row>
        <row r="110">
          <cell r="D110">
            <v>0</v>
          </cell>
        </row>
        <row r="111">
          <cell r="D111">
            <v>0</v>
          </cell>
        </row>
        <row r="112">
          <cell r="D112">
            <v>0</v>
          </cell>
        </row>
        <row r="113">
          <cell r="D113">
            <v>0</v>
          </cell>
        </row>
        <row r="114">
          <cell r="D114">
            <v>0</v>
          </cell>
        </row>
        <row r="115">
          <cell r="D115">
            <v>0</v>
          </cell>
        </row>
        <row r="116">
          <cell r="D116">
            <v>0</v>
          </cell>
        </row>
        <row r="117">
          <cell r="D117">
            <v>0</v>
          </cell>
        </row>
        <row r="118">
          <cell r="D118">
            <v>0</v>
          </cell>
        </row>
        <row r="119">
          <cell r="D119">
            <v>0</v>
          </cell>
        </row>
        <row r="120">
          <cell r="D120">
            <v>0</v>
          </cell>
        </row>
        <row r="121">
          <cell r="D121">
            <v>0</v>
          </cell>
        </row>
        <row r="122">
          <cell r="D122">
            <v>0</v>
          </cell>
        </row>
        <row r="123">
          <cell r="D123">
            <v>0</v>
          </cell>
        </row>
        <row r="124">
          <cell r="D124">
            <v>0</v>
          </cell>
        </row>
        <row r="125">
          <cell r="D125">
            <v>0</v>
          </cell>
        </row>
        <row r="148">
          <cell r="D148">
            <v>0</v>
          </cell>
        </row>
        <row r="149">
          <cell r="D149">
            <v>0</v>
          </cell>
        </row>
        <row r="150">
          <cell r="D150">
            <v>0</v>
          </cell>
        </row>
        <row r="151">
          <cell r="D151">
            <v>0</v>
          </cell>
        </row>
        <row r="152">
          <cell r="D152">
            <v>0</v>
          </cell>
        </row>
        <row r="156">
          <cell r="D156">
            <v>0</v>
          </cell>
        </row>
        <row r="157">
          <cell r="D157">
            <v>0</v>
          </cell>
        </row>
        <row r="159">
          <cell r="D159">
            <v>0</v>
          </cell>
        </row>
        <row r="160">
          <cell r="D160">
            <v>0</v>
          </cell>
        </row>
        <row r="161">
          <cell r="D161">
            <v>0</v>
          </cell>
        </row>
        <row r="162">
          <cell r="D162">
            <v>0</v>
          </cell>
        </row>
        <row r="163">
          <cell r="D163">
            <v>0</v>
          </cell>
        </row>
        <row r="164">
          <cell r="D164">
            <v>0</v>
          </cell>
        </row>
        <row r="165">
          <cell r="D165">
            <v>0</v>
          </cell>
        </row>
        <row r="166">
          <cell r="D166">
            <v>0</v>
          </cell>
        </row>
        <row r="184">
          <cell r="D184">
            <v>0</v>
          </cell>
        </row>
        <row r="185">
          <cell r="D185">
            <v>0</v>
          </cell>
        </row>
        <row r="188">
          <cell r="D188">
            <v>0</v>
          </cell>
        </row>
        <row r="191">
          <cell r="D191">
            <v>0</v>
          </cell>
        </row>
        <row r="192">
          <cell r="D192">
            <v>0</v>
          </cell>
        </row>
        <row r="193">
          <cell r="D193">
            <v>0</v>
          </cell>
        </row>
        <row r="194">
          <cell r="D194">
            <v>0</v>
          </cell>
        </row>
        <row r="195">
          <cell r="D195">
            <v>0</v>
          </cell>
        </row>
        <row r="196">
          <cell r="D196">
            <v>0</v>
          </cell>
        </row>
        <row r="199">
          <cell r="D199">
            <v>0</v>
          </cell>
        </row>
        <row r="200">
          <cell r="D200">
            <v>0</v>
          </cell>
        </row>
        <row r="201">
          <cell r="D201">
            <v>0</v>
          </cell>
        </row>
        <row r="202">
          <cell r="D202">
            <v>0</v>
          </cell>
        </row>
        <row r="203">
          <cell r="D203">
            <v>0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dex Sheet"/>
      <sheetName val="Section 1 Instructions"/>
      <sheetName val="1.1 Linear Reg"/>
      <sheetName val="1.2 Linear Reg Compl"/>
      <sheetName val="Section 2 Instructions"/>
      <sheetName val="2.1 Multi-Linear Reg"/>
      <sheetName val="2.2 Multi-Linear Reg Compl"/>
      <sheetName val="2.3 Reg Analysis Output"/>
      <sheetName val="Section 3 Instructions"/>
      <sheetName val="3.1 M-L Test for Pay Discrim"/>
      <sheetName val="3.2 Reg Analysis Output"/>
      <sheetName val="3.3 M-L Test for Pay Disc Compl"/>
      <sheetName val="3.4 Adjusted Pay Gap "/>
      <sheetName val="3.5 Reg Anal Output 2"/>
      <sheetName val="3.6 Adjusted Pay Gap Compl"/>
      <sheetName val="Section 4 Instructions"/>
      <sheetName val="4.1 Exp Data"/>
      <sheetName val="4.2 Exp Data Compl"/>
      <sheetName val="4.3 Exp Scatter Chart"/>
      <sheetName val="4.4 Exp Scatter Chart 2"/>
      <sheetName val="Section 5 Instructions"/>
      <sheetName val="5.1 Emp &amp; Pay Range Data"/>
      <sheetName val="5.2 Emp &amp; Pay Range Data Compl"/>
      <sheetName val="5.3 Pay Ranges Chart"/>
    </sheetNames>
    <sheetDataSet>
      <sheetData sheetId="0"/>
      <sheetData sheetId="1"/>
      <sheetData sheetId="2"/>
      <sheetData sheetId="3"/>
      <sheetData sheetId="4"/>
      <sheetData sheetId="5">
        <row r="5">
          <cell r="B5">
            <v>90</v>
          </cell>
          <cell r="C5">
            <v>15.9</v>
          </cell>
          <cell r="D5">
            <v>11.8</v>
          </cell>
          <cell r="E5">
            <v>495400</v>
          </cell>
        </row>
        <row r="6">
          <cell r="B6">
            <v>105</v>
          </cell>
          <cell r="C6">
            <v>16.899999999999999</v>
          </cell>
          <cell r="D6">
            <v>12.2</v>
          </cell>
          <cell r="E6">
            <v>514810</v>
          </cell>
        </row>
        <row r="7">
          <cell r="B7">
            <v>122</v>
          </cell>
          <cell r="C7">
            <v>19.5</v>
          </cell>
          <cell r="D7">
            <v>10.9</v>
          </cell>
          <cell r="E7">
            <v>404750</v>
          </cell>
        </row>
        <row r="8">
          <cell r="B8">
            <v>133</v>
          </cell>
          <cell r="C8">
            <v>23.9</v>
          </cell>
          <cell r="D8">
            <v>10.8</v>
          </cell>
          <cell r="E8">
            <v>589510</v>
          </cell>
        </row>
        <row r="9">
          <cell r="B9">
            <v>150</v>
          </cell>
          <cell r="C9">
            <v>17.8</v>
          </cell>
          <cell r="D9">
            <v>8.3000000000000007</v>
          </cell>
          <cell r="E9">
            <v>376890</v>
          </cell>
        </row>
        <row r="10">
          <cell r="B10">
            <v>164</v>
          </cell>
          <cell r="C10">
            <v>41</v>
          </cell>
          <cell r="D10">
            <v>13.7</v>
          </cell>
          <cell r="E10">
            <v>518750</v>
          </cell>
        </row>
        <row r="11">
          <cell r="B11">
            <v>170</v>
          </cell>
          <cell r="C11">
            <v>34.1</v>
          </cell>
          <cell r="D11">
            <v>13.4</v>
          </cell>
          <cell r="E11">
            <v>495300</v>
          </cell>
        </row>
        <row r="12">
          <cell r="B12">
            <v>200</v>
          </cell>
          <cell r="C12">
            <v>36.5</v>
          </cell>
          <cell r="D12">
            <v>13.3</v>
          </cell>
          <cell r="E12">
            <v>483430</v>
          </cell>
        </row>
        <row r="13">
          <cell r="B13">
            <v>205</v>
          </cell>
          <cell r="C13">
            <v>51.4</v>
          </cell>
          <cell r="D13">
            <v>12.5</v>
          </cell>
          <cell r="E13">
            <v>712400</v>
          </cell>
        </row>
        <row r="14">
          <cell r="B14">
            <v>211</v>
          </cell>
          <cell r="C14">
            <v>33.700000000000003</v>
          </cell>
          <cell r="D14">
            <v>21.2</v>
          </cell>
          <cell r="E14">
            <v>741130</v>
          </cell>
        </row>
        <row r="15">
          <cell r="B15">
            <v>225</v>
          </cell>
          <cell r="C15">
            <v>36</v>
          </cell>
          <cell r="D15">
            <v>16</v>
          </cell>
          <cell r="E15">
            <v>579800</v>
          </cell>
        </row>
        <row r="16">
          <cell r="B16">
            <v>231</v>
          </cell>
          <cell r="C16">
            <v>57.9</v>
          </cell>
          <cell r="D16">
            <v>16.3</v>
          </cell>
          <cell r="E16">
            <v>587550</v>
          </cell>
        </row>
        <row r="17">
          <cell r="B17">
            <v>261</v>
          </cell>
          <cell r="C17">
            <v>60.1</v>
          </cell>
          <cell r="D17">
            <v>17.7</v>
          </cell>
          <cell r="E17">
            <v>626350</v>
          </cell>
        </row>
        <row r="18">
          <cell r="B18">
            <v>269</v>
          </cell>
          <cell r="C18">
            <v>67.3</v>
          </cell>
          <cell r="D18">
            <v>25.6</v>
          </cell>
          <cell r="E18">
            <v>827920</v>
          </cell>
        </row>
        <row r="19">
          <cell r="B19">
            <v>281</v>
          </cell>
          <cell r="C19">
            <v>69.900000000000006</v>
          </cell>
          <cell r="D19">
            <v>23</v>
          </cell>
          <cell r="E19">
            <v>719030</v>
          </cell>
        </row>
        <row r="20">
          <cell r="B20">
            <v>289</v>
          </cell>
          <cell r="C20">
            <v>59.2</v>
          </cell>
          <cell r="D20">
            <v>19</v>
          </cell>
          <cell r="E20">
            <v>485470</v>
          </cell>
        </row>
        <row r="21">
          <cell r="B21">
            <v>302</v>
          </cell>
          <cell r="C21">
            <v>60.3</v>
          </cell>
          <cell r="D21">
            <v>22.8</v>
          </cell>
          <cell r="E21">
            <v>821030</v>
          </cell>
        </row>
        <row r="22">
          <cell r="B22">
            <v>328</v>
          </cell>
          <cell r="C22">
            <v>68.8</v>
          </cell>
          <cell r="D22">
            <v>23</v>
          </cell>
          <cell r="E22">
            <v>764660</v>
          </cell>
        </row>
        <row r="23">
          <cell r="B23">
            <v>334</v>
          </cell>
          <cell r="C23">
            <v>50.2</v>
          </cell>
          <cell r="D23">
            <v>24.1</v>
          </cell>
          <cell r="E23">
            <v>773300</v>
          </cell>
        </row>
        <row r="24">
          <cell r="B24">
            <v>369</v>
          </cell>
          <cell r="C24">
            <v>62.8</v>
          </cell>
          <cell r="D24">
            <v>27.7</v>
          </cell>
          <cell r="E24">
            <v>787650</v>
          </cell>
        </row>
        <row r="25">
          <cell r="B25">
            <v>372</v>
          </cell>
          <cell r="C25">
            <v>59.5</v>
          </cell>
          <cell r="D25">
            <v>31.2</v>
          </cell>
          <cell r="E25">
            <v>904020</v>
          </cell>
        </row>
        <row r="26">
          <cell r="B26">
            <v>389</v>
          </cell>
          <cell r="C26">
            <v>76.400000000000006</v>
          </cell>
          <cell r="D26">
            <v>26.9</v>
          </cell>
          <cell r="E26">
            <v>723870</v>
          </cell>
        </row>
        <row r="27">
          <cell r="B27">
            <v>399</v>
          </cell>
          <cell r="C27">
            <v>87.8</v>
          </cell>
          <cell r="D27">
            <v>24.1</v>
          </cell>
          <cell r="E27">
            <v>793300</v>
          </cell>
        </row>
        <row r="28">
          <cell r="B28">
            <v>439</v>
          </cell>
          <cell r="C28">
            <v>96.7</v>
          </cell>
          <cell r="D28">
            <v>33.5</v>
          </cell>
          <cell r="E28">
            <v>946060</v>
          </cell>
        </row>
        <row r="29">
          <cell r="B29">
            <v>445</v>
          </cell>
          <cell r="C29">
            <v>80.099999999999994</v>
          </cell>
          <cell r="D29">
            <v>33.700000000000003</v>
          </cell>
          <cell r="E29">
            <v>1011380</v>
          </cell>
        </row>
        <row r="30">
          <cell r="B30">
            <v>532</v>
          </cell>
          <cell r="C30">
            <v>85</v>
          </cell>
          <cell r="D30">
            <v>34.6</v>
          </cell>
          <cell r="E30">
            <v>1141430</v>
          </cell>
        </row>
        <row r="31">
          <cell r="B31">
            <v>564</v>
          </cell>
          <cell r="C31">
            <v>95.9</v>
          </cell>
          <cell r="D31">
            <v>43.8</v>
          </cell>
          <cell r="E31">
            <v>925210</v>
          </cell>
        </row>
        <row r="32">
          <cell r="B32">
            <v>568</v>
          </cell>
          <cell r="C32">
            <v>116.1</v>
          </cell>
          <cell r="D32">
            <v>40.6</v>
          </cell>
          <cell r="E32">
            <v>937750</v>
          </cell>
        </row>
        <row r="33">
          <cell r="B33">
            <v>575</v>
          </cell>
          <cell r="C33">
            <v>86.2</v>
          </cell>
          <cell r="D33">
            <v>43.3</v>
          </cell>
          <cell r="E33">
            <v>1185810</v>
          </cell>
        </row>
        <row r="34">
          <cell r="B34">
            <v>580</v>
          </cell>
          <cell r="C34">
            <v>110.1</v>
          </cell>
          <cell r="D34">
            <v>46.2</v>
          </cell>
          <cell r="E34">
            <v>1097780</v>
          </cell>
        </row>
        <row r="35">
          <cell r="B35">
            <v>631</v>
          </cell>
          <cell r="C35">
            <v>138.69999999999999</v>
          </cell>
          <cell r="D35">
            <v>46.8</v>
          </cell>
          <cell r="E35">
            <v>1168520</v>
          </cell>
        </row>
        <row r="36">
          <cell r="B36">
            <v>653</v>
          </cell>
          <cell r="C36">
            <v>156.69999999999999</v>
          </cell>
          <cell r="D36">
            <v>44.7</v>
          </cell>
          <cell r="E36">
            <v>1190110</v>
          </cell>
        </row>
        <row r="37">
          <cell r="B37">
            <v>673</v>
          </cell>
          <cell r="C37">
            <v>127</v>
          </cell>
          <cell r="D37">
            <v>47.2</v>
          </cell>
          <cell r="E37">
            <v>955060</v>
          </cell>
        </row>
        <row r="38">
          <cell r="B38">
            <v>733</v>
          </cell>
          <cell r="C38">
            <v>139.4</v>
          </cell>
          <cell r="D38">
            <v>44.2</v>
          </cell>
          <cell r="E38">
            <v>1059110</v>
          </cell>
        </row>
        <row r="39">
          <cell r="B39">
            <v>735</v>
          </cell>
          <cell r="C39">
            <v>139.6</v>
          </cell>
          <cell r="D39">
            <v>58.1</v>
          </cell>
          <cell r="E39">
            <v>1030120</v>
          </cell>
        </row>
        <row r="40">
          <cell r="B40">
            <v>736</v>
          </cell>
          <cell r="C40">
            <v>169.3</v>
          </cell>
          <cell r="D40">
            <v>53</v>
          </cell>
          <cell r="E40">
            <v>1210280</v>
          </cell>
        </row>
        <row r="41">
          <cell r="B41">
            <v>744</v>
          </cell>
          <cell r="C41">
            <v>185.9</v>
          </cell>
          <cell r="D41">
            <v>48.4</v>
          </cell>
          <cell r="E41">
            <v>1159550</v>
          </cell>
        </row>
        <row r="42">
          <cell r="B42">
            <v>748</v>
          </cell>
          <cell r="C42">
            <v>149.5</v>
          </cell>
          <cell r="D42">
            <v>56</v>
          </cell>
          <cell r="E42">
            <v>1313440</v>
          </cell>
        </row>
        <row r="43">
          <cell r="B43">
            <v>748</v>
          </cell>
          <cell r="C43">
            <v>149.5</v>
          </cell>
          <cell r="D43">
            <v>50.8</v>
          </cell>
          <cell r="E43">
            <v>1172600</v>
          </cell>
        </row>
        <row r="44">
          <cell r="B44">
            <v>749</v>
          </cell>
          <cell r="C44">
            <v>164.7</v>
          </cell>
          <cell r="D44">
            <v>52.9</v>
          </cell>
          <cell r="E44">
            <v>1356820</v>
          </cell>
        </row>
        <row r="45">
          <cell r="B45">
            <v>780</v>
          </cell>
          <cell r="C45">
            <v>137.80000000000001</v>
          </cell>
          <cell r="D45">
            <v>59.5</v>
          </cell>
          <cell r="E45">
            <v>1217990</v>
          </cell>
        </row>
        <row r="46">
          <cell r="B46">
            <v>780</v>
          </cell>
          <cell r="C46">
            <v>156</v>
          </cell>
          <cell r="D46">
            <v>54.6</v>
          </cell>
          <cell r="E46">
            <v>1284010</v>
          </cell>
        </row>
        <row r="47">
          <cell r="B47">
            <v>783</v>
          </cell>
          <cell r="C47">
            <v>148.69999999999999</v>
          </cell>
          <cell r="D47">
            <v>59.7</v>
          </cell>
          <cell r="E47">
            <v>1112130</v>
          </cell>
        </row>
        <row r="48">
          <cell r="B48">
            <v>897</v>
          </cell>
          <cell r="C48">
            <v>198.3</v>
          </cell>
          <cell r="D48">
            <v>66.400000000000006</v>
          </cell>
          <cell r="E48">
            <v>1279380</v>
          </cell>
        </row>
        <row r="49">
          <cell r="B49">
            <v>940</v>
          </cell>
          <cell r="C49">
            <v>240</v>
          </cell>
          <cell r="D49">
            <v>95.7</v>
          </cell>
          <cell r="E49">
            <v>1721940</v>
          </cell>
        </row>
        <row r="50">
          <cell r="B50">
            <v>978</v>
          </cell>
          <cell r="C50">
            <v>176</v>
          </cell>
          <cell r="D50">
            <v>71.099999999999994</v>
          </cell>
          <cell r="E50">
            <v>1438940</v>
          </cell>
        </row>
        <row r="51">
          <cell r="B51">
            <v>1070</v>
          </cell>
          <cell r="C51">
            <v>192.5</v>
          </cell>
          <cell r="D51">
            <v>64.900000000000006</v>
          </cell>
          <cell r="E51">
            <v>1304540</v>
          </cell>
        </row>
        <row r="52">
          <cell r="B52">
            <v>1113</v>
          </cell>
          <cell r="C52">
            <v>218.8</v>
          </cell>
          <cell r="D52">
            <v>83.3</v>
          </cell>
          <cell r="E52">
            <v>1546350</v>
          </cell>
        </row>
        <row r="53">
          <cell r="B53">
            <v>1173</v>
          </cell>
          <cell r="C53">
            <v>222.8</v>
          </cell>
          <cell r="D53">
            <v>91.7</v>
          </cell>
          <cell r="E53">
            <v>1721850</v>
          </cell>
        </row>
        <row r="54">
          <cell r="B54">
            <v>1187</v>
          </cell>
          <cell r="C54">
            <v>225.6</v>
          </cell>
          <cell r="D54">
            <v>88.9</v>
          </cell>
          <cell r="E54">
            <v>1551860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/>
      <sheetData sheetId="21"/>
      <sheetData sheetId="22"/>
      <sheetData sheetId="2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7B4AD-B637-4D12-B7E0-34C5461610F4}">
  <sheetPr codeName="Sheet1">
    <tabColor theme="7" tint="0.79998168889431442"/>
  </sheetPr>
  <dimension ref="A1:O66"/>
  <sheetViews>
    <sheetView showGridLines="0" zoomScale="70" zoomScaleNormal="70" workbookViewId="0">
      <selection activeCell="H31" sqref="H31"/>
    </sheetView>
  </sheetViews>
  <sheetFormatPr defaultRowHeight="13" x14ac:dyDescent="0.35"/>
  <cols>
    <col min="1" max="1" width="2.90625" style="10" customWidth="1"/>
    <col min="2" max="2" width="11.36328125" style="10" customWidth="1"/>
    <col min="3" max="4" width="14.81640625" style="10" customWidth="1"/>
    <col min="5" max="5" width="14.81640625" style="22" customWidth="1"/>
    <col min="6" max="6" width="2.6328125" style="22" customWidth="1"/>
    <col min="7" max="7" width="13" style="22" customWidth="1"/>
    <col min="8" max="8" width="17" style="22" customWidth="1"/>
    <col min="9" max="9" width="13" style="22" customWidth="1"/>
    <col min="10" max="10" width="13" style="10" customWidth="1"/>
    <col min="11" max="11" width="2.81640625" style="10" customWidth="1"/>
    <col min="12" max="259" width="9.08984375" style="10"/>
    <col min="260" max="260" width="3.6328125" style="10" customWidth="1"/>
    <col min="261" max="263" width="14.81640625" style="10" customWidth="1"/>
    <col min="264" max="264" width="5.36328125" style="10" customWidth="1"/>
    <col min="265" max="265" width="12.36328125" style="10" customWidth="1"/>
    <col min="266" max="266" width="12" style="10" customWidth="1"/>
    <col min="267" max="267" width="6.36328125" style="10" customWidth="1"/>
    <col min="268" max="515" width="9.08984375" style="10"/>
    <col min="516" max="516" width="3.6328125" style="10" customWidth="1"/>
    <col min="517" max="519" width="14.81640625" style="10" customWidth="1"/>
    <col min="520" max="520" width="5.36328125" style="10" customWidth="1"/>
    <col min="521" max="521" width="12.36328125" style="10" customWidth="1"/>
    <col min="522" max="522" width="12" style="10" customWidth="1"/>
    <col min="523" max="523" width="6.36328125" style="10" customWidth="1"/>
    <col min="524" max="771" width="9.08984375" style="10"/>
    <col min="772" max="772" width="3.6328125" style="10" customWidth="1"/>
    <col min="773" max="775" width="14.81640625" style="10" customWidth="1"/>
    <col min="776" max="776" width="5.36328125" style="10" customWidth="1"/>
    <col min="777" max="777" width="12.36328125" style="10" customWidth="1"/>
    <col min="778" max="778" width="12" style="10" customWidth="1"/>
    <col min="779" max="779" width="6.36328125" style="10" customWidth="1"/>
    <col min="780" max="1027" width="9.08984375" style="10"/>
    <col min="1028" max="1028" width="3.6328125" style="10" customWidth="1"/>
    <col min="1029" max="1031" width="14.81640625" style="10" customWidth="1"/>
    <col min="1032" max="1032" width="5.36328125" style="10" customWidth="1"/>
    <col min="1033" max="1033" width="12.36328125" style="10" customWidth="1"/>
    <col min="1034" max="1034" width="12" style="10" customWidth="1"/>
    <col min="1035" max="1035" width="6.36328125" style="10" customWidth="1"/>
    <col min="1036" max="1283" width="9.08984375" style="10"/>
    <col min="1284" max="1284" width="3.6328125" style="10" customWidth="1"/>
    <col min="1285" max="1287" width="14.81640625" style="10" customWidth="1"/>
    <col min="1288" max="1288" width="5.36328125" style="10" customWidth="1"/>
    <col min="1289" max="1289" width="12.36328125" style="10" customWidth="1"/>
    <col min="1290" max="1290" width="12" style="10" customWidth="1"/>
    <col min="1291" max="1291" width="6.36328125" style="10" customWidth="1"/>
    <col min="1292" max="1539" width="9.08984375" style="10"/>
    <col min="1540" max="1540" width="3.6328125" style="10" customWidth="1"/>
    <col min="1541" max="1543" width="14.81640625" style="10" customWidth="1"/>
    <col min="1544" max="1544" width="5.36328125" style="10" customWidth="1"/>
    <col min="1545" max="1545" width="12.36328125" style="10" customWidth="1"/>
    <col min="1546" max="1546" width="12" style="10" customWidth="1"/>
    <col min="1547" max="1547" width="6.36328125" style="10" customWidth="1"/>
    <col min="1548" max="1795" width="9.08984375" style="10"/>
    <col min="1796" max="1796" width="3.6328125" style="10" customWidth="1"/>
    <col min="1797" max="1799" width="14.81640625" style="10" customWidth="1"/>
    <col min="1800" max="1800" width="5.36328125" style="10" customWidth="1"/>
    <col min="1801" max="1801" width="12.36328125" style="10" customWidth="1"/>
    <col min="1802" max="1802" width="12" style="10" customWidth="1"/>
    <col min="1803" max="1803" width="6.36328125" style="10" customWidth="1"/>
    <col min="1804" max="2051" width="9.08984375" style="10"/>
    <col min="2052" max="2052" width="3.6328125" style="10" customWidth="1"/>
    <col min="2053" max="2055" width="14.81640625" style="10" customWidth="1"/>
    <col min="2056" max="2056" width="5.36328125" style="10" customWidth="1"/>
    <col min="2057" max="2057" width="12.36328125" style="10" customWidth="1"/>
    <col min="2058" max="2058" width="12" style="10" customWidth="1"/>
    <col min="2059" max="2059" width="6.36328125" style="10" customWidth="1"/>
    <col min="2060" max="2307" width="9.08984375" style="10"/>
    <col min="2308" max="2308" width="3.6328125" style="10" customWidth="1"/>
    <col min="2309" max="2311" width="14.81640625" style="10" customWidth="1"/>
    <col min="2312" max="2312" width="5.36328125" style="10" customWidth="1"/>
    <col min="2313" max="2313" width="12.36328125" style="10" customWidth="1"/>
    <col min="2314" max="2314" width="12" style="10" customWidth="1"/>
    <col min="2315" max="2315" width="6.36328125" style="10" customWidth="1"/>
    <col min="2316" max="2563" width="9.08984375" style="10"/>
    <col min="2564" max="2564" width="3.6328125" style="10" customWidth="1"/>
    <col min="2565" max="2567" width="14.81640625" style="10" customWidth="1"/>
    <col min="2568" max="2568" width="5.36328125" style="10" customWidth="1"/>
    <col min="2569" max="2569" width="12.36328125" style="10" customWidth="1"/>
    <col min="2570" max="2570" width="12" style="10" customWidth="1"/>
    <col min="2571" max="2571" width="6.36328125" style="10" customWidth="1"/>
    <col min="2572" max="2819" width="9.08984375" style="10"/>
    <col min="2820" max="2820" width="3.6328125" style="10" customWidth="1"/>
    <col min="2821" max="2823" width="14.81640625" style="10" customWidth="1"/>
    <col min="2824" max="2824" width="5.36328125" style="10" customWidth="1"/>
    <col min="2825" max="2825" width="12.36328125" style="10" customWidth="1"/>
    <col min="2826" max="2826" width="12" style="10" customWidth="1"/>
    <col min="2827" max="2827" width="6.36328125" style="10" customWidth="1"/>
    <col min="2828" max="3075" width="9.08984375" style="10"/>
    <col min="3076" max="3076" width="3.6328125" style="10" customWidth="1"/>
    <col min="3077" max="3079" width="14.81640625" style="10" customWidth="1"/>
    <col min="3080" max="3080" width="5.36328125" style="10" customWidth="1"/>
    <col min="3081" max="3081" width="12.36328125" style="10" customWidth="1"/>
    <col min="3082" max="3082" width="12" style="10" customWidth="1"/>
    <col min="3083" max="3083" width="6.36328125" style="10" customWidth="1"/>
    <col min="3084" max="3331" width="9.08984375" style="10"/>
    <col min="3332" max="3332" width="3.6328125" style="10" customWidth="1"/>
    <col min="3333" max="3335" width="14.81640625" style="10" customWidth="1"/>
    <col min="3336" max="3336" width="5.36328125" style="10" customWidth="1"/>
    <col min="3337" max="3337" width="12.36328125" style="10" customWidth="1"/>
    <col min="3338" max="3338" width="12" style="10" customWidth="1"/>
    <col min="3339" max="3339" width="6.36328125" style="10" customWidth="1"/>
    <col min="3340" max="3587" width="9.08984375" style="10"/>
    <col min="3588" max="3588" width="3.6328125" style="10" customWidth="1"/>
    <col min="3589" max="3591" width="14.81640625" style="10" customWidth="1"/>
    <col min="3592" max="3592" width="5.36328125" style="10" customWidth="1"/>
    <col min="3593" max="3593" width="12.36328125" style="10" customWidth="1"/>
    <col min="3594" max="3594" width="12" style="10" customWidth="1"/>
    <col min="3595" max="3595" width="6.36328125" style="10" customWidth="1"/>
    <col min="3596" max="3843" width="9.08984375" style="10"/>
    <col min="3844" max="3844" width="3.6328125" style="10" customWidth="1"/>
    <col min="3845" max="3847" width="14.81640625" style="10" customWidth="1"/>
    <col min="3848" max="3848" width="5.36328125" style="10" customWidth="1"/>
    <col min="3849" max="3849" width="12.36328125" style="10" customWidth="1"/>
    <col min="3850" max="3850" width="12" style="10" customWidth="1"/>
    <col min="3851" max="3851" width="6.36328125" style="10" customWidth="1"/>
    <col min="3852" max="4099" width="9.08984375" style="10"/>
    <col min="4100" max="4100" width="3.6328125" style="10" customWidth="1"/>
    <col min="4101" max="4103" width="14.81640625" style="10" customWidth="1"/>
    <col min="4104" max="4104" width="5.36328125" style="10" customWidth="1"/>
    <col min="4105" max="4105" width="12.36328125" style="10" customWidth="1"/>
    <col min="4106" max="4106" width="12" style="10" customWidth="1"/>
    <col min="4107" max="4107" width="6.36328125" style="10" customWidth="1"/>
    <col min="4108" max="4355" width="9.08984375" style="10"/>
    <col min="4356" max="4356" width="3.6328125" style="10" customWidth="1"/>
    <col min="4357" max="4359" width="14.81640625" style="10" customWidth="1"/>
    <col min="4360" max="4360" width="5.36328125" style="10" customWidth="1"/>
    <col min="4361" max="4361" width="12.36328125" style="10" customWidth="1"/>
    <col min="4362" max="4362" width="12" style="10" customWidth="1"/>
    <col min="4363" max="4363" width="6.36328125" style="10" customWidth="1"/>
    <col min="4364" max="4611" width="9.08984375" style="10"/>
    <col min="4612" max="4612" width="3.6328125" style="10" customWidth="1"/>
    <col min="4613" max="4615" width="14.81640625" style="10" customWidth="1"/>
    <col min="4616" max="4616" width="5.36328125" style="10" customWidth="1"/>
    <col min="4617" max="4617" width="12.36328125" style="10" customWidth="1"/>
    <col min="4618" max="4618" width="12" style="10" customWidth="1"/>
    <col min="4619" max="4619" width="6.36328125" style="10" customWidth="1"/>
    <col min="4620" max="4867" width="9.08984375" style="10"/>
    <col min="4868" max="4868" width="3.6328125" style="10" customWidth="1"/>
    <col min="4869" max="4871" width="14.81640625" style="10" customWidth="1"/>
    <col min="4872" max="4872" width="5.36328125" style="10" customWidth="1"/>
    <col min="4873" max="4873" width="12.36328125" style="10" customWidth="1"/>
    <col min="4874" max="4874" width="12" style="10" customWidth="1"/>
    <col min="4875" max="4875" width="6.36328125" style="10" customWidth="1"/>
    <col min="4876" max="5123" width="9.08984375" style="10"/>
    <col min="5124" max="5124" width="3.6328125" style="10" customWidth="1"/>
    <col min="5125" max="5127" width="14.81640625" style="10" customWidth="1"/>
    <col min="5128" max="5128" width="5.36328125" style="10" customWidth="1"/>
    <col min="5129" max="5129" width="12.36328125" style="10" customWidth="1"/>
    <col min="5130" max="5130" width="12" style="10" customWidth="1"/>
    <col min="5131" max="5131" width="6.36328125" style="10" customWidth="1"/>
    <col min="5132" max="5379" width="9.08984375" style="10"/>
    <col min="5380" max="5380" width="3.6328125" style="10" customWidth="1"/>
    <col min="5381" max="5383" width="14.81640625" style="10" customWidth="1"/>
    <col min="5384" max="5384" width="5.36328125" style="10" customWidth="1"/>
    <col min="5385" max="5385" width="12.36328125" style="10" customWidth="1"/>
    <col min="5386" max="5386" width="12" style="10" customWidth="1"/>
    <col min="5387" max="5387" width="6.36328125" style="10" customWidth="1"/>
    <col min="5388" max="5635" width="9.08984375" style="10"/>
    <col min="5636" max="5636" width="3.6328125" style="10" customWidth="1"/>
    <col min="5637" max="5639" width="14.81640625" style="10" customWidth="1"/>
    <col min="5640" max="5640" width="5.36328125" style="10" customWidth="1"/>
    <col min="5641" max="5641" width="12.36328125" style="10" customWidth="1"/>
    <col min="5642" max="5642" width="12" style="10" customWidth="1"/>
    <col min="5643" max="5643" width="6.36328125" style="10" customWidth="1"/>
    <col min="5644" max="5891" width="9.08984375" style="10"/>
    <col min="5892" max="5892" width="3.6328125" style="10" customWidth="1"/>
    <col min="5893" max="5895" width="14.81640625" style="10" customWidth="1"/>
    <col min="5896" max="5896" width="5.36328125" style="10" customWidth="1"/>
    <col min="5897" max="5897" width="12.36328125" style="10" customWidth="1"/>
    <col min="5898" max="5898" width="12" style="10" customWidth="1"/>
    <col min="5899" max="5899" width="6.36328125" style="10" customWidth="1"/>
    <col min="5900" max="6147" width="9.08984375" style="10"/>
    <col min="6148" max="6148" width="3.6328125" style="10" customWidth="1"/>
    <col min="6149" max="6151" width="14.81640625" style="10" customWidth="1"/>
    <col min="6152" max="6152" width="5.36328125" style="10" customWidth="1"/>
    <col min="6153" max="6153" width="12.36328125" style="10" customWidth="1"/>
    <col min="6154" max="6154" width="12" style="10" customWidth="1"/>
    <col min="6155" max="6155" width="6.36328125" style="10" customWidth="1"/>
    <col min="6156" max="6403" width="9.08984375" style="10"/>
    <col min="6404" max="6404" width="3.6328125" style="10" customWidth="1"/>
    <col min="6405" max="6407" width="14.81640625" style="10" customWidth="1"/>
    <col min="6408" max="6408" width="5.36328125" style="10" customWidth="1"/>
    <col min="6409" max="6409" width="12.36328125" style="10" customWidth="1"/>
    <col min="6410" max="6410" width="12" style="10" customWidth="1"/>
    <col min="6411" max="6411" width="6.36328125" style="10" customWidth="1"/>
    <col min="6412" max="6659" width="9.08984375" style="10"/>
    <col min="6660" max="6660" width="3.6328125" style="10" customWidth="1"/>
    <col min="6661" max="6663" width="14.81640625" style="10" customWidth="1"/>
    <col min="6664" max="6664" width="5.36328125" style="10" customWidth="1"/>
    <col min="6665" max="6665" width="12.36328125" style="10" customWidth="1"/>
    <col min="6666" max="6666" width="12" style="10" customWidth="1"/>
    <col min="6667" max="6667" width="6.36328125" style="10" customWidth="1"/>
    <col min="6668" max="6915" width="9.08984375" style="10"/>
    <col min="6916" max="6916" width="3.6328125" style="10" customWidth="1"/>
    <col min="6917" max="6919" width="14.81640625" style="10" customWidth="1"/>
    <col min="6920" max="6920" width="5.36328125" style="10" customWidth="1"/>
    <col min="6921" max="6921" width="12.36328125" style="10" customWidth="1"/>
    <col min="6922" max="6922" width="12" style="10" customWidth="1"/>
    <col min="6923" max="6923" width="6.36328125" style="10" customWidth="1"/>
    <col min="6924" max="7171" width="9.08984375" style="10"/>
    <col min="7172" max="7172" width="3.6328125" style="10" customWidth="1"/>
    <col min="7173" max="7175" width="14.81640625" style="10" customWidth="1"/>
    <col min="7176" max="7176" width="5.36328125" style="10" customWidth="1"/>
    <col min="7177" max="7177" width="12.36328125" style="10" customWidth="1"/>
    <col min="7178" max="7178" width="12" style="10" customWidth="1"/>
    <col min="7179" max="7179" width="6.36328125" style="10" customWidth="1"/>
    <col min="7180" max="7427" width="9.08984375" style="10"/>
    <col min="7428" max="7428" width="3.6328125" style="10" customWidth="1"/>
    <col min="7429" max="7431" width="14.81640625" style="10" customWidth="1"/>
    <col min="7432" max="7432" width="5.36328125" style="10" customWidth="1"/>
    <col min="7433" max="7433" width="12.36328125" style="10" customWidth="1"/>
    <col min="7434" max="7434" width="12" style="10" customWidth="1"/>
    <col min="7435" max="7435" width="6.36328125" style="10" customWidth="1"/>
    <col min="7436" max="7683" width="9.08984375" style="10"/>
    <col min="7684" max="7684" width="3.6328125" style="10" customWidth="1"/>
    <col min="7685" max="7687" width="14.81640625" style="10" customWidth="1"/>
    <col min="7688" max="7688" width="5.36328125" style="10" customWidth="1"/>
    <col min="7689" max="7689" width="12.36328125" style="10" customWidth="1"/>
    <col min="7690" max="7690" width="12" style="10" customWidth="1"/>
    <col min="7691" max="7691" width="6.36328125" style="10" customWidth="1"/>
    <col min="7692" max="7939" width="9.08984375" style="10"/>
    <col min="7940" max="7940" width="3.6328125" style="10" customWidth="1"/>
    <col min="7941" max="7943" width="14.81640625" style="10" customWidth="1"/>
    <col min="7944" max="7944" width="5.36328125" style="10" customWidth="1"/>
    <col min="7945" max="7945" width="12.36328125" style="10" customWidth="1"/>
    <col min="7946" max="7946" width="12" style="10" customWidth="1"/>
    <col min="7947" max="7947" width="6.36328125" style="10" customWidth="1"/>
    <col min="7948" max="8195" width="9.08984375" style="10"/>
    <col min="8196" max="8196" width="3.6328125" style="10" customWidth="1"/>
    <col min="8197" max="8199" width="14.81640625" style="10" customWidth="1"/>
    <col min="8200" max="8200" width="5.36328125" style="10" customWidth="1"/>
    <col min="8201" max="8201" width="12.36328125" style="10" customWidth="1"/>
    <col min="8202" max="8202" width="12" style="10" customWidth="1"/>
    <col min="8203" max="8203" width="6.36328125" style="10" customWidth="1"/>
    <col min="8204" max="8451" width="9.08984375" style="10"/>
    <col min="8452" max="8452" width="3.6328125" style="10" customWidth="1"/>
    <col min="8453" max="8455" width="14.81640625" style="10" customWidth="1"/>
    <col min="8456" max="8456" width="5.36328125" style="10" customWidth="1"/>
    <col min="8457" max="8457" width="12.36328125" style="10" customWidth="1"/>
    <col min="8458" max="8458" width="12" style="10" customWidth="1"/>
    <col min="8459" max="8459" width="6.36328125" style="10" customWidth="1"/>
    <col min="8460" max="8707" width="9.08984375" style="10"/>
    <col min="8708" max="8708" width="3.6328125" style="10" customWidth="1"/>
    <col min="8709" max="8711" width="14.81640625" style="10" customWidth="1"/>
    <col min="8712" max="8712" width="5.36328125" style="10" customWidth="1"/>
    <col min="8713" max="8713" width="12.36328125" style="10" customWidth="1"/>
    <col min="8714" max="8714" width="12" style="10" customWidth="1"/>
    <col min="8715" max="8715" width="6.36328125" style="10" customWidth="1"/>
    <col min="8716" max="8963" width="9.08984375" style="10"/>
    <col min="8964" max="8964" width="3.6328125" style="10" customWidth="1"/>
    <col min="8965" max="8967" width="14.81640625" style="10" customWidth="1"/>
    <col min="8968" max="8968" width="5.36328125" style="10" customWidth="1"/>
    <col min="8969" max="8969" width="12.36328125" style="10" customWidth="1"/>
    <col min="8970" max="8970" width="12" style="10" customWidth="1"/>
    <col min="8971" max="8971" width="6.36328125" style="10" customWidth="1"/>
    <col min="8972" max="9219" width="9.08984375" style="10"/>
    <col min="9220" max="9220" width="3.6328125" style="10" customWidth="1"/>
    <col min="9221" max="9223" width="14.81640625" style="10" customWidth="1"/>
    <col min="9224" max="9224" width="5.36328125" style="10" customWidth="1"/>
    <col min="9225" max="9225" width="12.36328125" style="10" customWidth="1"/>
    <col min="9226" max="9226" width="12" style="10" customWidth="1"/>
    <col min="9227" max="9227" width="6.36328125" style="10" customWidth="1"/>
    <col min="9228" max="9475" width="9.08984375" style="10"/>
    <col min="9476" max="9476" width="3.6328125" style="10" customWidth="1"/>
    <col min="9477" max="9479" width="14.81640625" style="10" customWidth="1"/>
    <col min="9480" max="9480" width="5.36328125" style="10" customWidth="1"/>
    <col min="9481" max="9481" width="12.36328125" style="10" customWidth="1"/>
    <col min="9482" max="9482" width="12" style="10" customWidth="1"/>
    <col min="9483" max="9483" width="6.36328125" style="10" customWidth="1"/>
    <col min="9484" max="9731" width="9.08984375" style="10"/>
    <col min="9732" max="9732" width="3.6328125" style="10" customWidth="1"/>
    <col min="9733" max="9735" width="14.81640625" style="10" customWidth="1"/>
    <col min="9736" max="9736" width="5.36328125" style="10" customWidth="1"/>
    <col min="9737" max="9737" width="12.36328125" style="10" customWidth="1"/>
    <col min="9738" max="9738" width="12" style="10" customWidth="1"/>
    <col min="9739" max="9739" width="6.36328125" style="10" customWidth="1"/>
    <col min="9740" max="9987" width="9.08984375" style="10"/>
    <col min="9988" max="9988" width="3.6328125" style="10" customWidth="1"/>
    <col min="9989" max="9991" width="14.81640625" style="10" customWidth="1"/>
    <col min="9992" max="9992" width="5.36328125" style="10" customWidth="1"/>
    <col min="9993" max="9993" width="12.36328125" style="10" customWidth="1"/>
    <col min="9994" max="9994" width="12" style="10" customWidth="1"/>
    <col min="9995" max="9995" width="6.36328125" style="10" customWidth="1"/>
    <col min="9996" max="10243" width="9.08984375" style="10"/>
    <col min="10244" max="10244" width="3.6328125" style="10" customWidth="1"/>
    <col min="10245" max="10247" width="14.81640625" style="10" customWidth="1"/>
    <col min="10248" max="10248" width="5.36328125" style="10" customWidth="1"/>
    <col min="10249" max="10249" width="12.36328125" style="10" customWidth="1"/>
    <col min="10250" max="10250" width="12" style="10" customWidth="1"/>
    <col min="10251" max="10251" width="6.36328125" style="10" customWidth="1"/>
    <col min="10252" max="10499" width="9.08984375" style="10"/>
    <col min="10500" max="10500" width="3.6328125" style="10" customWidth="1"/>
    <col min="10501" max="10503" width="14.81640625" style="10" customWidth="1"/>
    <col min="10504" max="10504" width="5.36328125" style="10" customWidth="1"/>
    <col min="10505" max="10505" width="12.36328125" style="10" customWidth="1"/>
    <col min="10506" max="10506" width="12" style="10" customWidth="1"/>
    <col min="10507" max="10507" width="6.36328125" style="10" customWidth="1"/>
    <col min="10508" max="10755" width="9.08984375" style="10"/>
    <col min="10756" max="10756" width="3.6328125" style="10" customWidth="1"/>
    <col min="10757" max="10759" width="14.81640625" style="10" customWidth="1"/>
    <col min="10760" max="10760" width="5.36328125" style="10" customWidth="1"/>
    <col min="10761" max="10761" width="12.36328125" style="10" customWidth="1"/>
    <col min="10762" max="10762" width="12" style="10" customWidth="1"/>
    <col min="10763" max="10763" width="6.36328125" style="10" customWidth="1"/>
    <col min="10764" max="11011" width="9.08984375" style="10"/>
    <col min="11012" max="11012" width="3.6328125" style="10" customWidth="1"/>
    <col min="11013" max="11015" width="14.81640625" style="10" customWidth="1"/>
    <col min="11016" max="11016" width="5.36328125" style="10" customWidth="1"/>
    <col min="11017" max="11017" width="12.36328125" style="10" customWidth="1"/>
    <col min="11018" max="11018" width="12" style="10" customWidth="1"/>
    <col min="11019" max="11019" width="6.36328125" style="10" customWidth="1"/>
    <col min="11020" max="11267" width="9.08984375" style="10"/>
    <col min="11268" max="11268" width="3.6328125" style="10" customWidth="1"/>
    <col min="11269" max="11271" width="14.81640625" style="10" customWidth="1"/>
    <col min="11272" max="11272" width="5.36328125" style="10" customWidth="1"/>
    <col min="11273" max="11273" width="12.36328125" style="10" customWidth="1"/>
    <col min="11274" max="11274" width="12" style="10" customWidth="1"/>
    <col min="11275" max="11275" width="6.36328125" style="10" customWidth="1"/>
    <col min="11276" max="11523" width="9.08984375" style="10"/>
    <col min="11524" max="11524" width="3.6328125" style="10" customWidth="1"/>
    <col min="11525" max="11527" width="14.81640625" style="10" customWidth="1"/>
    <col min="11528" max="11528" width="5.36328125" style="10" customWidth="1"/>
    <col min="11529" max="11529" width="12.36328125" style="10" customWidth="1"/>
    <col min="11530" max="11530" width="12" style="10" customWidth="1"/>
    <col min="11531" max="11531" width="6.36328125" style="10" customWidth="1"/>
    <col min="11532" max="11779" width="9.08984375" style="10"/>
    <col min="11780" max="11780" width="3.6328125" style="10" customWidth="1"/>
    <col min="11781" max="11783" width="14.81640625" style="10" customWidth="1"/>
    <col min="11784" max="11784" width="5.36328125" style="10" customWidth="1"/>
    <col min="11785" max="11785" width="12.36328125" style="10" customWidth="1"/>
    <col min="11786" max="11786" width="12" style="10" customWidth="1"/>
    <col min="11787" max="11787" width="6.36328125" style="10" customWidth="1"/>
    <col min="11788" max="12035" width="9.08984375" style="10"/>
    <col min="12036" max="12036" width="3.6328125" style="10" customWidth="1"/>
    <col min="12037" max="12039" width="14.81640625" style="10" customWidth="1"/>
    <col min="12040" max="12040" width="5.36328125" style="10" customWidth="1"/>
    <col min="12041" max="12041" width="12.36328125" style="10" customWidth="1"/>
    <col min="12042" max="12042" width="12" style="10" customWidth="1"/>
    <col min="12043" max="12043" width="6.36328125" style="10" customWidth="1"/>
    <col min="12044" max="12291" width="9.08984375" style="10"/>
    <col min="12292" max="12292" width="3.6328125" style="10" customWidth="1"/>
    <col min="12293" max="12295" width="14.81640625" style="10" customWidth="1"/>
    <col min="12296" max="12296" width="5.36328125" style="10" customWidth="1"/>
    <col min="12297" max="12297" width="12.36328125" style="10" customWidth="1"/>
    <col min="12298" max="12298" width="12" style="10" customWidth="1"/>
    <col min="12299" max="12299" width="6.36328125" style="10" customWidth="1"/>
    <col min="12300" max="12547" width="9.08984375" style="10"/>
    <col min="12548" max="12548" width="3.6328125" style="10" customWidth="1"/>
    <col min="12549" max="12551" width="14.81640625" style="10" customWidth="1"/>
    <col min="12552" max="12552" width="5.36328125" style="10" customWidth="1"/>
    <col min="12553" max="12553" width="12.36328125" style="10" customWidth="1"/>
    <col min="12554" max="12554" width="12" style="10" customWidth="1"/>
    <col min="12555" max="12555" width="6.36328125" style="10" customWidth="1"/>
    <col min="12556" max="12803" width="9.08984375" style="10"/>
    <col min="12804" max="12804" width="3.6328125" style="10" customWidth="1"/>
    <col min="12805" max="12807" width="14.81640625" style="10" customWidth="1"/>
    <col min="12808" max="12808" width="5.36328125" style="10" customWidth="1"/>
    <col min="12809" max="12809" width="12.36328125" style="10" customWidth="1"/>
    <col min="12810" max="12810" width="12" style="10" customWidth="1"/>
    <col min="12811" max="12811" width="6.36328125" style="10" customWidth="1"/>
    <col min="12812" max="13059" width="9.08984375" style="10"/>
    <col min="13060" max="13060" width="3.6328125" style="10" customWidth="1"/>
    <col min="13061" max="13063" width="14.81640625" style="10" customWidth="1"/>
    <col min="13064" max="13064" width="5.36328125" style="10" customWidth="1"/>
    <col min="13065" max="13065" width="12.36328125" style="10" customWidth="1"/>
    <col min="13066" max="13066" width="12" style="10" customWidth="1"/>
    <col min="13067" max="13067" width="6.36328125" style="10" customWidth="1"/>
    <col min="13068" max="13315" width="9.08984375" style="10"/>
    <col min="13316" max="13316" width="3.6328125" style="10" customWidth="1"/>
    <col min="13317" max="13319" width="14.81640625" style="10" customWidth="1"/>
    <col min="13320" max="13320" width="5.36328125" style="10" customWidth="1"/>
    <col min="13321" max="13321" width="12.36328125" style="10" customWidth="1"/>
    <col min="13322" max="13322" width="12" style="10" customWidth="1"/>
    <col min="13323" max="13323" width="6.36328125" style="10" customWidth="1"/>
    <col min="13324" max="13571" width="9.08984375" style="10"/>
    <col min="13572" max="13572" width="3.6328125" style="10" customWidth="1"/>
    <col min="13573" max="13575" width="14.81640625" style="10" customWidth="1"/>
    <col min="13576" max="13576" width="5.36328125" style="10" customWidth="1"/>
    <col min="13577" max="13577" width="12.36328125" style="10" customWidth="1"/>
    <col min="13578" max="13578" width="12" style="10" customWidth="1"/>
    <col min="13579" max="13579" width="6.36328125" style="10" customWidth="1"/>
    <col min="13580" max="13827" width="9.08984375" style="10"/>
    <col min="13828" max="13828" width="3.6328125" style="10" customWidth="1"/>
    <col min="13829" max="13831" width="14.81640625" style="10" customWidth="1"/>
    <col min="13832" max="13832" width="5.36328125" style="10" customWidth="1"/>
    <col min="13833" max="13833" width="12.36328125" style="10" customWidth="1"/>
    <col min="13834" max="13834" width="12" style="10" customWidth="1"/>
    <col min="13835" max="13835" width="6.36328125" style="10" customWidth="1"/>
    <col min="13836" max="14083" width="9.08984375" style="10"/>
    <col min="14084" max="14084" width="3.6328125" style="10" customWidth="1"/>
    <col min="14085" max="14087" width="14.81640625" style="10" customWidth="1"/>
    <col min="14088" max="14088" width="5.36328125" style="10" customWidth="1"/>
    <col min="14089" max="14089" width="12.36328125" style="10" customWidth="1"/>
    <col min="14090" max="14090" width="12" style="10" customWidth="1"/>
    <col min="14091" max="14091" width="6.36328125" style="10" customWidth="1"/>
    <col min="14092" max="14339" width="9.08984375" style="10"/>
    <col min="14340" max="14340" width="3.6328125" style="10" customWidth="1"/>
    <col min="14341" max="14343" width="14.81640625" style="10" customWidth="1"/>
    <col min="14344" max="14344" width="5.36328125" style="10" customWidth="1"/>
    <col min="14345" max="14345" width="12.36328125" style="10" customWidth="1"/>
    <col min="14346" max="14346" width="12" style="10" customWidth="1"/>
    <col min="14347" max="14347" width="6.36328125" style="10" customWidth="1"/>
    <col min="14348" max="14595" width="9.08984375" style="10"/>
    <col min="14596" max="14596" width="3.6328125" style="10" customWidth="1"/>
    <col min="14597" max="14599" width="14.81640625" style="10" customWidth="1"/>
    <col min="14600" max="14600" width="5.36328125" style="10" customWidth="1"/>
    <col min="14601" max="14601" width="12.36328125" style="10" customWidth="1"/>
    <col min="14602" max="14602" width="12" style="10" customWidth="1"/>
    <col min="14603" max="14603" width="6.36328125" style="10" customWidth="1"/>
    <col min="14604" max="14851" width="9.08984375" style="10"/>
    <col min="14852" max="14852" width="3.6328125" style="10" customWidth="1"/>
    <col min="14853" max="14855" width="14.81640625" style="10" customWidth="1"/>
    <col min="14856" max="14856" width="5.36328125" style="10" customWidth="1"/>
    <col min="14857" max="14857" width="12.36328125" style="10" customWidth="1"/>
    <col min="14858" max="14858" width="12" style="10" customWidth="1"/>
    <col min="14859" max="14859" width="6.36328125" style="10" customWidth="1"/>
    <col min="14860" max="15107" width="9.08984375" style="10"/>
    <col min="15108" max="15108" width="3.6328125" style="10" customWidth="1"/>
    <col min="15109" max="15111" width="14.81640625" style="10" customWidth="1"/>
    <col min="15112" max="15112" width="5.36328125" style="10" customWidth="1"/>
    <col min="15113" max="15113" width="12.36328125" style="10" customWidth="1"/>
    <col min="15114" max="15114" width="12" style="10" customWidth="1"/>
    <col min="15115" max="15115" width="6.36328125" style="10" customWidth="1"/>
    <col min="15116" max="15363" width="9.08984375" style="10"/>
    <col min="15364" max="15364" width="3.6328125" style="10" customWidth="1"/>
    <col min="15365" max="15367" width="14.81640625" style="10" customWidth="1"/>
    <col min="15368" max="15368" width="5.36328125" style="10" customWidth="1"/>
    <col min="15369" max="15369" width="12.36328125" style="10" customWidth="1"/>
    <col min="15370" max="15370" width="12" style="10" customWidth="1"/>
    <col min="15371" max="15371" width="6.36328125" style="10" customWidth="1"/>
    <col min="15372" max="15619" width="9.08984375" style="10"/>
    <col min="15620" max="15620" width="3.6328125" style="10" customWidth="1"/>
    <col min="15621" max="15623" width="14.81640625" style="10" customWidth="1"/>
    <col min="15624" max="15624" width="5.36328125" style="10" customWidth="1"/>
    <col min="15625" max="15625" width="12.36328125" style="10" customWidth="1"/>
    <col min="15626" max="15626" width="12" style="10" customWidth="1"/>
    <col min="15627" max="15627" width="6.36328125" style="10" customWidth="1"/>
    <col min="15628" max="15875" width="9.08984375" style="10"/>
    <col min="15876" max="15876" width="3.6328125" style="10" customWidth="1"/>
    <col min="15877" max="15879" width="14.81640625" style="10" customWidth="1"/>
    <col min="15880" max="15880" width="5.36328125" style="10" customWidth="1"/>
    <col min="15881" max="15881" width="12.36328125" style="10" customWidth="1"/>
    <col min="15882" max="15882" width="12" style="10" customWidth="1"/>
    <col min="15883" max="15883" width="6.36328125" style="10" customWidth="1"/>
    <col min="15884" max="16131" width="9.08984375" style="10"/>
    <col min="16132" max="16132" width="3.6328125" style="10" customWidth="1"/>
    <col min="16133" max="16135" width="14.81640625" style="10" customWidth="1"/>
    <col min="16136" max="16136" width="5.36328125" style="10" customWidth="1"/>
    <col min="16137" max="16137" width="12.36328125" style="10" customWidth="1"/>
    <col min="16138" max="16138" width="12" style="10" customWidth="1"/>
    <col min="16139" max="16139" width="6.36328125" style="10" customWidth="1"/>
    <col min="16140" max="16384" width="9.08984375" style="10"/>
  </cols>
  <sheetData>
    <row r="1" spans="1:15" s="30" customFormat="1" ht="14.5" x14ac:dyDescent="0.35">
      <c r="A1" s="30" t="s">
        <v>31</v>
      </c>
      <c r="B1" s="31" t="s">
        <v>50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1:15" s="6" customFormat="1" ht="14.5" x14ac:dyDescent="0.35">
      <c r="B2" s="8"/>
      <c r="C2" s="6" t="s">
        <v>32</v>
      </c>
      <c r="D2" s="8"/>
      <c r="E2" s="8"/>
      <c r="F2" s="8"/>
      <c r="G2" s="8"/>
      <c r="H2" s="8"/>
      <c r="I2" s="9"/>
      <c r="J2" s="9"/>
      <c r="K2" s="9"/>
      <c r="L2" s="9"/>
      <c r="M2" s="9"/>
      <c r="N2" s="9"/>
      <c r="O2" s="9"/>
    </row>
    <row r="3" spans="1:15" s="6" customFormat="1" ht="14.5" x14ac:dyDescent="0.35">
      <c r="B3" s="8"/>
      <c r="C3" s="6" t="s">
        <v>33</v>
      </c>
      <c r="D3" s="8"/>
      <c r="E3" s="8"/>
      <c r="F3" s="8"/>
      <c r="G3" s="8"/>
      <c r="H3" s="8"/>
      <c r="I3" s="9"/>
      <c r="J3" s="9"/>
      <c r="K3" s="9"/>
      <c r="L3" s="9"/>
      <c r="M3" s="9"/>
      <c r="N3" s="9"/>
      <c r="O3" s="9"/>
    </row>
    <row r="4" spans="1:15" s="6" customFormat="1" ht="14.5" x14ac:dyDescent="0.35">
      <c r="B4" s="8"/>
      <c r="C4" s="6" t="s">
        <v>34</v>
      </c>
      <c r="D4" s="8"/>
      <c r="E4" s="8"/>
      <c r="F4" s="8"/>
      <c r="G4" s="8"/>
      <c r="H4" s="8"/>
      <c r="I4" s="9"/>
      <c r="J4" s="9"/>
      <c r="K4" s="9"/>
      <c r="L4" s="9"/>
      <c r="M4" s="9"/>
      <c r="N4" s="9"/>
      <c r="O4" s="9"/>
    </row>
    <row r="5" spans="1:15" x14ac:dyDescent="0.35">
      <c r="B5" s="11"/>
      <c r="C5" s="11"/>
      <c r="D5" s="11"/>
      <c r="E5" s="11"/>
      <c r="F5" s="11"/>
      <c r="G5" s="11"/>
      <c r="H5" s="11"/>
      <c r="I5" s="12"/>
      <c r="J5" s="12"/>
      <c r="K5" s="12"/>
      <c r="L5" s="12"/>
      <c r="M5" s="12"/>
      <c r="N5" s="12"/>
      <c r="O5" s="12"/>
    </row>
    <row r="6" spans="1:15" s="30" customFormat="1" ht="14.5" x14ac:dyDescent="0.35">
      <c r="A6" s="30" t="s">
        <v>35</v>
      </c>
      <c r="B6" s="31" t="s">
        <v>36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</row>
    <row r="7" spans="1:15" s="6" customFormat="1" ht="14.5" x14ac:dyDescent="0.35">
      <c r="B7" s="8"/>
      <c r="C7" s="13" t="s">
        <v>57</v>
      </c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</row>
    <row r="8" spans="1:15" s="6" customFormat="1" ht="14.5" x14ac:dyDescent="0.35">
      <c r="B8" s="8"/>
      <c r="D8" s="6" t="s">
        <v>56</v>
      </c>
      <c r="E8" s="8"/>
      <c r="F8" s="8"/>
      <c r="G8" s="8"/>
      <c r="H8" s="8"/>
      <c r="I8" s="8"/>
      <c r="J8" s="8"/>
      <c r="K8" s="8"/>
      <c r="L8" s="8"/>
      <c r="M8" s="8"/>
      <c r="N8" s="8"/>
      <c r="O8" s="8"/>
    </row>
    <row r="9" spans="1:15" s="6" customFormat="1" ht="14.5" x14ac:dyDescent="0.35">
      <c r="B9" s="8"/>
      <c r="D9" s="6" t="s">
        <v>55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</row>
    <row r="10" spans="1:15" s="6" customFormat="1" ht="14.5" x14ac:dyDescent="0.35">
      <c r="B10" s="8"/>
      <c r="D10" s="6" t="s">
        <v>54</v>
      </c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</row>
    <row r="11" spans="1:15" s="6" customFormat="1" ht="14.5" x14ac:dyDescent="0.35">
      <c r="B11" s="8"/>
      <c r="D11" s="6" t="s">
        <v>53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</row>
    <row r="12" spans="1:15" s="6" customFormat="1" ht="14.5" x14ac:dyDescent="0.35">
      <c r="B12" s="8"/>
      <c r="C12" s="6" t="s">
        <v>52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1:15" s="6" customFormat="1" ht="14.5" x14ac:dyDescent="0.35">
      <c r="B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</row>
    <row r="14" spans="1:15" ht="25.75" customHeight="1" x14ac:dyDescent="0.35">
      <c r="B14" s="58" t="s">
        <v>37</v>
      </c>
      <c r="C14" s="58"/>
      <c r="D14" s="58"/>
      <c r="E14" s="58"/>
      <c r="F14" s="14"/>
      <c r="G14" s="59" t="s">
        <v>38</v>
      </c>
      <c r="H14" s="60"/>
      <c r="I14" s="59" t="str">
        <f>IF(J19="","","y = "&amp;TEXT(J19,"0,0")&amp;" + "&amp;TEXT(J20,"0.0")&amp;"*x1+ "&amp;TEXT(J21,"0.0")&amp;"*x2 + "&amp;TEXT(J22,"0.0")&amp;"*x3")</f>
        <v>y = 388,422 + 123.9*x1+ 1099.4*x2 + 9991.3*x3</v>
      </c>
      <c r="J14" s="60"/>
    </row>
    <row r="15" spans="1:15" ht="10.5" customHeight="1" x14ac:dyDescent="0.35">
      <c r="B15" s="15"/>
      <c r="C15" s="15"/>
      <c r="D15" s="15"/>
      <c r="E15" s="16"/>
      <c r="F15" s="16"/>
      <c r="G15" s="16"/>
      <c r="H15" s="16"/>
      <c r="I15" s="16"/>
      <c r="J15" s="15"/>
    </row>
    <row r="16" spans="1:15" ht="48.75" customHeight="1" x14ac:dyDescent="0.35">
      <c r="B16" s="49" t="s">
        <v>24</v>
      </c>
      <c r="C16" s="49" t="s">
        <v>25</v>
      </c>
      <c r="D16" s="49" t="s">
        <v>26</v>
      </c>
      <c r="E16" s="50" t="s">
        <v>39</v>
      </c>
      <c r="F16" s="17"/>
      <c r="G16" s="48" t="s">
        <v>24</v>
      </c>
      <c r="H16" s="49" t="s">
        <v>25</v>
      </c>
      <c r="I16" s="50" t="s">
        <v>26</v>
      </c>
      <c r="J16" s="50" t="s">
        <v>29</v>
      </c>
      <c r="K16" s="18"/>
    </row>
    <row r="17" spans="2:12" ht="18.75" customHeight="1" x14ac:dyDescent="0.35">
      <c r="B17" s="19">
        <v>90</v>
      </c>
      <c r="C17" s="20">
        <v>15.9</v>
      </c>
      <c r="D17" s="20">
        <v>11.8</v>
      </c>
      <c r="E17" s="21">
        <v>495400</v>
      </c>
      <c r="G17" s="21">
        <v>500</v>
      </c>
      <c r="H17" s="21">
        <v>80</v>
      </c>
      <c r="I17" s="21">
        <v>50</v>
      </c>
      <c r="J17" s="21">
        <f>J19+J20*G17+J21*H17+J22*I17</f>
        <v>1037865.2846044799</v>
      </c>
      <c r="K17" s="23"/>
      <c r="L17" s="10" t="s">
        <v>51</v>
      </c>
    </row>
    <row r="18" spans="2:12" ht="18.75" customHeight="1" x14ac:dyDescent="0.35">
      <c r="B18" s="19">
        <v>105</v>
      </c>
      <c r="C18" s="20">
        <v>16.899999999999999</v>
      </c>
      <c r="D18" s="20">
        <v>12.2</v>
      </c>
      <c r="E18" s="21">
        <v>514810</v>
      </c>
      <c r="J18" s="22"/>
      <c r="K18" s="23"/>
    </row>
    <row r="19" spans="2:12" ht="18.75" customHeight="1" x14ac:dyDescent="0.35">
      <c r="B19" s="19">
        <v>122</v>
      </c>
      <c r="C19" s="20">
        <v>19.5</v>
      </c>
      <c r="D19" s="20">
        <v>10.9</v>
      </c>
      <c r="E19" s="21">
        <v>404750</v>
      </c>
      <c r="G19" s="57" t="s">
        <v>40</v>
      </c>
      <c r="H19" s="57"/>
      <c r="I19" s="57"/>
      <c r="J19" s="3">
        <f>'2.3 Reg Analysis Output'!C17</f>
        <v>388421.57082945685</v>
      </c>
      <c r="K19" s="23"/>
      <c r="L19" s="24" t="s">
        <v>41</v>
      </c>
    </row>
    <row r="20" spans="2:12" ht="18.75" customHeight="1" x14ac:dyDescent="0.35">
      <c r="B20" s="19">
        <v>133</v>
      </c>
      <c r="C20" s="20">
        <v>23.9</v>
      </c>
      <c r="D20" s="20">
        <v>10.8</v>
      </c>
      <c r="E20" s="21">
        <v>589510</v>
      </c>
      <c r="G20" s="57" t="s">
        <v>42</v>
      </c>
      <c r="H20" s="57"/>
      <c r="I20" s="57"/>
      <c r="J20" s="4">
        <f>'2.3 Reg Analysis Output'!C18</f>
        <v>123.85526534348038</v>
      </c>
      <c r="K20" s="23"/>
      <c r="L20" s="25" t="s">
        <v>43</v>
      </c>
    </row>
    <row r="21" spans="2:12" ht="18.75" customHeight="1" x14ac:dyDescent="0.35">
      <c r="B21" s="19">
        <v>150</v>
      </c>
      <c r="C21" s="20">
        <v>17.8</v>
      </c>
      <c r="D21" s="20">
        <v>8.3000000000000007</v>
      </c>
      <c r="E21" s="21">
        <v>376890</v>
      </c>
      <c r="G21" s="57" t="s">
        <v>44</v>
      </c>
      <c r="H21" s="57"/>
      <c r="I21" s="57"/>
      <c r="J21" s="32">
        <f>'2.3 Reg Analysis Output'!C19</f>
        <v>1099.366271315243</v>
      </c>
      <c r="K21" s="23"/>
      <c r="L21" s="33" t="s">
        <v>45</v>
      </c>
    </row>
    <row r="22" spans="2:12" ht="18.75" customHeight="1" x14ac:dyDescent="0.35">
      <c r="B22" s="19">
        <v>164</v>
      </c>
      <c r="C22" s="20">
        <v>41</v>
      </c>
      <c r="D22" s="20">
        <v>13.7</v>
      </c>
      <c r="E22" s="21">
        <v>518750</v>
      </c>
      <c r="G22" s="57" t="s">
        <v>46</v>
      </c>
      <c r="H22" s="57"/>
      <c r="I22" s="57"/>
      <c r="J22" s="5">
        <f>'2.3 Reg Analysis Output'!C20</f>
        <v>9991.3355879612682</v>
      </c>
      <c r="K22" s="23"/>
      <c r="L22" s="26" t="s">
        <v>47</v>
      </c>
    </row>
    <row r="23" spans="2:12" ht="18.75" customHeight="1" x14ac:dyDescent="0.35">
      <c r="B23" s="19">
        <v>170</v>
      </c>
      <c r="C23" s="20">
        <v>34.1</v>
      </c>
      <c r="D23" s="20">
        <v>13.4</v>
      </c>
      <c r="E23" s="21">
        <v>495300</v>
      </c>
      <c r="G23" s="27"/>
      <c r="H23" s="27"/>
      <c r="I23" s="27"/>
      <c r="J23" s="28"/>
      <c r="K23" s="23"/>
      <c r="L23" s="26"/>
    </row>
    <row r="24" spans="2:12" ht="18.75" customHeight="1" x14ac:dyDescent="0.35">
      <c r="B24" s="19">
        <v>200</v>
      </c>
      <c r="C24" s="20">
        <v>36.5</v>
      </c>
      <c r="D24" s="20">
        <v>13.3</v>
      </c>
      <c r="E24" s="21">
        <v>483430</v>
      </c>
      <c r="G24" s="57" t="s">
        <v>48</v>
      </c>
      <c r="H24" s="57"/>
      <c r="I24" s="57"/>
      <c r="J24" s="2">
        <f>'2.3 Reg Analysis Output'!C5</f>
        <v>0.92304872511428115</v>
      </c>
      <c r="K24" s="23"/>
      <c r="L24" s="29" t="s">
        <v>49</v>
      </c>
    </row>
    <row r="25" spans="2:12" ht="18.75" customHeight="1" x14ac:dyDescent="0.35">
      <c r="B25" s="19">
        <v>205</v>
      </c>
      <c r="C25" s="20">
        <v>51.4</v>
      </c>
      <c r="D25" s="20">
        <v>12.5</v>
      </c>
      <c r="E25" s="21">
        <v>712400</v>
      </c>
      <c r="J25" s="23"/>
      <c r="K25" s="23"/>
    </row>
    <row r="26" spans="2:12" ht="18.75" customHeight="1" x14ac:dyDescent="0.35">
      <c r="B26" s="19">
        <v>211</v>
      </c>
      <c r="C26" s="20">
        <v>33.700000000000003</v>
      </c>
      <c r="D26" s="20">
        <v>21.2</v>
      </c>
      <c r="E26" s="21">
        <v>741130</v>
      </c>
      <c r="J26" s="23"/>
      <c r="K26" s="23"/>
    </row>
    <row r="27" spans="2:12" ht="18.75" customHeight="1" x14ac:dyDescent="0.35">
      <c r="B27" s="19">
        <v>225</v>
      </c>
      <c r="C27" s="20">
        <v>36</v>
      </c>
      <c r="D27" s="20">
        <v>16</v>
      </c>
      <c r="E27" s="21">
        <v>579800</v>
      </c>
      <c r="J27" s="23"/>
      <c r="K27" s="23"/>
    </row>
    <row r="28" spans="2:12" ht="18.75" customHeight="1" x14ac:dyDescent="0.35">
      <c r="B28" s="19">
        <v>231</v>
      </c>
      <c r="C28" s="20">
        <v>57.9</v>
      </c>
      <c r="D28" s="20">
        <v>16.3</v>
      </c>
      <c r="E28" s="21">
        <v>587550</v>
      </c>
      <c r="J28" s="23"/>
      <c r="K28" s="23"/>
    </row>
    <row r="29" spans="2:12" ht="18.75" customHeight="1" x14ac:dyDescent="0.35">
      <c r="B29" s="19">
        <v>261</v>
      </c>
      <c r="C29" s="20">
        <v>60.1</v>
      </c>
      <c r="D29" s="20">
        <v>17.7</v>
      </c>
      <c r="E29" s="21">
        <v>626350</v>
      </c>
      <c r="J29" s="23"/>
      <c r="K29" s="23"/>
    </row>
    <row r="30" spans="2:12" ht="18.75" customHeight="1" x14ac:dyDescent="0.35">
      <c r="B30" s="19">
        <v>269</v>
      </c>
      <c r="C30" s="20">
        <v>67.3</v>
      </c>
      <c r="D30" s="20">
        <v>25.6</v>
      </c>
      <c r="E30" s="21">
        <v>827920</v>
      </c>
      <c r="J30" s="23"/>
      <c r="K30" s="23"/>
    </row>
    <row r="31" spans="2:12" ht="18.75" customHeight="1" x14ac:dyDescent="0.35">
      <c r="B31" s="19">
        <v>281</v>
      </c>
      <c r="C31" s="20">
        <v>69.900000000000006</v>
      </c>
      <c r="D31" s="20">
        <v>23</v>
      </c>
      <c r="E31" s="21">
        <v>719030</v>
      </c>
      <c r="J31" s="23"/>
      <c r="K31" s="23"/>
    </row>
    <row r="32" spans="2:12" ht="18.75" customHeight="1" x14ac:dyDescent="0.35">
      <c r="B32" s="19">
        <v>289</v>
      </c>
      <c r="C32" s="20">
        <v>59.2</v>
      </c>
      <c r="D32" s="20">
        <v>19</v>
      </c>
      <c r="E32" s="21">
        <v>485470</v>
      </c>
      <c r="J32" s="23"/>
      <c r="K32" s="23"/>
    </row>
    <row r="33" spans="2:11" ht="18.75" customHeight="1" x14ac:dyDescent="0.35">
      <c r="B33" s="19">
        <v>302</v>
      </c>
      <c r="C33" s="20">
        <v>60.3</v>
      </c>
      <c r="D33" s="20">
        <v>22.8</v>
      </c>
      <c r="E33" s="21">
        <v>821030</v>
      </c>
      <c r="J33" s="23"/>
      <c r="K33" s="23"/>
    </row>
    <row r="34" spans="2:11" ht="18.75" customHeight="1" x14ac:dyDescent="0.35">
      <c r="B34" s="19">
        <v>328</v>
      </c>
      <c r="C34" s="20">
        <v>68.8</v>
      </c>
      <c r="D34" s="20">
        <v>23</v>
      </c>
      <c r="E34" s="21">
        <v>764660</v>
      </c>
      <c r="J34" s="23"/>
      <c r="K34" s="23"/>
    </row>
    <row r="35" spans="2:11" ht="18.75" customHeight="1" x14ac:dyDescent="0.35">
      <c r="B35" s="19">
        <v>334</v>
      </c>
      <c r="C35" s="20">
        <v>50.2</v>
      </c>
      <c r="D35" s="20">
        <v>24.1</v>
      </c>
      <c r="E35" s="21">
        <v>773300</v>
      </c>
      <c r="J35" s="23"/>
      <c r="K35" s="23"/>
    </row>
    <row r="36" spans="2:11" ht="18.75" customHeight="1" x14ac:dyDescent="0.35">
      <c r="B36" s="19">
        <v>369</v>
      </c>
      <c r="C36" s="20">
        <v>62.8</v>
      </c>
      <c r="D36" s="20">
        <v>27.7</v>
      </c>
      <c r="E36" s="21">
        <v>787650</v>
      </c>
      <c r="J36" s="23"/>
      <c r="K36" s="23"/>
    </row>
    <row r="37" spans="2:11" ht="18.75" customHeight="1" x14ac:dyDescent="0.35">
      <c r="B37" s="19">
        <v>372</v>
      </c>
      <c r="C37" s="20">
        <v>59.5</v>
      </c>
      <c r="D37" s="20">
        <v>31.2</v>
      </c>
      <c r="E37" s="21">
        <v>904020</v>
      </c>
      <c r="J37" s="23"/>
      <c r="K37" s="23"/>
    </row>
    <row r="38" spans="2:11" ht="18.75" customHeight="1" x14ac:dyDescent="0.35">
      <c r="B38" s="19">
        <v>389</v>
      </c>
      <c r="C38" s="20">
        <v>76.400000000000006</v>
      </c>
      <c r="D38" s="20">
        <v>26.9</v>
      </c>
      <c r="E38" s="21">
        <v>723870</v>
      </c>
      <c r="J38" s="23"/>
      <c r="K38" s="23"/>
    </row>
    <row r="39" spans="2:11" ht="18.75" customHeight="1" x14ac:dyDescent="0.35">
      <c r="B39" s="19">
        <v>399</v>
      </c>
      <c r="C39" s="20">
        <v>87.8</v>
      </c>
      <c r="D39" s="20">
        <v>24.1</v>
      </c>
      <c r="E39" s="21">
        <v>793300</v>
      </c>
      <c r="J39" s="23"/>
      <c r="K39" s="23"/>
    </row>
    <row r="40" spans="2:11" ht="18.75" customHeight="1" x14ac:dyDescent="0.35">
      <c r="B40" s="19">
        <v>439</v>
      </c>
      <c r="C40" s="20">
        <v>96.7</v>
      </c>
      <c r="D40" s="20">
        <v>33.5</v>
      </c>
      <c r="E40" s="21">
        <v>946060</v>
      </c>
      <c r="J40" s="23"/>
      <c r="K40" s="23"/>
    </row>
    <row r="41" spans="2:11" ht="18.75" customHeight="1" x14ac:dyDescent="0.35">
      <c r="B41" s="19">
        <v>445</v>
      </c>
      <c r="C41" s="20">
        <v>80.099999999999994</v>
      </c>
      <c r="D41" s="20">
        <v>33.700000000000003</v>
      </c>
      <c r="E41" s="21">
        <v>1011380</v>
      </c>
      <c r="J41" s="23"/>
      <c r="K41" s="23"/>
    </row>
    <row r="42" spans="2:11" ht="18.75" customHeight="1" x14ac:dyDescent="0.35">
      <c r="B42" s="19">
        <v>532</v>
      </c>
      <c r="C42" s="20">
        <v>85</v>
      </c>
      <c r="D42" s="20">
        <v>34.6</v>
      </c>
      <c r="E42" s="21">
        <v>1141430</v>
      </c>
      <c r="J42" s="23"/>
      <c r="K42" s="23"/>
    </row>
    <row r="43" spans="2:11" ht="18.75" customHeight="1" x14ac:dyDescent="0.35">
      <c r="B43" s="19">
        <v>564</v>
      </c>
      <c r="C43" s="20">
        <v>95.9</v>
      </c>
      <c r="D43" s="20">
        <v>43.8</v>
      </c>
      <c r="E43" s="21">
        <v>925210</v>
      </c>
      <c r="J43" s="23"/>
      <c r="K43" s="23"/>
    </row>
    <row r="44" spans="2:11" ht="18.75" customHeight="1" x14ac:dyDescent="0.35">
      <c r="B44" s="19">
        <v>568</v>
      </c>
      <c r="C44" s="20">
        <v>116.1</v>
      </c>
      <c r="D44" s="20">
        <v>40.6</v>
      </c>
      <c r="E44" s="21">
        <v>937750</v>
      </c>
      <c r="J44" s="23"/>
      <c r="K44" s="23"/>
    </row>
    <row r="45" spans="2:11" ht="18.75" customHeight="1" x14ac:dyDescent="0.35">
      <c r="B45" s="19">
        <v>575</v>
      </c>
      <c r="C45" s="20">
        <v>86.2</v>
      </c>
      <c r="D45" s="20">
        <v>43.3</v>
      </c>
      <c r="E45" s="21">
        <v>1185810</v>
      </c>
      <c r="J45" s="23"/>
      <c r="K45" s="23"/>
    </row>
    <row r="46" spans="2:11" ht="18.75" customHeight="1" x14ac:dyDescent="0.35">
      <c r="B46" s="19">
        <v>580</v>
      </c>
      <c r="C46" s="20">
        <v>110.1</v>
      </c>
      <c r="D46" s="20">
        <v>46.2</v>
      </c>
      <c r="E46" s="21">
        <v>1097780</v>
      </c>
      <c r="J46" s="23"/>
      <c r="K46" s="23"/>
    </row>
    <row r="47" spans="2:11" ht="18.75" customHeight="1" x14ac:dyDescent="0.35">
      <c r="B47" s="19">
        <v>631</v>
      </c>
      <c r="C47" s="20">
        <v>138.69999999999999</v>
      </c>
      <c r="D47" s="20">
        <v>46.8</v>
      </c>
      <c r="E47" s="21">
        <v>1168520</v>
      </c>
      <c r="J47" s="23"/>
      <c r="K47" s="23"/>
    </row>
    <row r="48" spans="2:11" ht="18.75" customHeight="1" x14ac:dyDescent="0.35">
      <c r="B48" s="19">
        <v>653</v>
      </c>
      <c r="C48" s="20">
        <v>156.69999999999999</v>
      </c>
      <c r="D48" s="20">
        <v>44.7</v>
      </c>
      <c r="E48" s="21">
        <v>1190110</v>
      </c>
      <c r="J48" s="23"/>
      <c r="K48" s="23"/>
    </row>
    <row r="49" spans="2:11" ht="18.75" customHeight="1" x14ac:dyDescent="0.35">
      <c r="B49" s="19">
        <v>673</v>
      </c>
      <c r="C49" s="20">
        <v>127</v>
      </c>
      <c r="D49" s="20">
        <v>47.2</v>
      </c>
      <c r="E49" s="21">
        <v>955060</v>
      </c>
      <c r="J49" s="23"/>
      <c r="K49" s="23"/>
    </row>
    <row r="50" spans="2:11" ht="18.75" customHeight="1" x14ac:dyDescent="0.35">
      <c r="B50" s="19">
        <v>733</v>
      </c>
      <c r="C50" s="20">
        <v>139.4</v>
      </c>
      <c r="D50" s="20">
        <v>44.2</v>
      </c>
      <c r="E50" s="21">
        <v>1059110</v>
      </c>
      <c r="J50" s="23"/>
      <c r="K50" s="23"/>
    </row>
    <row r="51" spans="2:11" ht="18.75" customHeight="1" x14ac:dyDescent="0.35">
      <c r="B51" s="19">
        <v>735</v>
      </c>
      <c r="C51" s="20">
        <v>139.6</v>
      </c>
      <c r="D51" s="20">
        <v>58.1</v>
      </c>
      <c r="E51" s="21">
        <v>1030120</v>
      </c>
      <c r="J51" s="23"/>
      <c r="K51" s="23"/>
    </row>
    <row r="52" spans="2:11" ht="18.75" customHeight="1" x14ac:dyDescent="0.35">
      <c r="B52" s="19">
        <v>736</v>
      </c>
      <c r="C52" s="20">
        <v>169.3</v>
      </c>
      <c r="D52" s="20">
        <v>53</v>
      </c>
      <c r="E52" s="21">
        <v>1210280</v>
      </c>
      <c r="J52" s="23"/>
      <c r="K52" s="23"/>
    </row>
    <row r="53" spans="2:11" ht="18.75" customHeight="1" x14ac:dyDescent="0.35">
      <c r="B53" s="19">
        <v>744</v>
      </c>
      <c r="C53" s="20">
        <v>185.9</v>
      </c>
      <c r="D53" s="20">
        <v>48.4</v>
      </c>
      <c r="E53" s="21">
        <v>1159550</v>
      </c>
      <c r="J53" s="23"/>
      <c r="K53" s="23"/>
    </row>
    <row r="54" spans="2:11" ht="18.75" customHeight="1" x14ac:dyDescent="0.35">
      <c r="B54" s="19">
        <v>748</v>
      </c>
      <c r="C54" s="20">
        <v>149.5</v>
      </c>
      <c r="D54" s="20">
        <v>56</v>
      </c>
      <c r="E54" s="21">
        <v>1313440</v>
      </c>
      <c r="J54" s="23"/>
      <c r="K54" s="23"/>
    </row>
    <row r="55" spans="2:11" ht="18.75" customHeight="1" x14ac:dyDescent="0.35">
      <c r="B55" s="19">
        <v>748</v>
      </c>
      <c r="C55" s="20">
        <v>149.5</v>
      </c>
      <c r="D55" s="20">
        <v>50.8</v>
      </c>
      <c r="E55" s="21">
        <v>1172600</v>
      </c>
      <c r="J55" s="23"/>
      <c r="K55" s="23"/>
    </row>
    <row r="56" spans="2:11" ht="18.75" customHeight="1" x14ac:dyDescent="0.35">
      <c r="B56" s="19">
        <v>749</v>
      </c>
      <c r="C56" s="20">
        <v>164.7</v>
      </c>
      <c r="D56" s="20">
        <v>52.9</v>
      </c>
      <c r="E56" s="21">
        <v>1356820</v>
      </c>
      <c r="J56" s="23"/>
      <c r="K56" s="23"/>
    </row>
    <row r="57" spans="2:11" ht="18.75" customHeight="1" x14ac:dyDescent="0.35">
      <c r="B57" s="19">
        <v>780</v>
      </c>
      <c r="C57" s="20">
        <v>137.80000000000001</v>
      </c>
      <c r="D57" s="20">
        <v>59.5</v>
      </c>
      <c r="E57" s="21">
        <v>1217990</v>
      </c>
      <c r="J57" s="23"/>
      <c r="K57" s="23"/>
    </row>
    <row r="58" spans="2:11" ht="18.75" customHeight="1" x14ac:dyDescent="0.35">
      <c r="B58" s="19">
        <v>780</v>
      </c>
      <c r="C58" s="20">
        <v>156</v>
      </c>
      <c r="D58" s="20">
        <v>54.6</v>
      </c>
      <c r="E58" s="21">
        <v>1284010</v>
      </c>
      <c r="J58" s="23"/>
      <c r="K58" s="23"/>
    </row>
    <row r="59" spans="2:11" ht="18.75" customHeight="1" x14ac:dyDescent="0.35">
      <c r="B59" s="19">
        <v>783</v>
      </c>
      <c r="C59" s="20">
        <v>148.69999999999999</v>
      </c>
      <c r="D59" s="20">
        <v>59.7</v>
      </c>
      <c r="E59" s="21">
        <v>1112130</v>
      </c>
      <c r="J59" s="23"/>
      <c r="K59" s="23"/>
    </row>
    <row r="60" spans="2:11" ht="18.75" customHeight="1" x14ac:dyDescent="0.35">
      <c r="B60" s="19">
        <v>897</v>
      </c>
      <c r="C60" s="20">
        <v>198.3</v>
      </c>
      <c r="D60" s="20">
        <v>66.400000000000006</v>
      </c>
      <c r="E60" s="21">
        <v>1279380</v>
      </c>
      <c r="J60" s="23"/>
      <c r="K60" s="23"/>
    </row>
    <row r="61" spans="2:11" ht="18.75" customHeight="1" x14ac:dyDescent="0.35">
      <c r="B61" s="19">
        <v>940</v>
      </c>
      <c r="C61" s="20">
        <v>240</v>
      </c>
      <c r="D61" s="20">
        <v>95.7</v>
      </c>
      <c r="E61" s="21">
        <v>1721940</v>
      </c>
      <c r="J61" s="23"/>
      <c r="K61" s="23"/>
    </row>
    <row r="62" spans="2:11" ht="18.75" customHeight="1" x14ac:dyDescent="0.35">
      <c r="B62" s="19">
        <v>978</v>
      </c>
      <c r="C62" s="20">
        <v>176</v>
      </c>
      <c r="D62" s="20">
        <v>71.099999999999994</v>
      </c>
      <c r="E62" s="21">
        <v>1438940</v>
      </c>
      <c r="J62" s="23"/>
      <c r="K62" s="23"/>
    </row>
    <row r="63" spans="2:11" ht="18.75" customHeight="1" x14ac:dyDescent="0.35">
      <c r="B63" s="19">
        <v>1070</v>
      </c>
      <c r="C63" s="20">
        <v>192.5</v>
      </c>
      <c r="D63" s="20">
        <v>64.900000000000006</v>
      </c>
      <c r="E63" s="21">
        <v>1304540</v>
      </c>
      <c r="J63" s="23"/>
      <c r="K63" s="23"/>
    </row>
    <row r="64" spans="2:11" ht="18.75" customHeight="1" x14ac:dyDescent="0.35">
      <c r="B64" s="19">
        <v>1113</v>
      </c>
      <c r="C64" s="20">
        <v>218.8</v>
      </c>
      <c r="D64" s="20">
        <v>83.3</v>
      </c>
      <c r="E64" s="21">
        <v>1546350</v>
      </c>
      <c r="J64" s="23"/>
      <c r="K64" s="23"/>
    </row>
    <row r="65" spans="2:11" ht="18.75" customHeight="1" x14ac:dyDescent="0.35">
      <c r="B65" s="19">
        <v>1173</v>
      </c>
      <c r="C65" s="20">
        <v>222.8</v>
      </c>
      <c r="D65" s="20">
        <v>91.7</v>
      </c>
      <c r="E65" s="21">
        <v>1721850</v>
      </c>
      <c r="J65" s="23"/>
      <c r="K65" s="23"/>
    </row>
    <row r="66" spans="2:11" ht="18.75" customHeight="1" x14ac:dyDescent="0.35">
      <c r="B66" s="19">
        <v>1187</v>
      </c>
      <c r="C66" s="20">
        <v>225.6</v>
      </c>
      <c r="D66" s="20">
        <v>88.9</v>
      </c>
      <c r="E66" s="21">
        <v>1551860</v>
      </c>
      <c r="J66" s="23"/>
      <c r="K66" s="23"/>
    </row>
  </sheetData>
  <mergeCells count="8">
    <mergeCell ref="G22:I22"/>
    <mergeCell ref="G24:I24"/>
    <mergeCell ref="B14:E14"/>
    <mergeCell ref="G14:H14"/>
    <mergeCell ref="I14:J14"/>
    <mergeCell ref="G19:I19"/>
    <mergeCell ref="G20:I20"/>
    <mergeCell ref="G21:I2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9B2A0-5B87-4415-BA18-A639D861C096}">
  <sheetPr codeName="Sheet2">
    <tabColor theme="7" tint="0.79998168889431442"/>
  </sheetPr>
  <dimension ref="B1:V76"/>
  <sheetViews>
    <sheetView showGridLines="0" tabSelected="1" zoomScale="70" zoomScaleNormal="70" workbookViewId="0">
      <selection activeCell="AQ40" sqref="AQ40"/>
    </sheetView>
  </sheetViews>
  <sheetFormatPr defaultColWidth="9.08984375" defaultRowHeight="14.5" x14ac:dyDescent="0.35"/>
  <cols>
    <col min="1" max="1" width="2.36328125" style="1" customWidth="1"/>
    <col min="2" max="2" width="24.08984375" style="1" customWidth="1"/>
    <col min="3" max="3" width="15.36328125" style="1" customWidth="1"/>
    <col min="4" max="4" width="13.08984375" style="1" bestFit="1" customWidth="1"/>
    <col min="5" max="5" width="11.36328125" style="1" customWidth="1"/>
    <col min="6" max="6" width="11.453125" style="1" customWidth="1"/>
    <col min="7" max="7" width="12.08984375" style="1" bestFit="1" customWidth="1"/>
    <col min="8" max="8" width="10.08984375" style="1" bestFit="1" customWidth="1"/>
    <col min="9" max="10" width="11.6328125" style="1" bestFit="1" customWidth="1"/>
    <col min="11" max="16384" width="9.08984375" style="1"/>
  </cols>
  <sheetData>
    <row r="1" spans="2:22" ht="18.5" x14ac:dyDescent="0.35">
      <c r="B1" s="56" t="s">
        <v>0</v>
      </c>
    </row>
    <row r="2" spans="2:22" ht="15" thickBot="1" x14ac:dyDescent="0.4"/>
    <row r="3" spans="2:22" s="43" customFormat="1" x14ac:dyDescent="0.35">
      <c r="B3" s="61" t="s">
        <v>1</v>
      </c>
      <c r="C3" s="61"/>
    </row>
    <row r="4" spans="2:22" x14ac:dyDescent="0.35">
      <c r="B4" s="37" t="s">
        <v>2</v>
      </c>
      <c r="C4" s="51">
        <v>0.96075424803342979</v>
      </c>
      <c r="U4" s="53" t="s">
        <v>58</v>
      </c>
    </row>
    <row r="5" spans="2:22" x14ac:dyDescent="0.35">
      <c r="B5" s="35" t="s">
        <v>3</v>
      </c>
      <c r="C5" s="52">
        <v>0.92304872511428115</v>
      </c>
      <c r="V5" s="1" t="s">
        <v>59</v>
      </c>
    </row>
    <row r="6" spans="2:22" x14ac:dyDescent="0.35">
      <c r="B6" s="37" t="s">
        <v>4</v>
      </c>
      <c r="C6" s="51">
        <v>0.91803016370869084</v>
      </c>
      <c r="V6" s="1" t="s">
        <v>60</v>
      </c>
    </row>
    <row r="7" spans="2:22" x14ac:dyDescent="0.35">
      <c r="B7" s="37" t="s">
        <v>5</v>
      </c>
      <c r="C7" s="41">
        <v>100169.01505387062</v>
      </c>
    </row>
    <row r="8" spans="2:22" x14ac:dyDescent="0.35">
      <c r="B8" s="37" t="s">
        <v>6</v>
      </c>
      <c r="C8" s="51">
        <v>50</v>
      </c>
    </row>
    <row r="10" spans="2:22" ht="15" thickBot="1" x14ac:dyDescent="0.4">
      <c r="B10" s="1" t="s">
        <v>7</v>
      </c>
    </row>
    <row r="11" spans="2:22" s="43" customFormat="1" ht="29" x14ac:dyDescent="0.35">
      <c r="B11" s="40"/>
      <c r="C11" s="40" t="s">
        <v>8</v>
      </c>
      <c r="D11" s="40" t="s">
        <v>9</v>
      </c>
      <c r="E11" s="40" t="s">
        <v>10</v>
      </c>
      <c r="F11" s="40" t="s">
        <v>11</v>
      </c>
      <c r="G11" s="40" t="s">
        <v>12</v>
      </c>
    </row>
    <row r="12" spans="2:22" x14ac:dyDescent="0.35">
      <c r="B12" s="37" t="s">
        <v>13</v>
      </c>
      <c r="C12" s="51">
        <v>3</v>
      </c>
      <c r="D12" s="39">
        <v>5536476310552.3232</v>
      </c>
      <c r="E12" s="39">
        <v>1845492103517.4412</v>
      </c>
      <c r="F12" s="39">
        <v>183.92695645530273</v>
      </c>
      <c r="G12" s="39">
        <v>1.2782842310920692E-25</v>
      </c>
    </row>
    <row r="13" spans="2:22" x14ac:dyDescent="0.35">
      <c r="B13" s="37" t="s">
        <v>14</v>
      </c>
      <c r="C13" s="51">
        <v>46</v>
      </c>
      <c r="D13" s="39">
        <v>461556252535.67767</v>
      </c>
      <c r="E13" s="39">
        <v>10033831576.862558</v>
      </c>
      <c r="F13" s="39"/>
      <c r="G13" s="39"/>
    </row>
    <row r="14" spans="2:22" x14ac:dyDescent="0.35">
      <c r="B14" s="37" t="s">
        <v>15</v>
      </c>
      <c r="C14" s="51">
        <v>49</v>
      </c>
      <c r="D14" s="39">
        <v>5998032563088.001</v>
      </c>
      <c r="E14" s="39"/>
      <c r="F14" s="39"/>
      <c r="G14" s="39"/>
    </row>
    <row r="15" spans="2:22" ht="15" thickBot="1" x14ac:dyDescent="0.4"/>
    <row r="16" spans="2:22" s="43" customFormat="1" ht="29" x14ac:dyDescent="0.35">
      <c r="B16" s="40"/>
      <c r="C16" s="40" t="s">
        <v>16</v>
      </c>
      <c r="D16" s="40" t="s">
        <v>5</v>
      </c>
      <c r="E16" s="40" t="s">
        <v>17</v>
      </c>
      <c r="F16" s="40" t="s">
        <v>18</v>
      </c>
      <c r="G16" s="40" t="s">
        <v>19</v>
      </c>
      <c r="H16" s="40" t="s">
        <v>20</v>
      </c>
      <c r="I16" s="40" t="s">
        <v>21</v>
      </c>
      <c r="J16" s="40" t="s">
        <v>22</v>
      </c>
    </row>
    <row r="17" spans="2:22" x14ac:dyDescent="0.35">
      <c r="B17" s="35" t="s">
        <v>23</v>
      </c>
      <c r="C17" s="44">
        <v>388421.57082945685</v>
      </c>
      <c r="D17" s="36">
        <v>28206.195259579537</v>
      </c>
      <c r="E17" s="38">
        <v>13.770789262955947</v>
      </c>
      <c r="F17" s="38">
        <v>6.239114975383509E-18</v>
      </c>
      <c r="G17" s="36">
        <v>331645.44452918711</v>
      </c>
      <c r="H17" s="36">
        <v>445197.69712972658</v>
      </c>
      <c r="I17" s="36">
        <v>331645.44452918711</v>
      </c>
      <c r="J17" s="36">
        <v>445197.69712972658</v>
      </c>
    </row>
    <row r="18" spans="2:22" x14ac:dyDescent="0.35">
      <c r="B18" s="35" t="s">
        <v>24</v>
      </c>
      <c r="C18" s="45">
        <v>123.85526534348038</v>
      </c>
      <c r="D18" s="36">
        <v>244.374354588426</v>
      </c>
      <c r="E18" s="38">
        <v>0.50682595377930206</v>
      </c>
      <c r="F18" s="38">
        <v>0.61469794720771298</v>
      </c>
      <c r="G18" s="36">
        <v>-368.0447974963385</v>
      </c>
      <c r="H18" s="36">
        <v>615.7553281832993</v>
      </c>
      <c r="I18" s="36">
        <v>-368.0447974963385</v>
      </c>
      <c r="J18" s="36">
        <v>615.7553281832993</v>
      </c>
    </row>
    <row r="19" spans="2:22" x14ac:dyDescent="0.35">
      <c r="B19" s="35" t="s">
        <v>25</v>
      </c>
      <c r="C19" s="46">
        <v>1099.366271315243</v>
      </c>
      <c r="D19" s="36">
        <v>989.91535997615574</v>
      </c>
      <c r="E19" s="38">
        <v>1.110565928931261</v>
      </c>
      <c r="F19" s="38">
        <v>0.2725267919784814</v>
      </c>
      <c r="G19" s="36">
        <v>-893.23000008350414</v>
      </c>
      <c r="H19" s="36">
        <v>3091.9625427139899</v>
      </c>
      <c r="I19" s="36">
        <v>-893.23000008350414</v>
      </c>
      <c r="J19" s="36">
        <v>3091.9625427139899</v>
      </c>
    </row>
    <row r="20" spans="2:22" x14ac:dyDescent="0.35">
      <c r="B20" s="35" t="s">
        <v>26</v>
      </c>
      <c r="C20" s="47">
        <v>9991.3355879612682</v>
      </c>
      <c r="D20" s="36">
        <v>2831.9369837834779</v>
      </c>
      <c r="E20" s="38">
        <v>3.5280924841105779</v>
      </c>
      <c r="F20" s="38">
        <v>9.6180985835792542E-4</v>
      </c>
      <c r="G20" s="36">
        <v>4290.9420968863406</v>
      </c>
      <c r="H20" s="36">
        <v>15691.729079036195</v>
      </c>
      <c r="I20" s="36">
        <v>4290.9420968863406</v>
      </c>
      <c r="J20" s="36">
        <v>15691.729079036195</v>
      </c>
    </row>
    <row r="21" spans="2:22" x14ac:dyDescent="0.35">
      <c r="U21" s="54" t="s">
        <v>61</v>
      </c>
    </row>
    <row r="22" spans="2:22" x14ac:dyDescent="0.35">
      <c r="V22" s="1" t="s">
        <v>62</v>
      </c>
    </row>
    <row r="23" spans="2:22" x14ac:dyDescent="0.35">
      <c r="V23" s="1" t="s">
        <v>63</v>
      </c>
    </row>
    <row r="24" spans="2:22" x14ac:dyDescent="0.35">
      <c r="B24" s="1" t="s">
        <v>27</v>
      </c>
    </row>
    <row r="25" spans="2:22" ht="15" thickBot="1" x14ac:dyDescent="0.4"/>
    <row r="26" spans="2:22" s="34" customFormat="1" ht="33.4" customHeight="1" x14ac:dyDescent="0.35">
      <c r="B26" s="40" t="s">
        <v>28</v>
      </c>
      <c r="C26" s="42" t="s">
        <v>29</v>
      </c>
      <c r="D26" s="40" t="s">
        <v>30</v>
      </c>
      <c r="F26" s="63" t="s">
        <v>67</v>
      </c>
      <c r="G26" s="63"/>
      <c r="H26" s="63"/>
      <c r="I26" s="63"/>
      <c r="J26" s="63"/>
    </row>
    <row r="27" spans="2:22" x14ac:dyDescent="0.35">
      <c r="B27" s="37">
        <v>1</v>
      </c>
      <c r="C27" s="36">
        <v>534946.22836222546</v>
      </c>
      <c r="D27" s="36">
        <v>-39546.228362225462</v>
      </c>
      <c r="F27" s="62" t="s">
        <v>68</v>
      </c>
      <c r="G27" s="62"/>
      <c r="H27" s="62"/>
      <c r="I27" s="62"/>
      <c r="J27" s="62"/>
    </row>
    <row r="28" spans="2:22" x14ac:dyDescent="0.35">
      <c r="B28" s="37">
        <v>2</v>
      </c>
      <c r="C28" s="36">
        <v>541899.95784887741</v>
      </c>
      <c r="D28" s="36">
        <v>-27089.957848877413</v>
      </c>
      <c r="F28" s="62"/>
      <c r="G28" s="62"/>
      <c r="H28" s="62"/>
      <c r="I28" s="62"/>
      <c r="J28" s="62"/>
    </row>
    <row r="29" spans="2:22" x14ac:dyDescent="0.35">
      <c r="B29" s="37">
        <v>3</v>
      </c>
      <c r="C29" s="36">
        <v>533875.11340078653</v>
      </c>
      <c r="D29" s="36">
        <v>-129125.11340078653</v>
      </c>
      <c r="F29" s="62"/>
      <c r="G29" s="62"/>
      <c r="H29" s="62"/>
      <c r="I29" s="62"/>
      <c r="J29" s="62"/>
    </row>
    <row r="30" spans="2:22" x14ac:dyDescent="0.35">
      <c r="B30" s="37">
        <v>4</v>
      </c>
      <c r="C30" s="36">
        <v>539075.59935455583</v>
      </c>
      <c r="D30" s="36">
        <v>50434.40064544417</v>
      </c>
      <c r="F30" s="62"/>
      <c r="G30" s="62"/>
      <c r="H30" s="62"/>
      <c r="I30" s="62"/>
      <c r="J30" s="62"/>
    </row>
    <row r="31" spans="2:22" x14ac:dyDescent="0.35">
      <c r="B31" s="37">
        <v>5</v>
      </c>
      <c r="C31" s="36">
        <v>509496.66564046877</v>
      </c>
      <c r="D31" s="36">
        <v>-132606.66564046877</v>
      </c>
      <c r="F31" s="62"/>
      <c r="G31" s="62"/>
      <c r="H31" s="62"/>
      <c r="I31" s="62"/>
      <c r="J31" s="62"/>
    </row>
    <row r="32" spans="2:22" x14ac:dyDescent="0.35">
      <c r="B32" s="37">
        <v>6</v>
      </c>
      <c r="C32" s="36">
        <v>590689.149024782</v>
      </c>
      <c r="D32" s="36">
        <v>-71939.149024782004</v>
      </c>
      <c r="F32" s="62"/>
      <c r="G32" s="62"/>
      <c r="H32" s="62"/>
      <c r="I32" s="62"/>
      <c r="J32" s="62"/>
    </row>
    <row r="33" spans="2:22" x14ac:dyDescent="0.35">
      <c r="B33" s="37">
        <v>7</v>
      </c>
      <c r="C33" s="36">
        <v>580849.25266837934</v>
      </c>
      <c r="D33" s="36">
        <v>-85549.25266837934</v>
      </c>
      <c r="F33" s="62"/>
      <c r="G33" s="62"/>
      <c r="H33" s="62"/>
      <c r="I33" s="62"/>
      <c r="J33" s="62"/>
    </row>
    <row r="34" spans="2:22" x14ac:dyDescent="0.35">
      <c r="B34" s="37">
        <v>8</v>
      </c>
      <c r="C34" s="36">
        <v>586204.25612104416</v>
      </c>
      <c r="D34" s="36">
        <v>-102774.25612104416</v>
      </c>
      <c r="F34" s="62"/>
      <c r="G34" s="62"/>
      <c r="H34" s="62"/>
      <c r="I34" s="62"/>
      <c r="J34" s="62"/>
    </row>
    <row r="35" spans="2:22" x14ac:dyDescent="0.35">
      <c r="B35" s="37">
        <v>9</v>
      </c>
      <c r="C35" s="36">
        <v>595211.02141998964</v>
      </c>
      <c r="D35" s="36">
        <v>117188.97858001036</v>
      </c>
      <c r="F35" s="62"/>
      <c r="G35" s="62"/>
      <c r="H35" s="62"/>
      <c r="I35" s="62"/>
      <c r="J35" s="62"/>
    </row>
    <row r="36" spans="2:22" x14ac:dyDescent="0.35">
      <c r="B36" s="37">
        <v>10</v>
      </c>
      <c r="C36" s="36">
        <v>663419.98962503381</v>
      </c>
      <c r="D36" s="36">
        <v>77710.010374966194</v>
      </c>
      <c r="F36" s="62"/>
      <c r="G36" s="62"/>
      <c r="H36" s="62"/>
      <c r="I36" s="62"/>
      <c r="J36" s="62"/>
    </row>
    <row r="37" spans="2:22" x14ac:dyDescent="0.35">
      <c r="B37" s="37">
        <v>11</v>
      </c>
      <c r="C37" s="36">
        <v>615727.560706469</v>
      </c>
      <c r="D37" s="36">
        <v>-35927.560706468998</v>
      </c>
      <c r="F37" s="62"/>
      <c r="G37" s="62"/>
      <c r="H37" s="62"/>
      <c r="I37" s="62"/>
      <c r="J37" s="62"/>
    </row>
    <row r="38" spans="2:22" x14ac:dyDescent="0.35">
      <c r="B38" s="37">
        <v>12</v>
      </c>
      <c r="C38" s="36">
        <v>643544.21431672201</v>
      </c>
      <c r="D38" s="36">
        <v>-55994.214316722006</v>
      </c>
      <c r="F38" s="62"/>
      <c r="G38" s="62"/>
      <c r="H38" s="62"/>
      <c r="I38" s="62"/>
      <c r="J38" s="62"/>
    </row>
    <row r="39" spans="2:22" x14ac:dyDescent="0.35">
      <c r="B39" s="37">
        <v>13</v>
      </c>
      <c r="C39" s="36">
        <v>663666.3478970658</v>
      </c>
      <c r="D39" s="36">
        <v>-37316.347897065803</v>
      </c>
      <c r="F39" s="62"/>
      <c r="G39" s="62"/>
      <c r="H39" s="62"/>
      <c r="I39" s="62"/>
      <c r="J39" s="62"/>
    </row>
    <row r="40" spans="2:22" x14ac:dyDescent="0.35">
      <c r="B40" s="37">
        <v>14</v>
      </c>
      <c r="C40" s="36">
        <v>751504.17831817735</v>
      </c>
      <c r="D40" s="36">
        <v>76415.82168182265</v>
      </c>
      <c r="F40" s="62"/>
      <c r="G40" s="62"/>
      <c r="H40" s="62"/>
      <c r="I40" s="62"/>
      <c r="J40" s="62"/>
    </row>
    <row r="41" spans="2:22" x14ac:dyDescent="0.35">
      <c r="B41" s="37">
        <v>15</v>
      </c>
      <c r="C41" s="36">
        <v>729871.32127901947</v>
      </c>
      <c r="D41" s="36">
        <v>-10841.321279019467</v>
      </c>
      <c r="F41" s="62"/>
      <c r="G41" s="62"/>
      <c r="H41" s="62"/>
      <c r="I41" s="62"/>
      <c r="J41" s="62"/>
      <c r="U41" s="55" t="s">
        <v>64</v>
      </c>
    </row>
    <row r="42" spans="2:22" x14ac:dyDescent="0.35">
      <c r="B42" s="37">
        <v>16</v>
      </c>
      <c r="C42" s="36">
        <v>679133.60194684914</v>
      </c>
      <c r="D42" s="36">
        <v>-193663.60194684914</v>
      </c>
      <c r="F42" s="62"/>
      <c r="G42" s="62"/>
      <c r="H42" s="62"/>
      <c r="I42" s="62"/>
      <c r="J42" s="62"/>
      <c r="V42" s="1" t="s">
        <v>65</v>
      </c>
    </row>
    <row r="43" spans="2:22" x14ac:dyDescent="0.35">
      <c r="B43" s="37">
        <v>17</v>
      </c>
      <c r="C43" s="36">
        <v>719920.09852901404</v>
      </c>
      <c r="D43" s="36">
        <v>101109.90147098596</v>
      </c>
      <c r="V43" s="1" t="s">
        <v>66</v>
      </c>
    </row>
    <row r="44" spans="2:22" x14ac:dyDescent="0.35">
      <c r="B44" s="37">
        <v>18</v>
      </c>
      <c r="C44" s="36">
        <v>734483.21585171623</v>
      </c>
      <c r="D44" s="36">
        <v>30176.784148283768</v>
      </c>
    </row>
    <row r="45" spans="2:22" x14ac:dyDescent="0.35">
      <c r="B45" s="37">
        <v>19</v>
      </c>
      <c r="C45" s="36">
        <v>725768.6039440711</v>
      </c>
      <c r="D45" s="36">
        <v>47531.396055928897</v>
      </c>
    </row>
    <row r="46" spans="2:22" x14ac:dyDescent="0.35">
      <c r="B46" s="37">
        <v>20</v>
      </c>
      <c r="C46" s="36">
        <v>779924.36136632552</v>
      </c>
      <c r="D46" s="36">
        <v>7725.6386336744763</v>
      </c>
    </row>
    <row r="47" spans="2:22" x14ac:dyDescent="0.35">
      <c r="B47" s="37">
        <v>21</v>
      </c>
      <c r="C47" s="36">
        <v>811637.69302488002</v>
      </c>
      <c r="D47" s="36">
        <v>92382.30697511998</v>
      </c>
    </row>
    <row r="48" spans="2:22" x14ac:dyDescent="0.35">
      <c r="B48" s="37">
        <v>22</v>
      </c>
      <c r="C48" s="36">
        <v>789359.77949271339</v>
      </c>
      <c r="D48" s="36">
        <v>-65489.779492713395</v>
      </c>
    </row>
    <row r="49" spans="2:4" x14ac:dyDescent="0.35">
      <c r="B49" s="37">
        <v>23</v>
      </c>
      <c r="C49" s="36">
        <v>775155.36799285049</v>
      </c>
      <c r="D49" s="36">
        <v>18144.632007149514</v>
      </c>
    </row>
    <row r="50" spans="2:4" x14ac:dyDescent="0.35">
      <c r="B50" s="37">
        <v>24</v>
      </c>
      <c r="C50" s="36">
        <v>883812.49294813117</v>
      </c>
      <c r="D50" s="36">
        <v>62247.50705186883</v>
      </c>
    </row>
    <row r="51" spans="2:4" x14ac:dyDescent="0.35">
      <c r="B51" s="37">
        <v>25</v>
      </c>
      <c r="C51" s="36">
        <v>868304.41155395133</v>
      </c>
      <c r="D51" s="36">
        <v>143075.58844604867</v>
      </c>
    </row>
    <row r="52" spans="2:4" x14ac:dyDescent="0.35">
      <c r="B52" s="37">
        <v>26</v>
      </c>
      <c r="C52" s="36">
        <v>893458.91639744397</v>
      </c>
      <c r="D52" s="36">
        <v>247971.08360255603</v>
      </c>
    </row>
    <row r="53" spans="2:4" x14ac:dyDescent="0.35">
      <c r="B53" s="37">
        <v>27</v>
      </c>
      <c r="C53" s="36">
        <v>1001325.6646550151</v>
      </c>
      <c r="D53" s="36">
        <v>-76115.664655015105</v>
      </c>
    </row>
    <row r="54" spans="2:4" x14ac:dyDescent="0.35">
      <c r="B54" s="37">
        <v>28</v>
      </c>
      <c r="C54" s="36">
        <v>992056.010515481</v>
      </c>
      <c r="D54" s="36">
        <v>-54306.010515481001</v>
      </c>
    </row>
    <row r="55" spans="2:4" x14ac:dyDescent="0.35">
      <c r="B55" s="37">
        <v>29</v>
      </c>
      <c r="C55" s="36">
        <v>987028.55194805493</v>
      </c>
      <c r="D55" s="36">
        <v>198781.44805194507</v>
      </c>
    </row>
    <row r="56" spans="2:4" x14ac:dyDescent="0.35">
      <c r="B56" s="37">
        <v>30</v>
      </c>
      <c r="C56" s="36">
        <v>1042897.5553642944</v>
      </c>
      <c r="D56" s="36">
        <v>54882.444635705557</v>
      </c>
    </row>
    <row r="57" spans="2:4" x14ac:dyDescent="0.35">
      <c r="B57" s="37">
        <v>31</v>
      </c>
      <c r="C57" s="36">
        <v>1086650.8506092045</v>
      </c>
      <c r="D57" s="36">
        <v>81869.149390795501</v>
      </c>
    </row>
    <row r="58" spans="2:4" x14ac:dyDescent="0.35">
      <c r="B58" s="37">
        <v>32</v>
      </c>
      <c r="C58" s="36">
        <v>1088182.4545957169</v>
      </c>
      <c r="D58" s="36">
        <v>101927.5454042831</v>
      </c>
    </row>
    <row r="59" spans="2:4" x14ac:dyDescent="0.35">
      <c r="B59" s="37">
        <v>33</v>
      </c>
      <c r="C59" s="36">
        <v>1082986.720614427</v>
      </c>
      <c r="D59" s="36">
        <v>-127926.720614427</v>
      </c>
    </row>
    <row r="60" spans="2:4" x14ac:dyDescent="0.35">
      <c r="B60" s="37">
        <v>34</v>
      </c>
      <c r="C60" s="36">
        <v>1074076.1715354607</v>
      </c>
      <c r="D60" s="36">
        <v>-14966.171535460744</v>
      </c>
    </row>
    <row r="61" spans="2:4" x14ac:dyDescent="0.35">
      <c r="B61" s="37">
        <v>35</v>
      </c>
      <c r="C61" s="36">
        <v>1213423.3199930727</v>
      </c>
      <c r="D61" s="36">
        <v>-183303.31999307266</v>
      </c>
    </row>
    <row r="62" spans="2:4" x14ac:dyDescent="0.35">
      <c r="B62" s="37">
        <v>36</v>
      </c>
      <c r="C62" s="36">
        <v>1195242.5420178762</v>
      </c>
      <c r="D62" s="36">
        <v>15037.457982123829</v>
      </c>
    </row>
    <row r="63" spans="2:4" x14ac:dyDescent="0.35">
      <c r="B63" s="37">
        <v>37</v>
      </c>
      <c r="C63" s="36">
        <v>1168522.7205398353</v>
      </c>
      <c r="D63" s="36">
        <v>-8972.7205398352817</v>
      </c>
    </row>
    <row r="64" spans="2:4" x14ac:dyDescent="0.35">
      <c r="B64" s="37">
        <v>38</v>
      </c>
      <c r="C64" s="36">
        <v>1204935.35979384</v>
      </c>
      <c r="D64" s="36">
        <v>108504.64020616002</v>
      </c>
    </row>
    <row r="65" spans="2:4" x14ac:dyDescent="0.35">
      <c r="B65" s="37">
        <v>39</v>
      </c>
      <c r="C65" s="36">
        <v>1152980.4147364413</v>
      </c>
      <c r="D65" s="36">
        <v>19619.585263558663</v>
      </c>
    </row>
    <row r="66" spans="2:4" x14ac:dyDescent="0.35">
      <c r="B66" s="37">
        <v>40</v>
      </c>
      <c r="C66" s="36">
        <v>1190796.4420604953</v>
      </c>
      <c r="D66" s="36">
        <v>166023.55793950474</v>
      </c>
    </row>
    <row r="67" spans="2:4" x14ac:dyDescent="0.35">
      <c r="B67" s="37">
        <v>41</v>
      </c>
      <c r="C67" s="36">
        <v>1231005.8174683074</v>
      </c>
      <c r="D67" s="36">
        <v>-13015.817468307447</v>
      </c>
    </row>
    <row r="68" spans="2:4" x14ac:dyDescent="0.35">
      <c r="B68" s="37">
        <v>42</v>
      </c>
      <c r="C68" s="36">
        <v>1202056.7392252348</v>
      </c>
      <c r="D68" s="36">
        <v>81953.260774765164</v>
      </c>
    </row>
    <row r="69" spans="2:4" x14ac:dyDescent="0.35">
      <c r="B69" s="37">
        <v>43</v>
      </c>
      <c r="C69" s="36">
        <v>1245358.7427392663</v>
      </c>
      <c r="D69" s="36">
        <v>-133228.74273926625</v>
      </c>
    </row>
    <row r="70" spans="2:4" x14ac:dyDescent="0.35">
      <c r="B70" s="37">
        <v>44</v>
      </c>
      <c r="C70" s="36">
        <v>1380948.7584849996</v>
      </c>
      <c r="D70" s="36">
        <v>-101568.75848499965</v>
      </c>
    </row>
    <row r="71" spans="2:4" x14ac:dyDescent="0.35">
      <c r="B71" s="37">
        <v>45</v>
      </c>
      <c r="C71" s="36">
        <v>1724864.2411358801</v>
      </c>
      <c r="D71" s="36">
        <v>-2924.2411358801182</v>
      </c>
    </row>
    <row r="72" spans="2:4" x14ac:dyDescent="0.35">
      <c r="B72" s="37">
        <v>46</v>
      </c>
      <c r="C72" s="36">
        <v>1413424.4443909097</v>
      </c>
      <c r="D72" s="36">
        <v>25515.555609090254</v>
      </c>
    </row>
    <row r="73" spans="2:4" x14ac:dyDescent="0.35">
      <c r="B73" s="37">
        <v>47</v>
      </c>
      <c r="C73" s="36">
        <v>1381012.3916338515</v>
      </c>
      <c r="D73" s="36">
        <v>-76472.391633851454</v>
      </c>
    </row>
    <row r="74" spans="2:4" x14ac:dyDescent="0.35">
      <c r="B74" s="37">
        <v>48</v>
      </c>
      <c r="C74" s="36">
        <v>1599092.0757976994</v>
      </c>
      <c r="D74" s="36">
        <v>-52742.075797699392</v>
      </c>
    </row>
    <row r="75" spans="2:4" x14ac:dyDescent="0.35">
      <c r="B75" s="37">
        <v>49</v>
      </c>
      <c r="C75" s="36">
        <v>1694848.075742444</v>
      </c>
      <c r="D75" s="36">
        <v>27001.924257555977</v>
      </c>
    </row>
    <row r="76" spans="2:4" x14ac:dyDescent="0.35">
      <c r="B76" s="37">
        <v>50</v>
      </c>
      <c r="C76" s="36">
        <v>1671684.5353706437</v>
      </c>
      <c r="D76" s="36">
        <v>-119824.53537064372</v>
      </c>
    </row>
  </sheetData>
  <mergeCells count="3">
    <mergeCell ref="B3:C3"/>
    <mergeCell ref="F27:J42"/>
    <mergeCell ref="F26:J2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2.2 Multi-Linear Reg Compl</vt:lpstr>
      <vt:lpstr>2.3 Reg Analysis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KAREY WONG</dc:creator>
  <cp:lastModifiedBy>KAREY WONG</cp:lastModifiedBy>
  <dcterms:created xsi:type="dcterms:W3CDTF">2025-04-15T02:31:03Z</dcterms:created>
  <dcterms:modified xsi:type="dcterms:W3CDTF">2025-05-02T17:14:28Z</dcterms:modified>
</cp:coreProperties>
</file>