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re\OneDrive\Desktop\1) Comp Portfolio\0) GitHub\"/>
    </mc:Choice>
  </mc:AlternateContent>
  <xr:revisionPtr revIDLastSave="0" documentId="13_ncr:1_{3A4B12BD-4E61-4274-B2F8-0A30D0860EC3}" xr6:coauthVersionLast="47" xr6:coauthVersionMax="47" xr10:uidLastSave="{00000000-0000-0000-0000-000000000000}"/>
  <bookViews>
    <workbookView xWindow="-98" yWindow="-98" windowWidth="28996" windowHeight="15675" activeTab="1" xr2:uid="{F47DD8B0-1D0E-4C08-9DAF-70D23B631FB6}"/>
  </bookViews>
  <sheets>
    <sheet name="EV Calculation and LTI Payout" sheetId="4" r:id="rId1"/>
    <sheet name="DCF and Gordon Growth Mode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C">#REF!</definedName>
    <definedName name="\M">#REF!</definedName>
    <definedName name="\S">#REF!</definedName>
    <definedName name="\X">#REF!</definedName>
    <definedName name="____1">#REF!</definedName>
    <definedName name="____17.2">#REF!</definedName>
    <definedName name="____17.3">#REF!</definedName>
    <definedName name="____17.4">#REF!</definedName>
    <definedName name="____17.5">#REF!</definedName>
    <definedName name="____17.6">#REF!</definedName>
    <definedName name="____17.7">#REF!</definedName>
    <definedName name="____17.8">#REF!</definedName>
    <definedName name="____18.2">#REF!</definedName>
    <definedName name="____18.3">#REF!</definedName>
    <definedName name="____18.4">#REF!</definedName>
    <definedName name="____2.2">#REF!</definedName>
    <definedName name="____2.3">#REF!</definedName>
    <definedName name="____20.1">#REF!</definedName>
    <definedName name="____3.1">#REF!</definedName>
    <definedName name="____3.2">#REF!</definedName>
    <definedName name="____4">#REF!</definedName>
    <definedName name="____5">#REF!</definedName>
    <definedName name="____6.4">#REF!</definedName>
    <definedName name="___1">#REF!</definedName>
    <definedName name="___17.2">#REF!</definedName>
    <definedName name="___17.3">#REF!</definedName>
    <definedName name="___17.4">#REF!</definedName>
    <definedName name="___17.5">#REF!</definedName>
    <definedName name="___17.6">#REF!</definedName>
    <definedName name="___17.7">#REF!</definedName>
    <definedName name="___17.8">#REF!</definedName>
    <definedName name="___18.2">#REF!</definedName>
    <definedName name="___18.3">#REF!</definedName>
    <definedName name="___18.4">#REF!</definedName>
    <definedName name="___2.2">#REF!</definedName>
    <definedName name="___2.3">#REF!</definedName>
    <definedName name="___20.1">#REF!</definedName>
    <definedName name="___3.1">#REF!</definedName>
    <definedName name="___3.2">#REF!</definedName>
    <definedName name="___4">#REF!</definedName>
    <definedName name="___5">#REF!</definedName>
    <definedName name="___6.4">#REF!</definedName>
    <definedName name="__1">#REF!</definedName>
    <definedName name="__17.2">#REF!</definedName>
    <definedName name="__17.3">#REF!</definedName>
    <definedName name="__17.4">#REF!</definedName>
    <definedName name="__17.5">#REF!</definedName>
    <definedName name="__17.6">#REF!</definedName>
    <definedName name="__17.7">#REF!</definedName>
    <definedName name="__17.8">#REF!</definedName>
    <definedName name="__18.2">#REF!</definedName>
    <definedName name="__18.3">#REF!</definedName>
    <definedName name="__18.4">#REF!</definedName>
    <definedName name="__2.2">#REF!</definedName>
    <definedName name="__2.3">#REF!</definedName>
    <definedName name="__20.1">#REF!</definedName>
    <definedName name="__3.1">#REF!</definedName>
    <definedName name="__3.2">#REF!</definedName>
    <definedName name="__4">#REF!</definedName>
    <definedName name="__5">#REF!</definedName>
    <definedName name="__6.4">#REF!</definedName>
    <definedName name="__8.2">#REF!</definedName>
    <definedName name="__IntlFixup" hidden="1">TRUE</definedName>
    <definedName name="__IntlFixupTable" localSheetId="1" hidden="1">#REF!</definedName>
    <definedName name="__IntlFixupTable" hidden="1">#REF!</definedName>
    <definedName name="_1">#REF!</definedName>
    <definedName name="_1_1">#REF!</definedName>
    <definedName name="_10_15.2">#REF!</definedName>
    <definedName name="_11_15R">#REF!</definedName>
    <definedName name="_12_15R1">#REF!</definedName>
    <definedName name="_13_16">#REF!</definedName>
    <definedName name="_15_17.2">#REF!</definedName>
    <definedName name="_16_17.3">#REF!</definedName>
    <definedName name="_17.2">#REF!</definedName>
    <definedName name="_17.3">#REF!</definedName>
    <definedName name="_17.4">#REF!</definedName>
    <definedName name="_17.5">#REF!</definedName>
    <definedName name="_17.6">#REF!</definedName>
    <definedName name="_17.7">#REF!</definedName>
    <definedName name="_17.8">#REF!</definedName>
    <definedName name="_17_17.4">#REF!</definedName>
    <definedName name="_18.2">#REF!</definedName>
    <definedName name="_18.3">#REF!</definedName>
    <definedName name="_18.4">#REF!</definedName>
    <definedName name="_18_17.5">#REF!</definedName>
    <definedName name="_19_17.6">#REF!</definedName>
    <definedName name="_2.2">#REF!</definedName>
    <definedName name="_2.3">#REF!</definedName>
    <definedName name="_20.1">#REF!</definedName>
    <definedName name="_20_17.7">#REF!</definedName>
    <definedName name="_21">#REF!</definedName>
    <definedName name="_21_17.8">#REF!</definedName>
    <definedName name="_23_18.2">#REF!</definedName>
    <definedName name="_24_18.3">#REF!</definedName>
    <definedName name="_25_18.4">#REF!</definedName>
    <definedName name="_27_2.2">#REF!</definedName>
    <definedName name="_28_2.3">#REF!</definedName>
    <definedName name="_29_20.1">#REF!</definedName>
    <definedName name="_3.1">#REF!</definedName>
    <definedName name="_3.2">#REF!</definedName>
    <definedName name="_3_10">#REF!</definedName>
    <definedName name="_30_20.2">#REF!</definedName>
    <definedName name="_32_3.1">#REF!</definedName>
    <definedName name="_33_3.2">#REF!</definedName>
    <definedName name="_34_4">#REF!</definedName>
    <definedName name="_35_5">#REF!</definedName>
    <definedName name="_36_6.1">#REF!</definedName>
    <definedName name="_37_6.2">#REF!</definedName>
    <definedName name="_39_6.4">#REF!</definedName>
    <definedName name="_4">#REF!</definedName>
    <definedName name="_40_7.1">#REF!</definedName>
    <definedName name="_41_7.2">#REF!</definedName>
    <definedName name="_42_8.1">#REF!</definedName>
    <definedName name="_43_8.2">#REF!</definedName>
    <definedName name="_44P_R">#REF!</definedName>
    <definedName name="_5">#REF!</definedName>
    <definedName name="_6.4">#REF!</definedName>
    <definedName name="_7.1">#REF!</definedName>
    <definedName name="_7.2">#REF!</definedName>
    <definedName name="_7_14">#REF!</definedName>
    <definedName name="_8.1">#REF!</definedName>
    <definedName name="_8.2">#REF!</definedName>
    <definedName name="_8_15">#REF!</definedName>
    <definedName name="_9_15.1">#REF!</definedName>
    <definedName name="_Fill" hidden="1">#REF!</definedName>
    <definedName name="_Key1" hidden="1">#REF!</definedName>
    <definedName name="_Order1" hidden="1">0</definedName>
    <definedName name="_Sort" hidden="1">#REF!</definedName>
    <definedName name="A">#REF!</definedName>
    <definedName name="A_Attended">#REF!</definedName>
    <definedName name="A_House">#REF!</definedName>
    <definedName name="A_Registered">#REF!</definedName>
    <definedName name="AA.Report.Files" localSheetId="1" hidden="1">#REF!</definedName>
    <definedName name="AA.Report.Files" hidden="1">#REF!</definedName>
    <definedName name="AA.Reports.Available" localSheetId="1" hidden="1">#REF!</definedName>
    <definedName name="AA.Reports.Available" hidden="1">#REF!</definedName>
    <definedName name="ACB_X">#REF!</definedName>
    <definedName name="ACH_v">#REF!</definedName>
    <definedName name="ACH50_">#REF!</definedName>
    <definedName name="Actives">#REF!</definedName>
    <definedName name="Andrea">#REF!</definedName>
    <definedName name="AP">#REF!</definedName>
    <definedName name="AR">#REF!</definedName>
    <definedName name="as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2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2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_2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asd" localSheetId="1">#REF!</definedName>
    <definedName name="asd">#REF!</definedName>
    <definedName name="asdg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_Attended">#REF!</definedName>
    <definedName name="B_Registered">#REF!</definedName>
    <definedName name="BalanceSheet">[1]BalanceSheet!$A$2:$E$41</definedName>
    <definedName name="Band">#REF!</definedName>
    <definedName name="Bands">#REF!</definedName>
    <definedName name="bb_N0U4QjY0QTlGRUQ3NEUxMU" localSheetId="1" hidden="1">#REF!</definedName>
    <definedName name="bb_N0U4QjY0QTlGRUQ3NEUxMU" localSheetId="0" hidden="1">'EV Calculation and LTI Payout'!#REF!</definedName>
    <definedName name="bb_N0U4QjY0QTlGRUQ3NEUxMU" hidden="1">#REF!</definedName>
    <definedName name="bla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lah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BSA">#REF!</definedName>
    <definedName name="C_">#REF!</definedName>
    <definedName name="CASHFLOW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" hidden="1">#REF!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6Alt" hidden="1">#REF!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7Alt" hidden="1">#REF!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eiling_R_value">#REF!</definedName>
    <definedName name="Celcius" comment="Convert Fahrenheit to Celcius" localSheetId="1">_xlfn.LAMBDA(_xlpm.temp,5/9*(_xlpm.temp-32))</definedName>
    <definedName name="Celcius" comment="Convert Fahrenheit to Celcius" localSheetId="0">_xlfn.LAMBDA(_xlpm.temp,5/9*(_xlpm.temp-32))</definedName>
    <definedName name="Celcius" comment="Convert Fahrenheit to Celcius">_xlfn.LAMBDA(_xlpm.temp,5/9*(_xlpm.temp-32))</definedName>
    <definedName name="CellLock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_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_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_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CellLockData">'[2]Adv Cell Lock'!$B$87:$E$96</definedName>
    <definedName name="cf">'[3]Dynamic Named Ranges (2)'!$E$7:INDEX('[3]Dynamic Named Ranges (2)'!$E:$E,COUNTA('[3]Dynamic Named Ranges (2)'!$E:$E))</definedName>
    <definedName name="cf_dates">'[3]Dynamic Named Ranges (2)'!$C$7:INDEX('[3]Dynamic Named Ranges (2)'!$C:$C,COUNTA(!$C:$C))</definedName>
    <definedName name="cf_stream_1">'[3]Dynamic Named Ranges (2)'!$D$7:INDEX('[3]Dynamic Named Ranges (2)'!$D:$D,COUNTA('[3]Dynamic Named Ranges (2)'!$D:$D))</definedName>
    <definedName name="CF11\12\13">#REF!</definedName>
    <definedName name="Changes">#REF!</definedName>
    <definedName name="CIQWBGuid" hidden="1">"2cd8126d-26c3-430c-b7fa-a069e3a1fc62"</definedName>
    <definedName name="City">#REF!</definedName>
    <definedName name="CodeTitle">#REF!</definedName>
    <definedName name="COGS2004">[4]Sheet2!$C$6</definedName>
    <definedName name="ColMultiplier">'[5]Adv Cell Lock'!$B$120:$B$123</definedName>
    <definedName name="country_codes">#REF!</definedName>
    <definedName name="country_codes_2">#REF!</definedName>
    <definedName name="COVER">#REF!</definedName>
    <definedName name="Currency">[6]WELCOME!$W$37</definedName>
    <definedName name="d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data" hidden="1">{#N/A,#N/A,TRUE,"Sheet16"}</definedName>
    <definedName name="Data.Dump" localSheetId="1" hidden="1">OFFSET([0]!Data.Top.Left,1,0)</definedName>
    <definedName name="Data.Dump" localSheetId="0" hidden="1">OFFSET([0]!Data.Top.Left,1,0)</definedName>
    <definedName name="Data.Dump" hidden="1">OFFSET([0]!Data.Top.Left,1,0)</definedName>
    <definedName name="Data.Dump2" localSheetId="1" hidden="1">OFFSET([0]!Data.Top.Left,1,0)</definedName>
    <definedName name="Data.Dump2" localSheetId="0" hidden="1">OFFSET([0]!Data.Top.Left,1,0)</definedName>
    <definedName name="Data.Dump2" hidden="1">OFFSET([0]!Data.Top.Left,1,0)</definedName>
    <definedName name="Data.Dump3" localSheetId="1" hidden="1">OFFSET([0]!Data.Top.Left,1,0)</definedName>
    <definedName name="Data.Dump3" localSheetId="0" hidden="1">OFFSET([0]!Data.Top.Left,1,0)</definedName>
    <definedName name="Data.Dump3" hidden="1">OFFSET([0]!Data.Top.Left,1,0)</definedName>
    <definedName name="DATA_01" hidden="1">'[7]Sales Seasonality by Month'!$B$4</definedName>
    <definedName name="DATA_02" hidden="1">'[7]Sales Seasonality by Month'!$B$9</definedName>
    <definedName name="DATA_03" hidden="1">'[7]Sales Seasonality by Month'!$C$9:$C$20</definedName>
    <definedName name="DATA_04" hidden="1">'[7]Sales Seasonality by Month'!$F$9:$F$20</definedName>
    <definedName name="data1" hidden="1">{#N/A,#N/A,TRUE,"Sheet16"}</definedName>
    <definedName name="data2">'[8]Account Info'!$A:$IV</definedName>
    <definedName name="Database.File" localSheetId="1" hidden="1">#REF!</definedName>
    <definedName name="Database.File" hidden="1">#REF!</definedName>
    <definedName name="DD">#REF!</definedName>
    <definedName name="DescriptionsMaster">#REF!</definedName>
    <definedName name="Discount_Rate" localSheetId="1">#REF!</definedName>
    <definedName name="Discount_Rate" localSheetId="0">'EV Calculation and LTI Payout'!$C$13</definedName>
    <definedName name="Discount_Rate">#REF!</definedName>
    <definedName name="ds">#REF!</definedName>
    <definedName name="DT">#REF!</definedName>
    <definedName name="du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DY">#REF!</definedName>
    <definedName name="e_Heat">#REF!</definedName>
    <definedName name="e_Rec">#REF!</definedName>
    <definedName name="Earnings">[9]Subtotal!$E$11:$E$50</definedName>
    <definedName name="east">#REF!</definedName>
    <definedName name="EBITDA">#REF!</definedName>
    <definedName name="ENDBALOP97">#REF!</definedName>
    <definedName name="ENDBALRE97">#REF!</definedName>
    <definedName name="eps">#REF!</definedName>
    <definedName name="error">#REF!</definedName>
    <definedName name="error_2">#REF!</definedName>
    <definedName name="EXPTOTAL">#REF!</definedName>
    <definedName name="f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F_fan">#REF!</definedName>
    <definedName name="ff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fg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fh" hidden="1">#REF!</definedName>
    <definedName name="fhdfg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File.Type" localSheetId="1" hidden="1">#REF!</definedName>
    <definedName name="File.Type" hidden="1">#REF!</definedName>
    <definedName name="Forecast" localSheetId="1">#REF!</definedName>
    <definedName name="Forecast">#REF!</definedName>
    <definedName name="Functions">#REF!</definedName>
    <definedName name="GAS">#REF!</definedName>
    <definedName name="GASWK">#REF!</definedName>
    <definedName name="gf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HTML_CodePage" hidden="1">1252</definedName>
    <definedName name="HTML_Control" localSheetId="1" hidden="1">{"'Leverage'!$B$2:$M$418"}</definedName>
    <definedName name="HTML_Control" localSheetId="0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i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IncomeStatement">[1]IncomeStatement!$A$2:$E$28</definedName>
    <definedName name="INCTOT">#REF!</definedName>
    <definedName name="Ind.Leadershi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41393.570150463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h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jlk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jm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jn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Juhl">#REF!</definedName>
    <definedName name="k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k_Rate">#REF!</definedName>
    <definedName name="kg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k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kj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kk" hidden="1">#REF!</definedName>
    <definedName name="kl" hidden="1">#REF!</definedName>
    <definedName name="km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kn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l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LABOR_TAX" hidden="1">'[10]Service Invoice'!$G$15</definedName>
    <definedName name="Leverage_L">#REF!</definedName>
    <definedName name="Leverage_M">#REF!</definedName>
    <definedName name="m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MACRO">#REF!</definedName>
    <definedName name="macys">#REF!</definedName>
    <definedName name="MAINT">#REF!</definedName>
    <definedName name="Matrix">#REF!</definedName>
    <definedName name="m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mi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mj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mk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MLNK841c85bef3244d5c8fb6b3f84988d79e" hidden="1">#REF!</definedName>
    <definedName name="MLNKa7775792bf444a4785f8ed5c82461a24" hidden="1">#REF!</definedName>
    <definedName name="MM">#REF!</definedName>
    <definedName name="MO">#REF!</definedName>
    <definedName name="MonthNumber" localSheetId="1">#REF!</definedName>
    <definedName name="MonthNumber">#REF!</definedName>
    <definedName name="MonthsList" localSheetId="1">#REF!</definedName>
    <definedName name="MonthsList">#REF!</definedName>
    <definedName name="MTINC">#REF!</definedName>
    <definedName name="MW_air">#REF!</definedName>
    <definedName name="MW_H2O">#REF!</definedName>
    <definedName name="N">#REF!</definedName>
    <definedName name="NAME">#REF!</definedName>
    <definedName name="none" localSheetId="1">#REF!</definedName>
    <definedName name="none">#REF!</definedName>
    <definedName name="none2" localSheetId="1">#REF!</definedName>
    <definedName name="none2">#REF!</definedName>
    <definedName name="none3" localSheetId="1">#REF!</definedName>
    <definedName name="none3">#REF!</definedName>
    <definedName name="NOTE1">#REF!</definedName>
    <definedName name="NOTE2">#REF!</definedName>
    <definedName name="NOTE3">#REF!</definedName>
    <definedName name="NTPAY">#REF!</definedName>
    <definedName name="Number_of_Employees" localSheetId="1">#REF!</definedName>
    <definedName name="Number_of_Employees">#REF!</definedName>
    <definedName name="OIL">#REF!</definedName>
    <definedName name="OILWK">#REF!</definedName>
    <definedName name="Ownership" localSheetId="1" hidden="1">OFFSET([0]!Data.Top.Left,1,0)</definedName>
    <definedName name="Ownership" localSheetId="0" hidden="1">OFFSET([0]!Data.Top.Left,1,0)</definedName>
    <definedName name="Ownership" hidden="1">OFFSET([0]!Data.Top.Left,1,0)</definedName>
    <definedName name="Ownership2" localSheetId="1" hidden="1">OFFSET([0]!Data.Top.Left,1,0)</definedName>
    <definedName name="Ownership2" localSheetId="0" hidden="1">OFFSET([0]!Data.Top.Left,1,0)</definedName>
    <definedName name="Ownership2" hidden="1">OFFSET([0]!Data.Top.Left,1,0)</definedName>
    <definedName name="Ownsership3" localSheetId="1" hidden="1">OFFSET([0]!Data.Top.Left,1,0)</definedName>
    <definedName name="Ownsership3" localSheetId="0" hidden="1">OFFSET([0]!Data.Top.Left,1,0)</definedName>
    <definedName name="Ownsership3" hidden="1">OFFSET([0]!Data.Top.Left,1,0)</definedName>
    <definedName name="p_Air">#REF!</definedName>
    <definedName name="PARTS_TAX" hidden="1">'[10]Service Invoice'!$D$15</definedName>
    <definedName name="PD_SOURCE">#REF!</definedName>
    <definedName name="PDs">#REF!</definedName>
    <definedName name="PGContent_EN">#REF!</definedName>
    <definedName name="Pitchbook" hidden="1">{#N/A,#N/A,TRUE,"Sheet16"}</definedName>
    <definedName name="population_1">OFFSET('[3]Dynamic Named Ranges'!$C$11,0,0,COUNTA('[3]Dynamic Named Ranges'!$C:$C))</definedName>
    <definedName name="_xlnm.Print_Area" localSheetId="0">'EV Calculation and LTI Payout'!$B$1:$L$100</definedName>
    <definedName name="PROFIT94">#REF!</definedName>
    <definedName name="PROFIT97">#REF!</definedName>
    <definedName name="PROFIT98">#REF!</definedName>
    <definedName name="q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qw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R_d">#REF!</definedName>
    <definedName name="RangeCF">'[3]Dynamic Named Ranges (2)'!XFC1048576:INDEX('[3]Dynamic Named Ranges (2)'!XFC92:XFC1048576,COUNTA('[3]Dynamic Named Ranges (2)'!XFC92:XFC1048576))</definedName>
    <definedName name="RangeDate">'[3]Dynamic Named Ranges (2)'!XFB1048575:INDEX('[3]Dynamic Named Ranges (2)'!XFB91:XFB1048575,COUNTA('[3]Dynamic Named Ranges (2)'!XFB91:XFB1048575))</definedName>
    <definedName name="Ratios">[1]Ratios!$A$1:$D$55</definedName>
    <definedName name="Reference">#REF!</definedName>
    <definedName name="region">#REF!</definedName>
    <definedName name="RETAX1">#REF!</definedName>
    <definedName name="RETAX2">#REF!</definedName>
    <definedName name="Revenues2004">[4]Sheet2!$C$5</definedName>
    <definedName name="RH_O">#REF!</definedName>
    <definedName name="RH_R">#REF!</definedName>
    <definedName name="RowMultiplier">'[5]Adv Cell Lock'!$C$119:$F$119</definedName>
    <definedName name="rt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s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Sales">OFFSET('[3]Dynamic Named Ranges'!$C$31,MATCH(1,'[3]Dynamic Named Ranges'!$C$31:$C$1048576,1),0,COUNTA('[3]Dynamic Named Ranges'!$C:$C))</definedName>
    <definedName name="Sample1">#REF!</definedName>
    <definedName name="ScenarioList">#REF!</definedName>
    <definedName name="sencount" hidden="1">1</definedName>
    <definedName name="sfd" hidden="1">#REF!</definedName>
    <definedName name="Show.Acct.Update.Warning" localSheetId="1" hidden="1">#REF!</definedName>
    <definedName name="Show.Acct.Update.Warning" hidden="1">#REF!</definedName>
    <definedName name="Show.MDB.Update.Warning" localSheetId="1" hidden="1">#REF!</definedName>
    <definedName name="Show.MDB.Update.Warning" hidden="1">#REF!</definedName>
    <definedName name="sk" hidden="1">"1, 3, 1, False, 2, False, False, , 0, False, True, 3, 2"</definedName>
    <definedName name="south">#REF!</definedName>
    <definedName name="STEAM">#REF!</definedName>
    <definedName name="STEAMWK">#REF!</definedName>
    <definedName name="Step_1" localSheetId="1">#REF!</definedName>
    <definedName name="Step_1">#REF!</definedName>
    <definedName name="Step_2" localSheetId="1">#REF!</definedName>
    <definedName name="Step_2">#REF!</definedName>
    <definedName name="Step_3" localSheetId="1">#REF!</definedName>
    <definedName name="Step_3">#REF!</definedName>
    <definedName name="Step_4" localSheetId="1">#REF!</definedName>
    <definedName name="Step_4">#REF!</definedName>
    <definedName name="Step_5" localSheetId="1">#REF!</definedName>
    <definedName name="Step_5">#REF!</definedName>
    <definedName name="Step_6" localSheetId="1">#REF!</definedName>
    <definedName name="Step_6">#REF!</definedName>
    <definedName name="Step1" localSheetId="1">#REF!</definedName>
    <definedName name="Step1">#REF!</definedName>
    <definedName name="Step2" localSheetId="1">#REF!</definedName>
    <definedName name="Step2">#REF!</definedName>
    <definedName name="Step3" localSheetId="1">#REF!</definedName>
    <definedName name="Step3">#REF!</definedName>
    <definedName name="Step4" localSheetId="1">#REF!</definedName>
    <definedName name="Step4">#REF!</definedName>
    <definedName name="Step5" localSheetId="1">#REF!</definedName>
    <definedName name="Step5">#REF!</definedName>
    <definedName name="Step6" localSheetId="1">#REF!</definedName>
    <definedName name="Step6">#REF!</definedName>
    <definedName name="SUM">#REF!</definedName>
    <definedName name="t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T_O">#REF!</definedName>
    <definedName name="T_R">#REF!</definedName>
    <definedName name="table">'[11]Conditional SumProduct'!$A$27:$C$32</definedName>
    <definedName name="test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test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TestDataSource">#REF!</definedName>
    <definedName name="TestSource">#REF!</definedName>
    <definedName name="thomas" hidden="1">#REF!</definedName>
    <definedName name="Topics" localSheetId="1">#REF!</definedName>
    <definedName name="Topics">#REF!</definedName>
    <definedName name="TYP">#REF!</definedName>
    <definedName name="uy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V_house">#REF!</definedName>
    <definedName name="Version">[6]WELCOME!$T$5</definedName>
    <definedName name="VLookUp_Data">'[12]Adv Cell Lock'!$C$88:$F$97</definedName>
    <definedName name="Wall_R_value">#REF!</definedName>
    <definedName name="west">#REF!</definedName>
    <definedName name="What">#REF!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SB_PRES." hidden="1">{#N/A,#N/A,TRUE,"Sheet16"}</definedName>
    <definedName name="wrn.דוח._.רווח._.והפסד." localSheetId="1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wrn.דוח._.רווח._.והפסד." localSheetId="0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wrn.דוח._.רווח._.והפסד." hidden="1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x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y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YR">#REF!</definedName>
    <definedName name="YY">#REF!</definedName>
    <definedName name="z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16" i="2" l="1"/>
  <c r="C13" i="2"/>
  <c r="C12" i="2"/>
  <c r="E58" i="4"/>
  <c r="C20" i="2" s="1"/>
  <c r="D58" i="4"/>
  <c r="C58" i="4"/>
  <c r="E57" i="4"/>
  <c r="C19" i="2" s="1"/>
  <c r="D57" i="4"/>
  <c r="C57" i="4"/>
  <c r="G53" i="4"/>
  <c r="H53" i="4" s="1"/>
  <c r="I53" i="4" s="1"/>
  <c r="J53" i="4" s="1"/>
  <c r="J46" i="4"/>
  <c r="I46" i="4"/>
  <c r="H46" i="4"/>
  <c r="G46" i="4"/>
  <c r="F46" i="4"/>
  <c r="H45" i="4"/>
  <c r="G45" i="4"/>
  <c r="F45" i="4"/>
  <c r="I44" i="4"/>
  <c r="H44" i="4"/>
  <c r="G44" i="4"/>
  <c r="F44" i="4"/>
  <c r="E43" i="4"/>
  <c r="D43" i="4"/>
  <c r="C43" i="4"/>
  <c r="E40" i="4"/>
  <c r="D40" i="4"/>
  <c r="C40" i="4"/>
  <c r="E38" i="4"/>
  <c r="D38" i="4"/>
  <c r="E31" i="4"/>
  <c r="E39" i="4" s="1"/>
  <c r="D31" i="4"/>
  <c r="D39" i="4" s="1"/>
  <c r="C31" i="4"/>
  <c r="C39" i="4" s="1"/>
  <c r="H9" i="4"/>
  <c r="G9" i="4"/>
  <c r="F9" i="4"/>
  <c r="E9" i="4"/>
  <c r="D9" i="4"/>
  <c r="C35" i="4" l="1"/>
  <c r="C37" i="4" s="1"/>
  <c r="C56" i="4" s="1"/>
  <c r="C60" i="4" s="1"/>
  <c r="D35" i="4"/>
  <c r="D41" i="4" s="1"/>
  <c r="H16" i="4"/>
  <c r="H10" i="4"/>
  <c r="H12" i="4"/>
  <c r="H13" i="4"/>
  <c r="C16" i="4"/>
  <c r="C12" i="4"/>
  <c r="C6" i="2" s="1"/>
  <c r="C19" i="4"/>
  <c r="C15" i="4"/>
  <c r="C11" i="4"/>
  <c r="C9" i="4"/>
  <c r="F29" i="4" s="1"/>
  <c r="C18" i="4"/>
  <c r="D4" i="4"/>
  <c r="C70" i="4" s="1"/>
  <c r="C13" i="4"/>
  <c r="C5" i="2" s="1"/>
  <c r="D37" i="4"/>
  <c r="D56" i="4" s="1"/>
  <c r="D60" i="4" s="1"/>
  <c r="D63" i="4" s="1"/>
  <c r="E35" i="4"/>
  <c r="C14" i="4"/>
  <c r="H19" i="4"/>
  <c r="H15" i="4"/>
  <c r="H11" i="4"/>
  <c r="H18" i="4"/>
  <c r="H14" i="4"/>
  <c r="C17" i="4"/>
  <c r="C10" i="4"/>
  <c r="F30" i="4" s="1"/>
  <c r="D13" i="2" s="1"/>
  <c r="H17" i="4"/>
  <c r="C41" i="4" l="1"/>
  <c r="F59" i="4"/>
  <c r="D21" i="2" s="1"/>
  <c r="D12" i="2"/>
  <c r="G33" i="4"/>
  <c r="G36" i="4" s="1"/>
  <c r="F33" i="4"/>
  <c r="F36" i="4" s="1"/>
  <c r="J33" i="4"/>
  <c r="J36" i="4" s="1"/>
  <c r="I33" i="4"/>
  <c r="I36" i="4" s="1"/>
  <c r="H33" i="4"/>
  <c r="H36" i="4" s="1"/>
  <c r="E37" i="4"/>
  <c r="E56" i="4" s="1"/>
  <c r="E60" i="4" s="1"/>
  <c r="E63" i="4" s="1"/>
  <c r="E41" i="4"/>
  <c r="F38" i="4"/>
  <c r="G30" i="4"/>
  <c r="E13" i="2" s="1"/>
  <c r="F42" i="4"/>
  <c r="F31" i="4"/>
  <c r="F32" i="4"/>
  <c r="G29" i="4"/>
  <c r="J34" i="4"/>
  <c r="I34" i="4"/>
  <c r="H34" i="4"/>
  <c r="G34" i="4"/>
  <c r="F34" i="4"/>
  <c r="C63" i="4"/>
  <c r="G59" i="4" l="1"/>
  <c r="E21" i="2" s="1"/>
  <c r="E12" i="2"/>
  <c r="F40" i="4"/>
  <c r="D16" i="2"/>
  <c r="H30" i="4"/>
  <c r="F13" i="2" s="1"/>
  <c r="G42" i="4"/>
  <c r="G31" i="4"/>
  <c r="G38" i="4"/>
  <c r="G32" i="4"/>
  <c r="H29" i="4"/>
  <c r="H58" i="4"/>
  <c r="I58" i="4"/>
  <c r="H20" i="2" s="1"/>
  <c r="F39" i="4"/>
  <c r="F35" i="4"/>
  <c r="F37" i="4" s="1"/>
  <c r="F56" i="4" s="1"/>
  <c r="J58" i="4"/>
  <c r="F57" i="4"/>
  <c r="D19" i="2" s="1"/>
  <c r="F43" i="4"/>
  <c r="F58" i="4"/>
  <c r="D20" i="2" s="1"/>
  <c r="G58" i="4"/>
  <c r="E20" i="2" s="1"/>
  <c r="C35" i="2"/>
  <c r="C36" i="2" s="1"/>
  <c r="C37" i="2" s="1"/>
  <c r="C38" i="2" s="1"/>
  <c r="G20" i="2" l="1"/>
  <c r="F20" i="2"/>
  <c r="H59" i="4"/>
  <c r="F21" i="2" s="1"/>
  <c r="F12" i="2"/>
  <c r="G40" i="4"/>
  <c r="E16" i="2"/>
  <c r="I30" i="4"/>
  <c r="G13" i="2" s="1"/>
  <c r="H42" i="4"/>
  <c r="H31" i="4"/>
  <c r="H32" i="4"/>
  <c r="I29" i="4"/>
  <c r="H38" i="4"/>
  <c r="F60" i="4"/>
  <c r="F63" i="4" s="1"/>
  <c r="G35" i="4"/>
  <c r="G39" i="4"/>
  <c r="G57" i="4"/>
  <c r="E19" i="2" s="1"/>
  <c r="G43" i="4"/>
  <c r="F41" i="4"/>
  <c r="C14" i="2"/>
  <c r="I59" i="4" l="1"/>
  <c r="G21" i="2" s="1"/>
  <c r="G12" i="2"/>
  <c r="H40" i="4"/>
  <c r="F16" i="2"/>
  <c r="G37" i="4"/>
  <c r="G56" i="4" s="1"/>
  <c r="G60" i="4" s="1"/>
  <c r="G63" i="4" s="1"/>
  <c r="G41" i="4"/>
  <c r="I42" i="4"/>
  <c r="I31" i="4"/>
  <c r="I32" i="4"/>
  <c r="J30" i="4"/>
  <c r="H13" i="2" s="1"/>
  <c r="J29" i="4"/>
  <c r="I38" i="4"/>
  <c r="H35" i="4"/>
  <c r="H39" i="4"/>
  <c r="H57" i="4"/>
  <c r="F19" i="2" s="1"/>
  <c r="H43" i="4"/>
  <c r="C18" i="2"/>
  <c r="C22" i="2" s="1"/>
  <c r="C26" i="2" s="1"/>
  <c r="E14" i="2"/>
  <c r="D14" i="2"/>
  <c r="J59" i="4" l="1"/>
  <c r="H21" i="2" s="1"/>
  <c r="H12" i="2"/>
  <c r="I40" i="4"/>
  <c r="G16" i="2"/>
  <c r="J32" i="4"/>
  <c r="J42" i="4"/>
  <c r="J38" i="4"/>
  <c r="J31" i="4"/>
  <c r="I35" i="4"/>
  <c r="I39" i="4"/>
  <c r="I57" i="4"/>
  <c r="G19" i="2" s="1"/>
  <c r="I43" i="4"/>
  <c r="H37" i="4"/>
  <c r="H56" i="4" s="1"/>
  <c r="H60" i="4" s="1"/>
  <c r="H63" i="4" s="1"/>
  <c r="H41" i="4"/>
  <c r="D18" i="2"/>
  <c r="D22" i="2" s="1"/>
  <c r="D26" i="2" s="1"/>
  <c r="F14" i="2"/>
  <c r="E18" i="2"/>
  <c r="J40" i="4" l="1"/>
  <c r="H16" i="2"/>
  <c r="I37" i="4"/>
  <c r="I56" i="4" s="1"/>
  <c r="I60" i="4" s="1"/>
  <c r="I63" i="4" s="1"/>
  <c r="I41" i="4"/>
  <c r="J35" i="4"/>
  <c r="J39" i="4"/>
  <c r="J43" i="4"/>
  <c r="J57" i="4"/>
  <c r="H19" i="2" s="1"/>
  <c r="E22" i="2"/>
  <c r="E26" i="2" s="1"/>
  <c r="G14" i="2"/>
  <c r="F18" i="2"/>
  <c r="J37" i="4" l="1"/>
  <c r="J56" i="4" s="1"/>
  <c r="J60" i="4" s="1"/>
  <c r="J41" i="4"/>
  <c r="F22" i="2"/>
  <c r="F26" i="2" s="1"/>
  <c r="H14" i="2"/>
  <c r="G18" i="2"/>
  <c r="J61" i="4" l="1"/>
  <c r="J63" i="4"/>
  <c r="J64" i="4" s="1"/>
  <c r="G22" i="2"/>
  <c r="G26" i="2" s="1"/>
  <c r="H18" i="2"/>
  <c r="C72" i="4" l="1"/>
  <c r="J62" i="4"/>
  <c r="C71" i="4" s="1"/>
  <c r="H22" i="2"/>
  <c r="H26" i="2" s="1"/>
  <c r="H27" i="2" l="1"/>
  <c r="C73" i="4"/>
  <c r="C75" i="4" s="1"/>
  <c r="C76" i="4" s="1"/>
  <c r="H23" i="2"/>
  <c r="E86" i="4" l="1"/>
  <c r="E87" i="4" s="1"/>
  <c r="D86" i="4"/>
  <c r="D87" i="4" s="1"/>
  <c r="C86" i="4"/>
  <c r="C87" i="4" s="1"/>
  <c r="H24" i="2"/>
  <c r="H28" i="2" s="1"/>
  <c r="C33" i="2" s="1"/>
  <c r="C44" i="2"/>
  <c r="C43" i="2" l="1"/>
  <c r="C45" i="2" s="1"/>
  <c r="C47" i="2" l="1"/>
  <c r="E52" i="2" l="1"/>
  <c r="E53" i="2" s="1"/>
  <c r="D52" i="2"/>
  <c r="D53" i="2" s="1"/>
  <c r="C52" i="2"/>
  <c r="C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KAREY WONG</author>
  </authors>
  <commentList>
    <comment ref="E8" authorId="0" shapeId="0" xr:uid="{AC498109-714C-47DA-939F-A82A57F74F08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Based on Historical Date</t>
        </r>
      </text>
    </comment>
    <comment ref="F8" authorId="0" shapeId="0" xr:uid="{8D02D961-570D-4D2E-9F51-1BE118474DFC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Using Goal Seek
</t>
        </r>
      </text>
    </comment>
    <comment ref="B9" authorId="0" shapeId="0" xr:uid="{BE30CB8A-AA28-4485-B740-A5B20C4F7A02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Year over year sales growth rate forecast
</t>
        </r>
      </text>
    </comment>
    <comment ref="B10" authorId="0" shapeId="0" xr:uid="{B919AA1A-1459-4BCC-ADAA-DAC4FF812923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% of revenue left after cost of goods sold
</t>
        </r>
      </text>
    </comment>
    <comment ref="B11" authorId="0" shapeId="0" xr:uid="{39822F15-9ED6-45F5-8F81-8B917879D41A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Selling, General &amp; Admin expenses as % of sales</t>
        </r>
      </text>
    </comment>
    <comment ref="B12" authorId="0" shapeId="0" xr:uid="{BD0B06BF-1D97-47EE-8D3C-A620882D0A5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assumed valuation multiple on EBITDA used to calculate terminal value at the end of projection period</t>
        </r>
      </text>
    </comment>
    <comment ref="B13" authorId="0" shapeId="0" xr:uid="{5638D654-A4F0-4AA3-AA03-63B6EAD86A6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Weighted Average Cost of Capital — used to discount cash flows to present value</t>
        </r>
      </text>
    </comment>
    <comment ref="B14" authorId="0" shapeId="0" xr:uid="{D9A192D5-E59E-4CFF-88F6-BB5D72C9356E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Annual Depreciation &amp; Amortization expense (non-cash, affects EBITDA)
</t>
        </r>
      </text>
    </comment>
    <comment ref="B15" authorId="0" shapeId="0" xr:uid="{C0377BA8-98C3-4875-9F44-F18AA0FB5A2F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Cost of borrowing / annual interest payments on debt</t>
        </r>
      </text>
    </comment>
    <comment ref="B16" authorId="0" shapeId="0" xr:uid="{10FBB9C5-8B09-4CE3-A7DB-7C4FBA4DBAF9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Industry average for U.S. mid-sized companies. We can later adjust this to reflect actual effective tax rates. </t>
        </r>
      </text>
    </comment>
    <comment ref="B17" authorId="0" shapeId="0" xr:uid="{F332EF45-BA0F-4B16-840B-97DE01A44FA1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Capital Expenditures needed to maintain/grow operations, expressed as a % of revenue</t>
        </r>
      </text>
    </comment>
    <comment ref="B18" authorId="0" shapeId="0" xr:uid="{D04C08A9-208A-471D-9548-5E7AE9CC8F4F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percentage of enterprise value gain allocated to a specific individual (like the CEO) as part of their long-term incentive plan.
</t>
        </r>
      </text>
    </comment>
    <comment ref="B19" authorId="0" shapeId="0" xr:uid="{95F21310-A799-43AE-91B7-5B98A2417813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 The year-over-year change in working capital expressed as a percentage of revenue, impacting free cash flow.</t>
        </r>
      </text>
    </comment>
    <comment ref="B29" authorId="0" shapeId="0" xr:uid="{F39CBE2E-8DE2-4CBA-9287-9FB0BC89ACA8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total income a company earns from selling its goods or services.</t>
        </r>
      </text>
    </comment>
    <comment ref="B30" authorId="0" shapeId="0" xr:uid="{885EE55C-F2B6-4CA7-A6D9-20E2164F4567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direct costs of producing the goods or services a company sells, like materials and labor.</t>
        </r>
      </text>
    </comment>
    <comment ref="B32" authorId="0" shapeId="0" xr:uid="{C270EB0C-078F-4D89-9382-1B999D72EB5E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Selling, General &amp; Adminstration</t>
        </r>
      </text>
    </comment>
    <comment ref="B33" authorId="0" shapeId="0" xr:uid="{8EBA12D2-F90B-4B84-B8C5-8A431C086B16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Depreciation and Amortization</t>
        </r>
      </text>
    </comment>
    <comment ref="B36" authorId="0" shapeId="0" xr:uid="{379C7C19-EFBE-4305-937F-B3A500CD1375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effective tax rate calculated as income taxes divided by pretax income.</t>
        </r>
      </text>
    </comment>
    <comment ref="B38" authorId="0" shapeId="0" xr:uid="{A3F19168-2091-4952-A456-A4F03C5B0137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 The annual percentage increase in total revenue, reflecting the company’s sales expansion.</t>
        </r>
      </text>
    </comment>
    <comment ref="B39" authorId="0" shapeId="0" xr:uid="{6BE770E6-7B5E-4432-8D2E-625E5ED5CA96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percentage of revenue remaining after deducting cost of goods sold (COGS), indicating production profitability.</t>
        </r>
      </text>
    </comment>
    <comment ref="B40" authorId="0" shapeId="0" xr:uid="{06368F88-AA88-44B7-A70A-1EB7FF6C01D7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Selling, General &amp; Administrative expenses as a percentage of revenue, measuring overhead efficiency.</t>
        </r>
      </text>
    </comment>
    <comment ref="B41" authorId="0" shapeId="0" xr:uid="{D3E1F327-671D-4F95-822F-0F2DC0D53D6F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effective tax rate calculated as income taxes divided by pretax income.</t>
        </r>
      </text>
    </comment>
    <comment ref="B42" authorId="0" shapeId="0" xr:uid="{B35A3967-AEFE-4DAC-9033-5685F171B729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Capital Expenditures represent the company’s investment in fixed assets like property, plant, and equipment.</t>
        </r>
      </text>
    </comment>
    <comment ref="B43" authorId="0" shapeId="0" xr:uid="{905391C2-4624-4E1F-B923-AD38F67F074C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Capital expenditures expressed as a percentage of revenue to assess investment intensity.</t>
        </r>
      </text>
    </comment>
    <comment ref="B44" authorId="0" shapeId="0" xr:uid="{E6E813AC-FC00-46A1-B64D-8798D434BFE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 The amount of liquid assets available for immediate use.</t>
        </r>
      </text>
    </comment>
    <comment ref="B45" authorId="0" shapeId="0" xr:uid="{7329D1B4-BE65-4D65-983B-B53CB7BBAFA2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total outstanding financial obligations the company owes to lenders</t>
        </r>
      </text>
    </comment>
    <comment ref="B46" authorId="0" shapeId="0" xr:uid="{F3563B8D-C0C5-4386-97CB-5B01E6866B5C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total number of a company’s shares currently held by all shareholders.</t>
        </r>
      </text>
    </comment>
    <comment ref="B56" authorId="0" shapeId="0" xr:uid="{66063DEF-12BA-472D-9400-5A26E4080578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EBITDA is Earnings Before Interests, Taxes, Depreciaton, and Amortizaton. </t>
        </r>
      </text>
    </comment>
    <comment ref="B57" authorId="0" shapeId="0" xr:uid="{5BCCB37D-6035-4BA8-9036-F301CCD6D930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Capital Expenditures represent the company’s investment in fixed assets like property, plant, and equipment.</t>
        </r>
      </text>
    </comment>
    <comment ref="B58" authorId="0" shapeId="0" xr:uid="{1D5A84EA-64BB-43AA-BC8B-257D5C7447D2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effective tax rate calculated as income taxes divided by pretax income.</t>
        </r>
      </text>
    </comment>
    <comment ref="B59" authorId="0" shapeId="0" xr:uid="{33AF4035-16C3-4C79-B9D9-BE59F75D908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 The year-over-year change in working capital expressed as a percentage of revenue, impacting free cash flow.
</t>
        </r>
      </text>
    </comment>
    <comment ref="B60" authorId="0" shapeId="0" xr:uid="{2C000B87-D80F-4669-9D7F-A0A6DBC26B11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Cash available to all capital providers (debt + equity), calculated before interest payments</t>
        </r>
      </text>
    </comment>
    <comment ref="B63" authorId="0" shapeId="0" xr:uid="{03C626F3-5482-4A8F-B263-F898037DA430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present value of future unlevered free cash flows, adjusted for the time value of money using the company’s discount rate (WACC)
</t>
        </r>
      </text>
    </comment>
    <comment ref="B71" authorId="0" shapeId="0" xr:uid="{47D6A4DD-0913-4B5A-9AA9-1A67D1FB0353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2025 EV as of today point of time
</t>
        </r>
      </text>
    </comment>
    <comment ref="B72" authorId="0" shapeId="0" xr:uid="{ACAFD22E-C963-4E7B-A63E-B7C66D8BB90A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EV as of 2029
</t>
        </r>
      </text>
    </comment>
    <comment ref="B73" authorId="0" shapeId="0" xr:uid="{B697AF4A-A9DF-40E1-89A8-AFE6DBBD57E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Ending Enterprise Value subtracted from starting enterprise value
</t>
        </r>
      </text>
    </comment>
    <comment ref="B74" authorId="0" shapeId="0" xr:uid="{A868AEE1-F750-4A76-B2B2-D64D2E7A8024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The percentage of enterprise value gain allocated to a specific individual (like the CEO) as part of their long-term incentive plan.
</t>
        </r>
      </text>
    </comment>
    <comment ref="B75" authorId="0" shapeId="0" xr:uid="{5597296C-3F7E-4244-9483-18DFD89DCF00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Participation % multiple by Value Creation from 2025-2029
</t>
        </r>
      </text>
    </comment>
    <comment ref="B84" authorId="0" shapeId="0" xr:uid="{84CB742A-E78E-46EA-8C36-774734A361A6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Base Pay- consistent fixed pay annually
</t>
        </r>
      </text>
    </comment>
    <comment ref="B85" authorId="0" shapeId="0" xr:uid="{5D373D02-3375-42D1-A570-0874B0A1E5BD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AIP stands for Annual Incentive Plan</t>
        </r>
      </text>
    </comment>
    <comment ref="B86" authorId="0" shapeId="0" xr:uid="{81D54CC8-6077-45C5-94B3-D4D8EED41F35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Participation % multiple by Value Creation (EV Growth from 2025-2029)
</t>
        </r>
      </text>
    </comment>
    <comment ref="B87" authorId="0" shapeId="0" xr:uid="{609DAA09-16D4-4054-8ABF-963B09F29FDC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Base Pay + Bonus + Synthetic Equity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KAREY WONG</author>
  </authors>
  <commentList>
    <comment ref="B43" authorId="0" shapeId="0" xr:uid="{C3DE5DD4-30D1-49AE-91CD-658503A4E6B4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As of this year valuation</t>
        </r>
      </text>
    </comment>
    <comment ref="B50" authorId="0" shapeId="0" xr:uid="{9F876B43-23C4-44F5-AF4C-624FDF5DEEE5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Base Pay- consistent fixed pay annually
</t>
        </r>
      </text>
    </comment>
    <comment ref="B51" authorId="0" shapeId="0" xr:uid="{07911637-2BA1-4EDF-A4FC-A6AEB7607E65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AIP stands for Annual Incentive Plan</t>
        </r>
      </text>
    </comment>
    <comment ref="B52" authorId="0" shapeId="0" xr:uid="{7D099B02-566D-4773-BA53-E503E0210C33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Participation % multiple by Value Creation (EV Growth from 2025-2029)
</t>
        </r>
      </text>
    </comment>
    <comment ref="B53" authorId="0" shapeId="0" xr:uid="{FBD163C2-7B1F-4622-9538-FB1FA5F95FD0}">
      <text>
        <r>
          <rPr>
            <b/>
            <sz val="9"/>
            <color indexed="81"/>
            <rFont val="Tahoma"/>
            <family val="2"/>
          </rPr>
          <t>KAREY WONG:</t>
        </r>
        <r>
          <rPr>
            <sz val="9"/>
            <color indexed="81"/>
            <rFont val="Tahoma"/>
            <family val="2"/>
          </rPr>
          <t xml:space="preserve">
Base Pay + Bonus + Synthetic Equity
</t>
        </r>
      </text>
    </comment>
  </commentList>
</comments>
</file>

<file path=xl/sharedStrings.xml><?xml version="1.0" encoding="utf-8"?>
<sst xmlns="http://schemas.openxmlformats.org/spreadsheetml/2006/main" count="134" uniqueCount="109">
  <si>
    <t>SG&amp;A - % of revenue</t>
  </si>
  <si>
    <t>Interest Expense</t>
  </si>
  <si>
    <t>Income Tax %</t>
  </si>
  <si>
    <t>Historical</t>
  </si>
  <si>
    <t>Projection</t>
  </si>
  <si>
    <t>Income Before Income Taxes</t>
  </si>
  <si>
    <t>Net income</t>
  </si>
  <si>
    <t>(base yr.)</t>
  </si>
  <si>
    <t>Gross Margin %</t>
  </si>
  <si>
    <t>Income Tax - % of pretax profit</t>
  </si>
  <si>
    <t>% of revenue</t>
  </si>
  <si>
    <t>Cash</t>
  </si>
  <si>
    <t>Debt</t>
  </si>
  <si>
    <t>Actual</t>
  </si>
  <si>
    <t>EBITDA</t>
  </si>
  <si>
    <t>Unlevered Free Cash Flow</t>
  </si>
  <si>
    <t>Terminal Value</t>
  </si>
  <si>
    <t>Discounted FCF</t>
  </si>
  <si>
    <t>Assumption</t>
  </si>
  <si>
    <t>Select Active Scenario</t>
  </si>
  <si>
    <t>(-) Change in working capital</t>
  </si>
  <si>
    <t>(-) Taxes</t>
  </si>
  <si>
    <t>(-) Capex</t>
  </si>
  <si>
    <t>SG&amp;A</t>
  </si>
  <si>
    <t>Gross Profit</t>
  </si>
  <si>
    <t>COGS</t>
  </si>
  <si>
    <t>Revenue</t>
  </si>
  <si>
    <t>Shares outstanding</t>
  </si>
  <si>
    <t>Terminal growth rate</t>
  </si>
  <si>
    <t>WACC / Discount Rate</t>
  </si>
  <si>
    <t>Based on the financial information on the previous tab, value the company based on the following additional assumptions:</t>
  </si>
  <si>
    <t>Revenue Growth %</t>
  </si>
  <si>
    <t>D&amp;A $</t>
  </si>
  <si>
    <t>Interest Expense $</t>
  </si>
  <si>
    <t>Terminal Growth %</t>
  </si>
  <si>
    <t>Undiscounted Terminal</t>
  </si>
  <si>
    <t>Gordon Growth = FCF / (WACC – g)</t>
  </si>
  <si>
    <t>Value at end of projection (e.g., 2029)</t>
  </si>
  <si>
    <t>Value in today's dollars (e.g., 2024)</t>
  </si>
  <si>
    <t>TV / (1 + WACC)^t</t>
  </si>
  <si>
    <t>Discounted Terminal</t>
  </si>
  <si>
    <t>Use Case</t>
  </si>
  <si>
    <t>Formula</t>
  </si>
  <si>
    <t>2030 and beyond</t>
  </si>
  <si>
    <t>All future years’ value</t>
  </si>
  <si>
    <t>Term</t>
  </si>
  <si>
    <t>Represents</t>
  </si>
  <si>
    <t>Time Period</t>
  </si>
  <si>
    <t xml:space="preserve">Participation Rate: </t>
  </si>
  <si>
    <t>Gross Profit Margin $</t>
  </si>
  <si>
    <t>Income Statement</t>
  </si>
  <si>
    <t>Discount Rate %</t>
  </si>
  <si>
    <t>SG&amp;A %</t>
  </si>
  <si>
    <t>Capex %</t>
  </si>
  <si>
    <t>Shares Outstanding</t>
  </si>
  <si>
    <t>Income Taxes</t>
  </si>
  <si>
    <t>D&amp;A</t>
  </si>
  <si>
    <t>FV Terminal Value</t>
  </si>
  <si>
    <t>PV Terminal Value</t>
  </si>
  <si>
    <r>
      <t>To accurately forecast</t>
    </r>
    <r>
      <rPr>
        <b/>
        <i/>
        <sz val="10"/>
        <color theme="1"/>
        <rFont val="Times New Roman"/>
        <family val="1"/>
      </rPr>
      <t xml:space="preserve"> Enterprise Value Creation from 2025–2029,</t>
    </r>
    <r>
      <rPr>
        <i/>
        <sz val="10"/>
        <color theme="1"/>
        <rFont val="Times New Roman"/>
        <family val="1"/>
      </rPr>
      <t xml:space="preserve"> we begin by reviewing at least the</t>
    </r>
    <r>
      <rPr>
        <b/>
        <i/>
        <sz val="10"/>
        <color theme="1"/>
        <rFont val="Times New Roman"/>
        <family val="1"/>
      </rPr>
      <t xml:space="preserve"> last three years</t>
    </r>
    <r>
      <rPr>
        <i/>
        <sz val="10"/>
        <color theme="1"/>
        <rFont val="Times New Roman"/>
        <family val="1"/>
      </rPr>
      <t xml:space="preserve"> of the </t>
    </r>
    <r>
      <rPr>
        <b/>
        <i/>
        <sz val="10"/>
        <color theme="1"/>
        <rFont val="Times New Roman"/>
        <family val="1"/>
      </rPr>
      <t>income statement</t>
    </r>
    <r>
      <rPr>
        <i/>
        <sz val="10"/>
        <color theme="1"/>
        <rFont val="Times New Roman"/>
        <family val="1"/>
      </rPr>
      <t xml:space="preserve">, </t>
    </r>
    <r>
      <rPr>
        <b/>
        <i/>
        <sz val="10"/>
        <color theme="1"/>
        <rFont val="Times New Roman"/>
        <family val="1"/>
      </rPr>
      <t>cash flow statement,</t>
    </r>
    <r>
      <rPr>
        <i/>
        <sz val="10"/>
        <color theme="1"/>
        <rFont val="Times New Roman"/>
        <family val="1"/>
      </rPr>
      <t xml:space="preserve"> and</t>
    </r>
    <r>
      <rPr>
        <b/>
        <i/>
        <sz val="10"/>
        <color theme="1"/>
        <rFont val="Times New Roman"/>
        <family val="1"/>
      </rPr>
      <t xml:space="preserve"> balance sheet </t>
    </r>
    <r>
      <rPr>
        <i/>
        <sz val="10"/>
        <color theme="1"/>
        <rFont val="Times New Roman"/>
        <family val="1"/>
      </rPr>
      <t xml:space="preserve">to </t>
    </r>
    <r>
      <rPr>
        <b/>
        <i/>
        <sz val="10"/>
        <color theme="1"/>
        <rFont val="Times New Roman"/>
        <family val="1"/>
      </rPr>
      <t xml:space="preserve">identify historical trends </t>
    </r>
    <r>
      <rPr>
        <i/>
        <sz val="10"/>
        <color theme="1"/>
        <rFont val="Times New Roman"/>
        <family val="1"/>
      </rPr>
      <t xml:space="preserve">and </t>
    </r>
    <r>
      <rPr>
        <b/>
        <i/>
        <sz val="10"/>
        <color theme="1"/>
        <rFont val="Times New Roman"/>
        <family val="1"/>
      </rPr>
      <t>validate future projections.</t>
    </r>
    <r>
      <rPr>
        <i/>
        <sz val="10"/>
        <color theme="1"/>
        <rFont val="Times New Roman"/>
        <family val="1"/>
      </rPr>
      <t xml:space="preserve"> This allows us to build</t>
    </r>
    <r>
      <rPr>
        <b/>
        <i/>
        <sz val="10"/>
        <color rgb="FF0070C0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>scenario-driven assumptions</t>
    </r>
    <r>
      <rPr>
        <i/>
        <sz val="10"/>
        <color theme="1"/>
        <rFont val="Times New Roman"/>
        <family val="1"/>
      </rPr>
      <t>—</t>
    </r>
    <r>
      <rPr>
        <b/>
        <i/>
        <sz val="10"/>
        <color theme="1"/>
        <rFont val="Times New Roman"/>
        <family val="1"/>
      </rPr>
      <t>conservative, moderate, or aggressive</t>
    </r>
    <r>
      <rPr>
        <i/>
        <sz val="10"/>
        <color theme="1"/>
        <rFont val="Times New Roman"/>
        <family val="1"/>
      </rPr>
      <t xml:space="preserve">—for key drivers such as </t>
    </r>
    <r>
      <rPr>
        <b/>
        <i/>
        <sz val="10"/>
        <color theme="1"/>
        <rFont val="Times New Roman"/>
        <family val="1"/>
      </rPr>
      <t xml:space="preserve">revenue growth, COGS, gross profit margin, SG&amp;A, D&amp;A, interest expense, income tax rate, CapEx, cash, debt, </t>
    </r>
    <r>
      <rPr>
        <i/>
        <sz val="10"/>
        <color theme="1"/>
        <rFont val="Times New Roman"/>
        <family val="1"/>
      </rPr>
      <t xml:space="preserve">and </t>
    </r>
    <r>
      <rPr>
        <b/>
        <i/>
        <sz val="10"/>
        <color theme="1"/>
        <rFont val="Times New Roman"/>
        <family val="1"/>
      </rPr>
      <t>shares outstanding</t>
    </r>
    <r>
      <rPr>
        <i/>
        <sz val="10"/>
        <color theme="4"/>
        <rFont val="Times New Roman"/>
        <family val="1"/>
      </rPr>
      <t xml:space="preserve">.- These inputs feed directly into the next step: calculating </t>
    </r>
    <r>
      <rPr>
        <b/>
        <i/>
        <sz val="10"/>
        <color theme="4"/>
        <rFont val="Times New Roman"/>
        <family val="1"/>
      </rPr>
      <t>Earnings Before Interests, Taxees, Depreciation, Amorizzation (EBITDA)</t>
    </r>
    <r>
      <rPr>
        <i/>
        <sz val="10"/>
        <color theme="4"/>
        <rFont val="Times New Roman"/>
        <family val="1"/>
      </rPr>
      <t xml:space="preserve">, </t>
    </r>
    <r>
      <rPr>
        <b/>
        <i/>
        <sz val="10"/>
        <color theme="4"/>
        <rFont val="Times New Roman"/>
        <family val="1"/>
      </rPr>
      <t>Terminal Values (TV),</t>
    </r>
    <r>
      <rPr>
        <i/>
        <sz val="10"/>
        <color theme="4"/>
        <rFont val="Times New Roman"/>
        <family val="1"/>
      </rPr>
      <t xml:space="preserve"> and </t>
    </r>
    <r>
      <rPr>
        <b/>
        <i/>
        <sz val="10"/>
        <color theme="4"/>
        <rFont val="Times New Roman"/>
        <family val="1"/>
      </rPr>
      <t>Free Cash Flow (FCF),</t>
    </r>
    <r>
      <rPr>
        <i/>
        <sz val="10"/>
        <color theme="4"/>
        <rFont val="Times New Roman"/>
        <family val="1"/>
      </rPr>
      <t xml:space="preserve"> which are essential for estimating the company’s </t>
    </r>
    <r>
      <rPr>
        <b/>
        <i/>
        <sz val="10"/>
        <color theme="4"/>
        <rFont val="Times New Roman"/>
        <family val="1"/>
      </rPr>
      <t>Enterprise Value (EV)</t>
    </r>
    <r>
      <rPr>
        <i/>
        <sz val="10"/>
        <color theme="4"/>
        <rFont val="Times New Roman"/>
        <family val="1"/>
      </rPr>
      <t xml:space="preserve"> gain.</t>
    </r>
  </si>
  <si>
    <t>Participation Rate %</t>
  </si>
  <si>
    <t>Starting Enterprise Value</t>
  </si>
  <si>
    <t>Ending Enterprise Value</t>
  </si>
  <si>
    <t>Value Created</t>
  </si>
  <si>
    <t>4 yr LTI Grant Payout:</t>
  </si>
  <si>
    <r>
      <t>The</t>
    </r>
    <r>
      <rPr>
        <b/>
        <i/>
        <sz val="11"/>
        <color theme="1"/>
        <rFont val="Aptos Narrow"/>
        <family val="2"/>
        <scheme val="minor"/>
      </rPr>
      <t xml:space="preserve"> participation rate </t>
    </r>
    <r>
      <rPr>
        <i/>
        <sz val="11"/>
        <color theme="1"/>
        <rFont val="Aptos Narrow"/>
        <family val="2"/>
        <scheme val="minor"/>
      </rPr>
      <t xml:space="preserve">represents the specific </t>
    </r>
    <r>
      <rPr>
        <b/>
        <i/>
        <sz val="11"/>
        <color theme="1"/>
        <rFont val="Aptos Narrow"/>
        <family val="2"/>
        <scheme val="minor"/>
      </rPr>
      <t xml:space="preserve">percentage of enterprise value gain </t>
    </r>
    <r>
      <rPr>
        <i/>
        <sz val="11"/>
        <color theme="1"/>
        <rFont val="Aptos Narrow"/>
        <family val="2"/>
        <scheme val="minor"/>
      </rPr>
      <t xml:space="preserve">allocated to an individual (like the </t>
    </r>
    <r>
      <rPr>
        <b/>
        <i/>
        <sz val="11"/>
        <color theme="1"/>
        <rFont val="Aptos Narrow"/>
        <family val="2"/>
        <scheme val="minor"/>
      </rPr>
      <t>CEO)</t>
    </r>
    <r>
      <rPr>
        <i/>
        <sz val="11"/>
        <color theme="1"/>
        <rFont val="Aptos Narrow"/>
        <family val="2"/>
        <scheme val="minor"/>
      </rPr>
      <t xml:space="preserve"> and is </t>
    </r>
    <r>
      <rPr>
        <b/>
        <i/>
        <sz val="11"/>
        <color theme="1"/>
        <rFont val="Aptos Narrow"/>
        <family val="2"/>
        <scheme val="minor"/>
      </rPr>
      <t>not divided among all employees</t>
    </r>
    <r>
      <rPr>
        <i/>
        <sz val="11"/>
        <color theme="1"/>
        <rFont val="Aptos Narrow"/>
        <family val="2"/>
        <scheme val="minor"/>
      </rPr>
      <t xml:space="preserve"> unless intentionally structured that way in a broader incentive plan.</t>
    </r>
  </si>
  <si>
    <t>Per yr</t>
  </si>
  <si>
    <t>Active Scenario Assumption</t>
  </si>
  <si>
    <t>Change in Working Capital %</t>
  </si>
  <si>
    <t>Step 3: Calculate EBITDA, Terminal and Free Cash Flow</t>
  </si>
  <si>
    <t>Step 2: Review Income Statement 2022-2024 to Forecast for 2025-2029</t>
  </si>
  <si>
    <t>Step 3: Calculate CEO Synthetic Equity Cash Payout</t>
  </si>
  <si>
    <t xml:space="preserve">LTI Value </t>
  </si>
  <si>
    <t xml:space="preserve">AIP Target </t>
  </si>
  <si>
    <t>Total Direct Comp</t>
  </si>
  <si>
    <t xml:space="preserve">35th P </t>
  </si>
  <si>
    <t>50th P</t>
  </si>
  <si>
    <t xml:space="preserve">75th P </t>
  </si>
  <si>
    <t>Pay Elements</t>
  </si>
  <si>
    <t>Capex</t>
  </si>
  <si>
    <t>Change in working capital</t>
  </si>
  <si>
    <r>
      <rPr>
        <b/>
        <i/>
        <sz val="11"/>
        <color theme="1"/>
        <rFont val="Aptos Narrow"/>
        <family val="2"/>
        <scheme val="minor"/>
      </rPr>
      <t>Base Salary</t>
    </r>
    <r>
      <rPr>
        <i/>
        <sz val="11"/>
        <color theme="1"/>
        <rFont val="Aptos Narrow"/>
        <family val="2"/>
        <scheme val="minor"/>
      </rPr>
      <t xml:space="preserve"> and</t>
    </r>
    <r>
      <rPr>
        <b/>
        <i/>
        <sz val="11"/>
        <color theme="1"/>
        <rFont val="Aptos Narrow"/>
        <family val="2"/>
        <scheme val="minor"/>
      </rPr>
      <t xml:space="preserve"> Annual Incentive Plan (AIP)</t>
    </r>
    <r>
      <rPr>
        <i/>
        <sz val="11"/>
        <color theme="1"/>
        <rFont val="Aptos Narrow"/>
        <family val="2"/>
        <scheme val="minor"/>
      </rPr>
      <t xml:space="preserve"> Target are based on </t>
    </r>
    <r>
      <rPr>
        <b/>
        <i/>
        <sz val="11"/>
        <color theme="1"/>
        <rFont val="Aptos Narrow"/>
        <family val="2"/>
        <scheme val="minor"/>
      </rPr>
      <t xml:space="preserve">Radford </t>
    </r>
    <r>
      <rPr>
        <i/>
        <sz val="11"/>
        <color theme="1"/>
        <rFont val="Aptos Narrow"/>
        <family val="2"/>
        <scheme val="minor"/>
      </rPr>
      <t xml:space="preserve">market data for </t>
    </r>
    <r>
      <rPr>
        <b/>
        <i/>
        <sz val="11"/>
        <color theme="1"/>
        <rFont val="Aptos Narrow"/>
        <family val="2"/>
        <scheme val="minor"/>
      </rPr>
      <t>competitor peer group</t>
    </r>
    <r>
      <rPr>
        <i/>
        <sz val="11"/>
        <color theme="1"/>
        <rFont val="Aptos Narrow"/>
        <family val="2"/>
        <scheme val="minor"/>
      </rPr>
      <t xml:space="preserve"> (companies with similar industry size, revenue, and comp table). </t>
    </r>
  </si>
  <si>
    <r>
      <rPr>
        <b/>
        <i/>
        <sz val="10"/>
        <color theme="1"/>
        <rFont val="Times New Roman"/>
        <family val="1"/>
      </rPr>
      <t>Terminal Value (TV) Undiscounted</t>
    </r>
    <r>
      <rPr>
        <i/>
        <sz val="10"/>
        <color theme="1"/>
        <rFont val="Times New Roman"/>
        <family val="1"/>
      </rPr>
      <t xml:space="preserve"> reflects the company's estimated value beyond the forecast period at</t>
    </r>
    <r>
      <rPr>
        <b/>
        <i/>
        <sz val="10"/>
        <color theme="1"/>
        <rFont val="Times New Roman"/>
        <family val="1"/>
      </rPr>
      <t xml:space="preserve"> Future Value (FV),</t>
    </r>
    <r>
      <rPr>
        <i/>
        <sz val="10"/>
        <color theme="1"/>
        <rFont val="Times New Roman"/>
        <family val="1"/>
      </rPr>
      <t xml:space="preserve"> while </t>
    </r>
    <r>
      <rPr>
        <b/>
        <i/>
        <sz val="10"/>
        <color theme="1"/>
        <rFont val="Times New Roman"/>
        <family val="1"/>
      </rPr>
      <t>Terminal Value (TV) Discounted</t>
    </r>
    <r>
      <rPr>
        <i/>
        <sz val="10"/>
        <color theme="1"/>
        <rFont val="Times New Roman"/>
        <family val="1"/>
      </rPr>
      <t xml:space="preserve"> brings that amount back to </t>
    </r>
    <r>
      <rPr>
        <b/>
        <i/>
        <sz val="10"/>
        <color theme="1"/>
        <rFont val="Times New Roman"/>
        <family val="1"/>
      </rPr>
      <t>Present Value (PV)</t>
    </r>
    <r>
      <rPr>
        <i/>
        <sz val="10"/>
        <color theme="1"/>
        <rFont val="Times New Roman"/>
        <family val="1"/>
      </rPr>
      <t xml:space="preserve"> using the </t>
    </r>
    <r>
      <rPr>
        <b/>
        <i/>
        <sz val="10"/>
        <color theme="1"/>
        <rFont val="Times New Roman"/>
        <family val="1"/>
      </rPr>
      <t>Discount Rate (WACC)</t>
    </r>
    <r>
      <rPr>
        <i/>
        <sz val="10"/>
        <color theme="1"/>
        <rFont val="Times New Roman"/>
        <family val="1"/>
      </rPr>
      <t xml:space="preserve">. For </t>
    </r>
    <r>
      <rPr>
        <b/>
        <i/>
        <sz val="10"/>
        <color theme="1"/>
        <rFont val="Times New Roman"/>
        <family val="1"/>
      </rPr>
      <t>FV Terminal Value</t>
    </r>
    <r>
      <rPr>
        <i/>
        <sz val="10"/>
        <color theme="1"/>
        <rFont val="Times New Roman"/>
        <family val="1"/>
      </rPr>
      <t>, we use G</t>
    </r>
    <r>
      <rPr>
        <b/>
        <i/>
        <sz val="10"/>
        <color theme="1"/>
        <rFont val="Times New Roman"/>
        <family val="1"/>
      </rPr>
      <t>ordon Growth Formula.</t>
    </r>
    <r>
      <rPr>
        <i/>
        <sz val="10"/>
        <color theme="1"/>
        <rFont val="Times New Roman"/>
        <family val="1"/>
      </rPr>
      <t xml:space="preserve"> For PV</t>
    </r>
    <r>
      <rPr>
        <b/>
        <i/>
        <sz val="10"/>
        <color theme="1"/>
        <rFont val="Times New Roman"/>
        <family val="1"/>
      </rPr>
      <t xml:space="preserve"> Terminal Value</t>
    </r>
    <r>
      <rPr>
        <i/>
        <sz val="10"/>
        <color theme="1"/>
        <rFont val="Times New Roman"/>
        <family val="1"/>
      </rPr>
      <t xml:space="preserve"> we use the DFC</t>
    </r>
    <r>
      <rPr>
        <b/>
        <i/>
        <sz val="10"/>
        <color theme="1"/>
        <rFont val="Times New Roman"/>
        <family val="1"/>
      </rPr>
      <t xml:space="preserve"> Formula.</t>
    </r>
  </si>
  <si>
    <t xml:space="preserve">Undiscounted Terminal Value (FY), use Gordon Growth Fomrula </t>
  </si>
  <si>
    <t>Discounted Terminatl Value (PV), use DCF Formula</t>
  </si>
  <si>
    <t>CapEx</t>
  </si>
  <si>
    <t xml:space="preserve">Salary </t>
  </si>
  <si>
    <t>Linking Enterprise Value Creation to CEO LTI Payout</t>
  </si>
  <si>
    <t>Revenue growth %</t>
  </si>
  <si>
    <t>Gordon Growth, DCF &amp; Enterprise Valuation Analysis</t>
  </si>
  <si>
    <t>Step 1: Replace data highlighted in purple font in this worksheet. Then choose the active scenario drop down menu to get started.</t>
  </si>
  <si>
    <t>B = Linear Regression</t>
  </si>
  <si>
    <t>C = Base Forecast</t>
  </si>
  <si>
    <r>
      <t>D= Conservative (</t>
    </r>
    <r>
      <rPr>
        <i/>
        <sz val="11"/>
        <color theme="0"/>
        <rFont val="Times New Roman"/>
        <family val="1"/>
      </rPr>
      <t>–25%</t>
    </r>
    <r>
      <rPr>
        <b/>
        <sz val="11"/>
        <color theme="0"/>
        <rFont val="Times New Roman"/>
        <family val="1"/>
      </rPr>
      <t>)</t>
    </r>
  </si>
  <si>
    <r>
      <t xml:space="preserve">E= Custom
</t>
    </r>
    <r>
      <rPr>
        <i/>
        <sz val="11"/>
        <color theme="0"/>
        <rFont val="Times New Roman"/>
        <family val="1"/>
      </rPr>
      <t xml:space="preserve"> </t>
    </r>
    <r>
      <rPr>
        <b/>
        <sz val="11"/>
        <color theme="0"/>
        <rFont val="Times New Roman"/>
        <family val="1"/>
      </rPr>
      <t>(</t>
    </r>
    <r>
      <rPr>
        <i/>
        <sz val="11"/>
        <color theme="0"/>
        <rFont val="Times New Roman"/>
        <family val="1"/>
      </rPr>
      <t>% growth per year</t>
    </r>
    <r>
      <rPr>
        <b/>
        <sz val="11"/>
        <color theme="0"/>
        <rFont val="Times New Roman"/>
        <family val="1"/>
      </rPr>
      <t>)</t>
    </r>
  </si>
  <si>
    <t>A</t>
  </si>
  <si>
    <t>B</t>
  </si>
  <si>
    <t>C</t>
  </si>
  <si>
    <t>D</t>
  </si>
  <si>
    <t>E</t>
  </si>
  <si>
    <t>FY25- FY29</t>
  </si>
  <si>
    <t>Step 4: Calculate CEO Total Direct Compensation (TDC)</t>
  </si>
  <si>
    <t xml:space="preserve">Base Salary </t>
  </si>
  <si>
    <t>CEO Payout FY2029</t>
  </si>
  <si>
    <r>
      <t>A = Aggressive
 (+</t>
    </r>
    <r>
      <rPr>
        <i/>
        <sz val="11"/>
        <color theme="0"/>
        <rFont val="Times New Roman"/>
        <family val="1"/>
      </rPr>
      <t>10%)</t>
    </r>
  </si>
  <si>
    <t>Sensitivity Analysis For Steady Terminal Growth</t>
  </si>
  <si>
    <t>🌱 Steady Terminal Growth Rates (used in the Gordon Growth formula)</t>
  </si>
  <si>
    <t>📉 Discount Rates</t>
  </si>
  <si>
    <r>
      <t>As expected,</t>
    </r>
    <r>
      <rPr>
        <b/>
        <i/>
        <sz val="11"/>
        <color rgb="FF0070C0"/>
        <rFont val="Times New Roman"/>
        <family val="1"/>
      </rPr>
      <t xml:space="preserve"> increasing the discount rate </t>
    </r>
    <r>
      <rPr>
        <i/>
        <sz val="11"/>
        <color rgb="FF0070C0"/>
        <rFont val="Times New Roman"/>
        <family val="1"/>
      </rPr>
      <t xml:space="preserve">from 7.0% to 9.0% significantly </t>
    </r>
    <r>
      <rPr>
        <b/>
        <i/>
        <sz val="11"/>
        <color rgb="FF0070C0"/>
        <rFont val="Times New Roman"/>
        <family val="1"/>
      </rPr>
      <t>reduces enterprise value.</t>
    </r>
    <r>
      <rPr>
        <i/>
        <sz val="11"/>
        <color rgb="FF0070C0"/>
        <rFont val="Times New Roman"/>
        <family val="1"/>
      </rPr>
      <t xml:space="preserve"> Conversely, </t>
    </r>
    <r>
      <rPr>
        <b/>
        <i/>
        <sz val="11"/>
        <color rgb="FF0070C0"/>
        <rFont val="Times New Roman"/>
        <family val="1"/>
      </rPr>
      <t>increasing the terminal growth rate raises the valuation,</t>
    </r>
    <r>
      <rPr>
        <i/>
        <sz val="11"/>
        <color rgb="FF0070C0"/>
        <rFont val="Times New Roman"/>
        <family val="1"/>
      </rPr>
      <t xml:space="preserve"> as it boosts the terminal value component in the Gordon Growth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</si>
</sst>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]#,##0.00_)_%;\([$$]#,##0.00\)_%;_(&quot;–&quot;_)_%;_(@_)_%"/>
    <numFmt numFmtId="169" formatCode="_(#,##0.0%_);\(#,##0.0%\);_(&quot;–&quot;_)_%;_(@_)_%"/>
    <numFmt numFmtId="170" formatCode="_(#,##0_)_%;\(#,##0\)_%;_(&quot;–&quot;_)_%;_(@_)_%"/>
  </numFmts>
  <fonts count="5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2"/>
    </font>
    <font>
      <b/>
      <sz val="15"/>
      <color theme="3"/>
      <name val="Aptos Narrow"/>
      <family val="2"/>
      <scheme val="minor"/>
    </font>
    <font>
      <b/>
      <sz val="8"/>
      <color theme="3" tint="-0.249977111117893"/>
      <name val="Times New Roman"/>
      <family val="1"/>
    </font>
    <font>
      <b/>
      <sz val="15"/>
      <color theme="3" tint="-0.249977111117893"/>
      <name val="Times New Roman"/>
      <family val="1"/>
    </font>
    <font>
      <b/>
      <sz val="12"/>
      <color theme="3"/>
      <name val="Times New Roman"/>
      <family val="1"/>
    </font>
    <font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 val="singleAccounting"/>
      <sz val="11"/>
      <color theme="1"/>
      <name val="Times New Roman"/>
      <family val="1"/>
    </font>
    <font>
      <b/>
      <u val="singleAccounting"/>
      <sz val="11"/>
      <color theme="0"/>
      <name val="Times New Roman"/>
      <family val="1"/>
    </font>
    <font>
      <sz val="11"/>
      <color rgb="FF7030A0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sz val="11"/>
      <color rgb="FF002060"/>
      <name val="Times New Roman"/>
      <family val="1"/>
    </font>
    <font>
      <sz val="8"/>
      <color theme="0" tint="-0.499984740745262"/>
      <name val="Times New Roman"/>
      <family val="1"/>
    </font>
    <font>
      <b/>
      <sz val="9"/>
      <color indexed="81"/>
      <name val="Tahoma"/>
      <family val="2"/>
    </font>
    <font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5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rgb="FF0070C0"/>
      <name val="Times New Roman"/>
      <family val="1"/>
    </font>
    <font>
      <b/>
      <sz val="10"/>
      <color theme="3" tint="-0.249977111117893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6"/>
      <color rgb="FF002060"/>
      <name val="Times New Roman"/>
      <family val="1"/>
    </font>
    <font>
      <sz val="10"/>
      <name val="Times New Roman"/>
      <family val="1"/>
    </font>
    <font>
      <b/>
      <u/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0070C0"/>
      <name val="Times New Roman"/>
      <family val="1"/>
    </font>
    <font>
      <i/>
      <sz val="10"/>
      <color theme="4"/>
      <name val="Times New Roman"/>
      <family val="1"/>
    </font>
    <font>
      <b/>
      <i/>
      <sz val="10"/>
      <color theme="4"/>
      <name val="Times New Roman"/>
      <family val="1"/>
    </font>
    <font>
      <sz val="10"/>
      <color rgb="FF7030A0"/>
      <name val="Times New Roman"/>
      <family val="1"/>
    </font>
    <font>
      <b/>
      <sz val="15"/>
      <name val="Times New Roman"/>
      <family val="1"/>
    </font>
    <font>
      <sz val="11"/>
      <color theme="4"/>
      <name val="Times New Roman"/>
      <family val="1"/>
    </font>
    <font>
      <sz val="10"/>
      <color rgb="FFFF0000"/>
      <name val="Times New Roman"/>
      <family val="1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C00000"/>
      <name val="Times New Roman"/>
      <family val="1"/>
    </font>
    <font>
      <i/>
      <sz val="11"/>
      <color theme="0"/>
      <name val="Times New Roman"/>
      <family val="1"/>
    </font>
    <font>
      <sz val="10"/>
      <color rgb="FF002060"/>
      <name val="Times New Roman"/>
      <family val="1"/>
    </font>
    <font>
      <b/>
      <sz val="11"/>
      <name val="Times New Roman"/>
      <family val="1"/>
    </font>
    <font>
      <b/>
      <u val="singleAccounting"/>
      <sz val="11"/>
      <color theme="1"/>
      <name val="Times New Roman"/>
      <family val="1"/>
    </font>
    <font>
      <sz val="11"/>
      <color theme="6"/>
      <name val="Times New Roman"/>
      <family val="1"/>
    </font>
    <font>
      <i/>
      <sz val="11"/>
      <color rgb="FF0070C0"/>
      <name val="Times New Roman"/>
      <family val="1"/>
    </font>
    <font>
      <b/>
      <i/>
      <sz val="11"/>
      <color rgb="FF0070C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DF7E1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0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0" borderId="0"/>
    <xf numFmtId="0" fontId="1" fillId="0" borderId="0"/>
    <xf numFmtId="4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05">
    <xf numFmtId="0" fontId="0" fillId="0" borderId="0" xfId="0"/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2" borderId="0" xfId="0" applyFont="1" applyFill="1" applyAlignment="1">
      <alignment horizontal="right" vertical="top"/>
    </xf>
    <xf numFmtId="0" fontId="18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43" fontId="9" fillId="0" borderId="0" xfId="0" applyNumberFormat="1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167" fontId="9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2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22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indent="7"/>
    </xf>
    <xf numFmtId="0" fontId="9" fillId="0" borderId="0" xfId="0" applyFont="1" applyAlignment="1">
      <alignment horizontal="left" vertical="top" indent="10"/>
    </xf>
    <xf numFmtId="0" fontId="9" fillId="0" borderId="0" xfId="0" applyFont="1" applyAlignment="1">
      <alignment horizontal="left" vertical="top" wrapText="1"/>
    </xf>
    <xf numFmtId="0" fontId="9" fillId="0" borderId="0" xfId="0" quotePrefix="1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31" fillId="6" borderId="0" xfId="0" applyFont="1" applyFill="1" applyAlignment="1">
      <alignment horizontal="left" vertical="top"/>
    </xf>
    <xf numFmtId="0" fontId="32" fillId="0" borderId="0" xfId="0" applyFont="1" applyAlignment="1">
      <alignment horizontal="left" vertical="top"/>
    </xf>
    <xf numFmtId="0" fontId="31" fillId="0" borderId="0" xfId="0" applyFont="1" applyAlignment="1">
      <alignment vertical="top"/>
    </xf>
    <xf numFmtId="0" fontId="23" fillId="0" borderId="0" xfId="0" applyFont="1" applyAlignment="1">
      <alignment horizontal="left" vertical="top"/>
    </xf>
    <xf numFmtId="0" fontId="43" fillId="0" borderId="0" xfId="0" applyFont="1" applyAlignment="1">
      <alignment horizontal="left" vertical="top"/>
    </xf>
    <xf numFmtId="165" fontId="15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left" vertical="top"/>
    </xf>
    <xf numFmtId="0" fontId="3" fillId="0" borderId="0" xfId="4" applyFont="1" applyFill="1" applyBorder="1" applyAlignment="1">
      <alignment vertical="top"/>
    </xf>
    <xf numFmtId="0" fontId="4" fillId="0" borderId="0" xfId="4" applyFont="1" applyFill="1" applyBorder="1" applyAlignment="1">
      <alignment vertical="top"/>
    </xf>
    <xf numFmtId="0" fontId="5" fillId="0" borderId="0" xfId="4" applyFont="1" applyFill="1" applyBorder="1" applyAlignment="1">
      <alignment horizontal="center" vertical="top"/>
    </xf>
    <xf numFmtId="0" fontId="19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36" fillId="14" borderId="0" xfId="0" applyFont="1" applyFill="1" applyAlignment="1">
      <alignment vertical="top"/>
    </xf>
    <xf numFmtId="0" fontId="16" fillId="14" borderId="0" xfId="0" applyFont="1" applyFill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7" xfId="0" applyNumberFormat="1" applyFont="1" applyBorder="1" applyAlignment="1">
      <alignment horizontal="center" vertical="top"/>
    </xf>
    <xf numFmtId="169" fontId="9" fillId="0" borderId="8" xfId="0" applyNumberFormat="1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0" fontId="36" fillId="11" borderId="7" xfId="0" applyFont="1" applyFill="1" applyBorder="1" applyAlignment="1">
      <alignment horizontal="center" vertical="top"/>
    </xf>
    <xf numFmtId="0" fontId="36" fillId="8" borderId="7" xfId="0" applyFont="1" applyFill="1" applyBorder="1" applyAlignment="1">
      <alignment horizontal="center" vertical="top"/>
    </xf>
    <xf numFmtId="0" fontId="10" fillId="10" borderId="6" xfId="0" applyFont="1" applyFill="1" applyBorder="1" applyAlignment="1">
      <alignment vertical="top"/>
    </xf>
    <xf numFmtId="0" fontId="31" fillId="10" borderId="6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16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14" fontId="9" fillId="2" borderId="0" xfId="0" applyNumberFormat="1" applyFont="1" applyFill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165" fontId="9" fillId="2" borderId="0" xfId="0" applyNumberFormat="1" applyFont="1" applyFill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23" fillId="2" borderId="0" xfId="0" applyFont="1" applyFill="1" applyAlignment="1">
      <alignment horizontal="left" vertical="top"/>
    </xf>
    <xf numFmtId="0" fontId="34" fillId="2" borderId="0" xfId="0" applyFont="1" applyFill="1" applyAlignment="1">
      <alignment horizontal="center" vertical="top"/>
    </xf>
    <xf numFmtId="0" fontId="1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165" fontId="10" fillId="2" borderId="0" xfId="0" applyNumberFormat="1" applyFont="1" applyFill="1" applyAlignment="1">
      <alignment vertical="top"/>
    </xf>
    <xf numFmtId="165" fontId="9" fillId="2" borderId="0" xfId="0" applyNumberFormat="1" applyFont="1" applyFill="1" applyAlignment="1">
      <alignment horizontal="left" vertical="top"/>
    </xf>
    <xf numFmtId="9" fontId="9" fillId="2" borderId="0" xfId="0" applyNumberFormat="1" applyFont="1" applyFill="1" applyAlignment="1">
      <alignment horizontal="left" vertical="top"/>
    </xf>
    <xf numFmtId="0" fontId="10" fillId="0" borderId="6" xfId="0" applyFont="1" applyBorder="1" applyAlignment="1">
      <alignment vertical="top"/>
    </xf>
    <xf numFmtId="165" fontId="9" fillId="7" borderId="6" xfId="0" applyNumberFormat="1" applyFont="1" applyFill="1" applyBorder="1" applyAlignment="1">
      <alignment horizontal="left" vertical="top"/>
    </xf>
    <xf numFmtId="0" fontId="10" fillId="2" borderId="15" xfId="0" applyFont="1" applyFill="1" applyBorder="1" applyAlignment="1">
      <alignment vertical="top"/>
    </xf>
    <xf numFmtId="0" fontId="9" fillId="3" borderId="23" xfId="0" applyFont="1" applyFill="1" applyBorder="1" applyAlignment="1">
      <alignment horizontal="left" vertical="top"/>
    </xf>
    <xf numFmtId="14" fontId="10" fillId="4" borderId="22" xfId="0" applyNumberFormat="1" applyFont="1" applyFill="1" applyBorder="1" applyAlignment="1">
      <alignment horizontal="left" vertical="top"/>
    </xf>
    <xf numFmtId="0" fontId="36" fillId="5" borderId="3" xfId="0" applyFont="1" applyFill="1" applyBorder="1" applyAlignment="1">
      <alignment horizontal="center" vertical="top"/>
    </xf>
    <xf numFmtId="14" fontId="36" fillId="5" borderId="5" xfId="0" applyNumberFormat="1" applyFont="1" applyFill="1" applyBorder="1" applyAlignment="1">
      <alignment horizontal="center" vertical="top"/>
    </xf>
    <xf numFmtId="165" fontId="9" fillId="2" borderId="0" xfId="0" applyNumberFormat="1" applyFont="1" applyFill="1" applyAlignment="1">
      <alignment horizontal="center" vertical="top"/>
    </xf>
    <xf numFmtId="0" fontId="23" fillId="2" borderId="18" xfId="0" applyFont="1" applyFill="1" applyBorder="1" applyAlignment="1">
      <alignment horizontal="left" vertical="top" indent="7"/>
    </xf>
    <xf numFmtId="0" fontId="23" fillId="2" borderId="2" xfId="0" applyFont="1" applyFill="1" applyBorder="1" applyAlignment="1">
      <alignment horizontal="left" vertical="top" indent="6"/>
    </xf>
    <xf numFmtId="0" fontId="23" fillId="2" borderId="2" xfId="0" applyFont="1" applyFill="1" applyBorder="1" applyAlignment="1">
      <alignment horizontal="left" vertical="top" indent="7"/>
    </xf>
    <xf numFmtId="0" fontId="23" fillId="2" borderId="19" xfId="0" applyFont="1" applyFill="1" applyBorder="1" applyAlignment="1">
      <alignment horizontal="left" vertical="top" indent="7"/>
    </xf>
    <xf numFmtId="14" fontId="36" fillId="5" borderId="4" xfId="0" applyNumberFormat="1" applyFont="1" applyFill="1" applyBorder="1" applyAlignment="1">
      <alignment horizontal="center" vertical="top"/>
    </xf>
    <xf numFmtId="0" fontId="31" fillId="2" borderId="0" xfId="0" applyFont="1" applyFill="1" applyAlignment="1">
      <alignment horizontal="left" vertical="top"/>
    </xf>
    <xf numFmtId="14" fontId="10" fillId="2" borderId="4" xfId="0" applyNumberFormat="1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47" fillId="0" borderId="0" xfId="0" applyFont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16" fillId="6" borderId="4" xfId="0" applyFont="1" applyFill="1" applyBorder="1" applyAlignment="1">
      <alignment horizontal="left" vertical="top"/>
    </xf>
    <xf numFmtId="0" fontId="16" fillId="6" borderId="5" xfId="0" applyFont="1" applyFill="1" applyBorder="1" applyAlignment="1">
      <alignment horizontal="left" vertical="top"/>
    </xf>
    <xf numFmtId="0" fontId="30" fillId="0" borderId="0" xfId="9" applyFont="1" applyFill="1" applyBorder="1" applyAlignment="1" applyProtection="1">
      <alignment horizontal="left" vertical="top"/>
    </xf>
    <xf numFmtId="0" fontId="4" fillId="2" borderId="0" xfId="9" applyFont="1" applyFill="1" applyBorder="1" applyAlignment="1" applyProtection="1">
      <alignment horizontal="left" vertical="top"/>
    </xf>
    <xf numFmtId="0" fontId="24" fillId="0" borderId="0" xfId="9" applyFont="1" applyFill="1" applyBorder="1" applyAlignment="1" applyProtection="1">
      <alignment horizontal="left" vertical="top"/>
    </xf>
    <xf numFmtId="0" fontId="5" fillId="0" borderId="0" xfId="9" applyFont="1" applyFill="1" applyBorder="1" applyAlignment="1" applyProtection="1">
      <alignment horizontal="left" vertical="top"/>
    </xf>
    <xf numFmtId="0" fontId="4" fillId="0" borderId="0" xfId="9" applyFont="1" applyFill="1" applyBorder="1" applyAlignment="1" applyProtection="1">
      <alignment horizontal="left" vertical="top"/>
    </xf>
    <xf numFmtId="0" fontId="23" fillId="0" borderId="0" xfId="0" applyFont="1" applyAlignment="1">
      <alignment horizontal="left" vertical="top" indent="6"/>
    </xf>
    <xf numFmtId="164" fontId="23" fillId="10" borderId="19" xfId="3" applyNumberFormat="1" applyFont="1" applyFill="1" applyBorder="1" applyAlignment="1" applyProtection="1">
      <alignment horizontal="left" vertical="top"/>
    </xf>
    <xf numFmtId="164" fontId="23" fillId="2" borderId="19" xfId="3" applyNumberFormat="1" applyFont="1" applyFill="1" applyBorder="1" applyAlignment="1" applyProtection="1">
      <alignment horizontal="left" vertical="top"/>
    </xf>
    <xf numFmtId="164" fontId="23" fillId="10" borderId="2" xfId="3" applyNumberFormat="1" applyFont="1" applyFill="1" applyBorder="1" applyAlignment="1" applyProtection="1">
      <alignment horizontal="left" vertical="top"/>
    </xf>
    <xf numFmtId="164" fontId="41" fillId="2" borderId="2" xfId="3" applyNumberFormat="1" applyFont="1" applyFill="1" applyBorder="1" applyAlignment="1" applyProtection="1">
      <alignment horizontal="left" vertical="top"/>
      <protection locked="0"/>
    </xf>
    <xf numFmtId="164" fontId="49" fillId="2" borderId="2" xfId="3" applyNumberFormat="1" applyFont="1" applyFill="1" applyBorder="1" applyAlignment="1" applyProtection="1">
      <alignment horizontal="left" vertical="top"/>
    </xf>
    <xf numFmtId="9" fontId="41" fillId="2" borderId="2" xfId="3" applyFont="1" applyFill="1" applyBorder="1" applyAlignment="1" applyProtection="1">
      <alignment horizontal="left" vertical="top"/>
      <protection locked="0"/>
    </xf>
    <xf numFmtId="165" fontId="23" fillId="10" borderId="2" xfId="3" applyNumberFormat="1" applyFont="1" applyFill="1" applyBorder="1" applyAlignment="1" applyProtection="1">
      <alignment horizontal="left" vertical="top"/>
    </xf>
    <xf numFmtId="165" fontId="41" fillId="2" borderId="2" xfId="1" applyNumberFormat="1" applyFont="1" applyFill="1" applyBorder="1" applyAlignment="1" applyProtection="1">
      <alignment horizontal="left" vertical="top"/>
      <protection locked="0"/>
    </xf>
    <xf numFmtId="165" fontId="49" fillId="2" borderId="2" xfId="1" applyNumberFormat="1" applyFont="1" applyFill="1" applyBorder="1" applyAlignment="1" applyProtection="1">
      <alignment horizontal="left" vertical="top"/>
    </xf>
    <xf numFmtId="164" fontId="23" fillId="2" borderId="0" xfId="3" applyNumberFormat="1" applyFont="1" applyFill="1" applyBorder="1" applyAlignment="1" applyProtection="1">
      <alignment horizontal="left" vertical="top"/>
    </xf>
    <xf numFmtId="1" fontId="10" fillId="12" borderId="13" xfId="0" applyNumberFormat="1" applyFont="1" applyFill="1" applyBorder="1" applyAlignment="1">
      <alignment horizontal="left" vertical="top"/>
    </xf>
    <xf numFmtId="1" fontId="10" fillId="9" borderId="13" xfId="0" applyNumberFormat="1" applyFont="1" applyFill="1" applyBorder="1" applyAlignment="1">
      <alignment horizontal="left" vertical="top"/>
    </xf>
    <xf numFmtId="1" fontId="10" fillId="9" borderId="14" xfId="0" applyNumberFormat="1" applyFont="1" applyFill="1" applyBorder="1" applyAlignment="1">
      <alignment horizontal="left" vertical="top"/>
    </xf>
    <xf numFmtId="165" fontId="41" fillId="0" borderId="19" xfId="1" applyNumberFormat="1" applyFont="1" applyBorder="1" applyAlignment="1" applyProtection="1">
      <alignment horizontal="left" vertical="top"/>
      <protection locked="0"/>
    </xf>
    <xf numFmtId="165" fontId="34" fillId="2" borderId="19" xfId="1" applyNumberFormat="1" applyFont="1" applyFill="1" applyBorder="1" applyAlignment="1" applyProtection="1">
      <alignment horizontal="left" vertical="top"/>
    </xf>
    <xf numFmtId="165" fontId="41" fillId="2" borderId="18" xfId="1" applyNumberFormat="1" applyFont="1" applyFill="1" applyBorder="1" applyAlignment="1" applyProtection="1">
      <alignment horizontal="left" vertical="top"/>
      <protection locked="0"/>
    </xf>
    <xf numFmtId="165" fontId="34" fillId="2" borderId="18" xfId="1" applyNumberFormat="1" applyFont="1" applyFill="1" applyBorder="1" applyAlignment="1" applyProtection="1">
      <alignment horizontal="left" vertical="top"/>
    </xf>
    <xf numFmtId="165" fontId="34" fillId="10" borderId="6" xfId="1" applyNumberFormat="1" applyFont="1" applyFill="1" applyBorder="1" applyAlignment="1" applyProtection="1">
      <alignment horizontal="left" vertical="top"/>
    </xf>
    <xf numFmtId="165" fontId="34" fillId="4" borderId="6" xfId="1" applyNumberFormat="1" applyFont="1" applyFill="1" applyBorder="1" applyAlignment="1" applyProtection="1">
      <alignment horizontal="left" vertical="top"/>
    </xf>
    <xf numFmtId="165" fontId="34" fillId="2" borderId="2" xfId="1" applyNumberFormat="1" applyFont="1" applyFill="1" applyBorder="1" applyAlignment="1" applyProtection="1">
      <alignment horizontal="left" vertical="top"/>
    </xf>
    <xf numFmtId="164" fontId="34" fillId="2" borderId="2" xfId="3" applyNumberFormat="1" applyFont="1" applyFill="1" applyBorder="1" applyAlignment="1" applyProtection="1">
      <alignment horizontal="left" vertical="top"/>
    </xf>
    <xf numFmtId="164" fontId="9" fillId="2" borderId="0" xfId="3" applyNumberFormat="1" applyFont="1" applyFill="1" applyAlignment="1" applyProtection="1">
      <alignment horizontal="left" vertical="top"/>
    </xf>
    <xf numFmtId="164" fontId="22" fillId="0" borderId="0" xfId="3" applyNumberFormat="1" applyFont="1" applyAlignment="1" applyProtection="1">
      <alignment horizontal="left" vertical="top"/>
    </xf>
    <xf numFmtId="164" fontId="9" fillId="0" borderId="0" xfId="3" applyNumberFormat="1" applyFont="1" applyAlignment="1" applyProtection="1">
      <alignment horizontal="left" vertical="top"/>
    </xf>
    <xf numFmtId="165" fontId="34" fillId="2" borderId="2" xfId="0" applyNumberFormat="1" applyFont="1" applyFill="1" applyBorder="1" applyAlignment="1">
      <alignment horizontal="left" vertical="top"/>
    </xf>
    <xf numFmtId="0" fontId="34" fillId="2" borderId="2" xfId="0" applyFont="1" applyFill="1" applyBorder="1" applyAlignment="1">
      <alignment horizontal="left" vertical="top"/>
    </xf>
    <xf numFmtId="165" fontId="44" fillId="2" borderId="0" xfId="1" applyNumberFormat="1" applyFont="1" applyFill="1" applyBorder="1" applyAlignment="1" applyProtection="1">
      <alignment horizontal="center" vertical="top"/>
    </xf>
    <xf numFmtId="165" fontId="15" fillId="0" borderId="0" xfId="1" applyNumberFormat="1" applyFont="1" applyBorder="1" applyAlignment="1" applyProtection="1">
      <alignment horizontal="left" vertical="top"/>
    </xf>
    <xf numFmtId="165" fontId="9" fillId="2" borderId="19" xfId="1" applyNumberFormat="1" applyFont="1" applyFill="1" applyBorder="1" applyAlignment="1" applyProtection="1">
      <alignment horizontal="center" vertical="top"/>
    </xf>
    <xf numFmtId="165" fontId="15" fillId="2" borderId="19" xfId="1" applyNumberFormat="1" applyFont="1" applyFill="1" applyBorder="1" applyAlignment="1" applyProtection="1">
      <alignment horizontal="center" vertical="top"/>
    </xf>
    <xf numFmtId="165" fontId="9" fillId="2" borderId="2" xfId="1" applyNumberFormat="1" applyFont="1" applyFill="1" applyBorder="1" applyAlignment="1" applyProtection="1">
      <alignment horizontal="center" vertical="top"/>
    </xf>
    <xf numFmtId="165" fontId="15" fillId="2" borderId="2" xfId="1" applyNumberFormat="1" applyFont="1" applyFill="1" applyBorder="1" applyAlignment="1" applyProtection="1">
      <alignment horizontal="center" vertical="top"/>
    </xf>
    <xf numFmtId="165" fontId="15" fillId="2" borderId="18" xfId="1" applyNumberFormat="1" applyFont="1" applyFill="1" applyBorder="1" applyAlignment="1" applyProtection="1">
      <alignment horizontal="center" vertical="top"/>
    </xf>
    <xf numFmtId="167" fontId="22" fillId="2" borderId="0" xfId="2" applyNumberFormat="1" applyFont="1" applyFill="1" applyBorder="1" applyAlignment="1" applyProtection="1">
      <alignment horizontal="center" vertical="top"/>
    </xf>
    <xf numFmtId="167" fontId="26" fillId="2" borderId="0" xfId="2" applyNumberFormat="1" applyFont="1" applyFill="1" applyBorder="1" applyAlignment="1" applyProtection="1">
      <alignment horizontal="center" vertical="top"/>
    </xf>
    <xf numFmtId="166" fontId="9" fillId="0" borderId="0" xfId="1" applyNumberFormat="1" applyFont="1" applyFill="1" applyBorder="1" applyAlignment="1" applyProtection="1">
      <alignment horizontal="center" vertical="top"/>
    </xf>
    <xf numFmtId="167" fontId="28" fillId="2" borderId="0" xfId="2" applyNumberFormat="1" applyFont="1" applyFill="1" applyBorder="1" applyAlignment="1" applyProtection="1">
      <alignment horizontal="center" vertical="top"/>
    </xf>
    <xf numFmtId="167" fontId="27" fillId="2" borderId="0" xfId="2" applyNumberFormat="1" applyFont="1" applyFill="1" applyBorder="1" applyAlignment="1" applyProtection="1">
      <alignment horizontal="center" vertical="top"/>
    </xf>
    <xf numFmtId="167" fontId="15" fillId="2" borderId="0" xfId="2" applyNumberFormat="1" applyFont="1" applyFill="1" applyBorder="1" applyAlignment="1" applyProtection="1">
      <alignment horizontal="center" vertical="top"/>
    </xf>
    <xf numFmtId="167" fontId="13" fillId="2" borderId="0" xfId="2" applyNumberFormat="1" applyFont="1" applyFill="1" applyBorder="1" applyAlignment="1" applyProtection="1">
      <alignment horizontal="left" vertical="top" indent="6"/>
    </xf>
    <xf numFmtId="167" fontId="10" fillId="2" borderId="0" xfId="2" applyNumberFormat="1" applyFont="1" applyFill="1" applyBorder="1" applyAlignment="1" applyProtection="1">
      <alignment vertical="top"/>
    </xf>
    <xf numFmtId="165" fontId="9" fillId="16" borderId="6" xfId="0" applyNumberFormat="1" applyFont="1" applyFill="1" applyBorder="1" applyAlignment="1">
      <alignment horizontal="left" vertical="top"/>
    </xf>
    <xf numFmtId="165" fontId="13" fillId="0" borderId="0" xfId="0" applyNumberFormat="1" applyFont="1" applyAlignment="1" applyProtection="1">
      <alignment horizontal="center" vertical="top"/>
      <protection locked="0"/>
    </xf>
    <xf numFmtId="9" fontId="13" fillId="2" borderId="0" xfId="3" applyFont="1" applyFill="1" applyBorder="1" applyAlignment="1" applyProtection="1">
      <alignment horizontal="center" vertical="top"/>
      <protection locked="0"/>
    </xf>
    <xf numFmtId="165" fontId="9" fillId="16" borderId="6" xfId="0" applyNumberFormat="1" applyFont="1" applyFill="1" applyBorder="1" applyAlignment="1">
      <alignment horizontal="center" vertical="top"/>
    </xf>
    <xf numFmtId="165" fontId="9" fillId="17" borderId="6" xfId="0" applyNumberFormat="1" applyFont="1" applyFill="1" applyBorder="1" applyAlignment="1">
      <alignment horizontal="center" vertical="top"/>
    </xf>
    <xf numFmtId="0" fontId="50" fillId="6" borderId="3" xfId="0" applyFont="1" applyFill="1" applyBorder="1" applyAlignment="1">
      <alignment horizontal="left" vertical="top"/>
    </xf>
    <xf numFmtId="170" fontId="13" fillId="0" borderId="0" xfId="0" applyNumberFormat="1" applyFont="1" applyAlignment="1">
      <alignment vertical="top"/>
    </xf>
    <xf numFmtId="0" fontId="5" fillId="0" borderId="0" xfId="4" applyFont="1" applyFill="1" applyBorder="1" applyAlignment="1">
      <alignment horizontal="right" vertical="top"/>
    </xf>
    <xf numFmtId="165" fontId="15" fillId="10" borderId="24" xfId="0" applyNumberFormat="1" applyFont="1" applyFill="1" applyBorder="1" applyAlignment="1">
      <alignment horizontal="center" vertical="top"/>
    </xf>
    <xf numFmtId="165" fontId="9" fillId="10" borderId="24" xfId="0" applyNumberFormat="1" applyFont="1" applyFill="1" applyBorder="1" applyAlignment="1">
      <alignment horizontal="center" vertical="top"/>
    </xf>
    <xf numFmtId="0" fontId="10" fillId="10" borderId="24" xfId="0" applyFont="1" applyFill="1" applyBorder="1" applyAlignment="1">
      <alignment vertical="top"/>
    </xf>
    <xf numFmtId="170" fontId="15" fillId="0" borderId="0" xfId="0" applyNumberFormat="1" applyFont="1" applyAlignment="1">
      <alignment horizontal="center" vertical="top"/>
    </xf>
    <xf numFmtId="165" fontId="9" fillId="10" borderId="29" xfId="0" applyNumberFormat="1" applyFont="1" applyFill="1" applyBorder="1" applyAlignment="1">
      <alignment horizontal="center" vertical="top"/>
    </xf>
    <xf numFmtId="165" fontId="9" fillId="10" borderId="25" xfId="0" applyNumberFormat="1" applyFont="1" applyFill="1" applyBorder="1" applyAlignment="1">
      <alignment horizontal="center" vertical="top"/>
    </xf>
    <xf numFmtId="167" fontId="27" fillId="2" borderId="0" xfId="2" applyNumberFormat="1" applyFont="1" applyFill="1" applyBorder="1" applyAlignment="1">
      <alignment horizontal="center" vertical="top"/>
    </xf>
    <xf numFmtId="165" fontId="52" fillId="0" borderId="0" xfId="0" applyNumberFormat="1" applyFont="1" applyAlignment="1">
      <alignment horizontal="center" vertical="top"/>
    </xf>
    <xf numFmtId="170" fontId="52" fillId="0" borderId="0" xfId="0" applyNumberFormat="1" applyFont="1" applyAlignment="1">
      <alignment horizontal="center" vertical="top"/>
    </xf>
    <xf numFmtId="0" fontId="10" fillId="6" borderId="26" xfId="0" applyFont="1" applyFill="1" applyBorder="1" applyAlignment="1">
      <alignment vertical="top"/>
    </xf>
    <xf numFmtId="165" fontId="9" fillId="6" borderId="27" xfId="0" applyNumberFormat="1" applyFont="1" applyFill="1" applyBorder="1" applyAlignment="1">
      <alignment horizontal="center" vertical="top"/>
    </xf>
    <xf numFmtId="165" fontId="9" fillId="6" borderId="28" xfId="0" applyNumberFormat="1" applyFont="1" applyFill="1" applyBorder="1" applyAlignment="1">
      <alignment horizontal="center" vertical="top"/>
    </xf>
    <xf numFmtId="9" fontId="9" fillId="2" borderId="0" xfId="3" applyFont="1" applyFill="1" applyBorder="1" applyAlignment="1">
      <alignment horizontal="left" vertical="top"/>
    </xf>
    <xf numFmtId="0" fontId="10" fillId="10" borderId="6" xfId="0" applyFont="1" applyFill="1" applyBorder="1" applyAlignment="1">
      <alignment horizontal="left" vertical="top"/>
    </xf>
    <xf numFmtId="165" fontId="9" fillId="10" borderId="6" xfId="0" applyNumberFormat="1" applyFont="1" applyFill="1" applyBorder="1" applyAlignment="1">
      <alignment horizontal="left" vertical="top"/>
    </xf>
    <xf numFmtId="165" fontId="9" fillId="0" borderId="0" xfId="0" applyNumberFormat="1" applyFont="1" applyAlignment="1">
      <alignment vertical="top"/>
    </xf>
    <xf numFmtId="165" fontId="9" fillId="2" borderId="0" xfId="0" applyNumberFormat="1" applyFont="1" applyFill="1" applyAlignment="1">
      <alignment vertical="top"/>
    </xf>
    <xf numFmtId="9" fontId="9" fillId="2" borderId="0" xfId="0" applyNumberFormat="1" applyFont="1" applyFill="1" applyAlignment="1">
      <alignment vertical="top"/>
    </xf>
    <xf numFmtId="165" fontId="9" fillId="7" borderId="6" xfId="0" applyNumberFormat="1" applyFont="1" applyFill="1" applyBorder="1" applyAlignment="1">
      <alignment vertical="top"/>
    </xf>
    <xf numFmtId="165" fontId="13" fillId="2" borderId="18" xfId="1" applyNumberFormat="1" applyFont="1" applyFill="1" applyBorder="1" applyAlignment="1" applyProtection="1">
      <alignment horizontal="center" vertical="top"/>
      <protection locked="0"/>
    </xf>
    <xf numFmtId="0" fontId="9" fillId="2" borderId="17" xfId="0" applyFont="1" applyFill="1" applyBorder="1" applyAlignment="1">
      <alignment horizontal="left" vertical="top" indent="8"/>
    </xf>
    <xf numFmtId="0" fontId="9" fillId="2" borderId="16" xfId="0" applyFont="1" applyFill="1" applyBorder="1" applyAlignment="1">
      <alignment horizontal="left" vertical="top" indent="8"/>
    </xf>
    <xf numFmtId="0" fontId="9" fillId="2" borderId="0" xfId="0" applyFont="1" applyFill="1" applyAlignment="1">
      <alignment horizontal="left" vertical="top" indent="8"/>
    </xf>
    <xf numFmtId="166" fontId="9" fillId="0" borderId="0" xfId="0" applyNumberFormat="1" applyFont="1" applyAlignment="1">
      <alignment horizontal="center" vertical="top"/>
    </xf>
    <xf numFmtId="43" fontId="9" fillId="2" borderId="0" xfId="0" applyNumberFormat="1" applyFont="1" applyFill="1" applyAlignment="1">
      <alignment horizontal="left" vertical="top"/>
    </xf>
    <xf numFmtId="0" fontId="9" fillId="2" borderId="0" xfId="0" applyFont="1" applyFill="1" applyAlignment="1">
      <alignment horizontal="left" vertical="top" indent="10"/>
    </xf>
    <xf numFmtId="167" fontId="29" fillId="2" borderId="0" xfId="2" applyNumberFormat="1" applyFont="1" applyFill="1" applyBorder="1" applyAlignment="1" applyProtection="1">
      <alignment horizontal="right" vertical="top" indent="1"/>
    </xf>
    <xf numFmtId="165" fontId="9" fillId="10" borderId="24" xfId="1" applyNumberFormat="1" applyFont="1" applyFill="1" applyBorder="1" applyAlignment="1" applyProtection="1">
      <alignment horizontal="center" vertical="top"/>
    </xf>
    <xf numFmtId="165" fontId="15" fillId="10" borderId="24" xfId="1" applyNumberFormat="1" applyFont="1" applyFill="1" applyBorder="1" applyAlignment="1" applyProtection="1">
      <alignment horizontal="center" vertical="top"/>
    </xf>
    <xf numFmtId="165" fontId="47" fillId="2" borderId="0" xfId="2" applyNumberFormat="1" applyFont="1" applyFill="1" applyBorder="1" applyAlignment="1" applyProtection="1">
      <alignment horizontal="center" vertical="top"/>
    </xf>
    <xf numFmtId="165" fontId="28" fillId="2" borderId="0" xfId="2" applyNumberFormat="1" applyFont="1" applyFill="1" applyBorder="1" applyAlignment="1" applyProtection="1">
      <alignment horizontal="center" vertical="top"/>
    </xf>
    <xf numFmtId="165" fontId="29" fillId="2" borderId="0" xfId="2" applyNumberFormat="1" applyFont="1" applyFill="1" applyBorder="1" applyAlignment="1" applyProtection="1">
      <alignment horizontal="center" vertical="top"/>
    </xf>
    <xf numFmtId="14" fontId="36" fillId="5" borderId="20" xfId="0" applyNumberFormat="1" applyFont="1" applyFill="1" applyBorder="1" applyAlignment="1">
      <alignment horizontal="center" vertical="top" wrapText="1"/>
    </xf>
    <xf numFmtId="14" fontId="36" fillId="5" borderId="21" xfId="0" applyNumberFormat="1" applyFont="1" applyFill="1" applyBorder="1" applyAlignment="1">
      <alignment horizontal="center" vertical="top" wrapText="1"/>
    </xf>
    <xf numFmtId="14" fontId="36" fillId="5" borderId="22" xfId="0" applyNumberFormat="1" applyFont="1" applyFill="1" applyBorder="1" applyAlignment="1">
      <alignment horizontal="center" vertical="top" wrapText="1"/>
    </xf>
    <xf numFmtId="165" fontId="9" fillId="0" borderId="0" xfId="3" applyNumberFormat="1" applyFont="1" applyAlignment="1">
      <alignment vertical="top"/>
    </xf>
    <xf numFmtId="0" fontId="21" fillId="0" borderId="0" xfId="0" applyFont="1" applyAlignment="1">
      <alignment horizontal="right" vertical="top"/>
    </xf>
    <xf numFmtId="0" fontId="45" fillId="0" borderId="0" xfId="0" applyFont="1" applyAlignment="1">
      <alignment horizontal="left" vertical="top" wrapText="1" indent="7"/>
    </xf>
    <xf numFmtId="0" fontId="33" fillId="0" borderId="1" xfId="9" applyFont="1" applyFill="1" applyAlignment="1" applyProtection="1">
      <alignment horizontal="left" vertical="top"/>
    </xf>
    <xf numFmtId="0" fontId="21" fillId="0" borderId="0" xfId="0" applyFont="1" applyAlignment="1">
      <alignment horizontal="left" vertical="top" wrapText="1" indent="7"/>
    </xf>
    <xf numFmtId="0" fontId="37" fillId="0" borderId="0" xfId="0" applyFont="1" applyAlignment="1">
      <alignment horizontal="left" vertical="top" wrapText="1" indent="7"/>
    </xf>
    <xf numFmtId="0" fontId="35" fillId="13" borderId="9" xfId="0" applyFont="1" applyFill="1" applyBorder="1" applyAlignment="1">
      <alignment horizontal="center" vertical="top"/>
    </xf>
    <xf numFmtId="0" fontId="35" fillId="13" borderId="12" xfId="0" applyFont="1" applyFill="1" applyBorder="1" applyAlignment="1">
      <alignment horizontal="center" vertical="top"/>
    </xf>
    <xf numFmtId="0" fontId="35" fillId="11" borderId="10" xfId="0" applyFont="1" applyFill="1" applyBorder="1" applyAlignment="1">
      <alignment horizontal="center" vertical="top"/>
    </xf>
    <xf numFmtId="0" fontId="35" fillId="15" borderId="10" xfId="0" applyFont="1" applyFill="1" applyBorder="1" applyAlignment="1">
      <alignment horizontal="center" vertical="top"/>
    </xf>
    <xf numFmtId="0" fontId="35" fillId="15" borderId="11" xfId="0" applyFont="1" applyFill="1" applyBorder="1" applyAlignment="1">
      <alignment horizontal="center" vertical="top"/>
    </xf>
    <xf numFmtId="167" fontId="47" fillId="2" borderId="30" xfId="2" applyNumberFormat="1" applyFont="1" applyFill="1" applyBorder="1" applyAlignment="1" applyProtection="1">
      <alignment horizontal="right" vertical="top"/>
    </xf>
    <xf numFmtId="167" fontId="28" fillId="2" borderId="7" xfId="2" applyNumberFormat="1" applyFont="1" applyFill="1" applyBorder="1" applyAlignment="1" applyProtection="1">
      <alignment horizontal="right" vertical="top"/>
    </xf>
    <xf numFmtId="0" fontId="12" fillId="11" borderId="10" xfId="0" applyFont="1" applyFill="1" applyBorder="1" applyAlignment="1">
      <alignment horizontal="center" vertical="top"/>
    </xf>
    <xf numFmtId="0" fontId="12" fillId="8" borderId="10" xfId="0" applyFont="1" applyFill="1" applyBorder="1" applyAlignment="1">
      <alignment horizontal="center" vertical="top"/>
    </xf>
    <xf numFmtId="0" fontId="12" fillId="8" borderId="11" xfId="0" applyFont="1" applyFill="1" applyBorder="1" applyAlignment="1">
      <alignment horizontal="center" vertical="top"/>
    </xf>
    <xf numFmtId="0" fontId="33" fillId="0" borderId="0" xfId="9" applyFont="1" applyFill="1" applyBorder="1" applyAlignment="1" applyProtection="1">
      <alignment horizontal="left" vertical="top"/>
    </xf>
    <xf numFmtId="0" fontId="51" fillId="4" borderId="0" xfId="0" applyFont="1" applyFill="1" applyAlignment="1">
      <alignment horizontal="center" vertical="top"/>
    </xf>
    <xf numFmtId="167" fontId="47" fillId="2" borderId="0" xfId="2" applyNumberFormat="1" applyFont="1" applyFill="1" applyBorder="1" applyAlignment="1">
      <alignment horizontal="right" vertical="top"/>
    </xf>
    <xf numFmtId="167" fontId="28" fillId="2" borderId="0" xfId="2" applyNumberFormat="1" applyFont="1" applyFill="1" applyBorder="1" applyAlignment="1">
      <alignment horizontal="right" vertical="top"/>
    </xf>
    <xf numFmtId="0" fontId="36" fillId="5" borderId="0" xfId="0" applyFont="1" applyFill="1" applyAlignment="1">
      <alignment horizontal="center" vertical="top"/>
    </xf>
    <xf numFmtId="0" fontId="53" fillId="0" borderId="0" xfId="0" applyFont="1" applyAlignment="1">
      <alignment horizontal="left" vertical="top" wrapText="1"/>
    </xf>
    <xf numFmtId="0" fontId="42" fillId="0" borderId="0" xfId="4" applyFont="1" applyFill="1" applyBorder="1" applyAlignment="1">
      <alignment horizontal="left" vertical="top"/>
    </xf>
    <xf numFmtId="0" fontId="10" fillId="0" borderId="8" xfId="0" applyFont="1" applyBorder="1" applyAlignment="1">
      <alignment horizontal="right" vertical="top" textRotation="90"/>
    </xf>
    <xf numFmtId="0" fontId="25" fillId="0" borderId="0" xfId="0" applyFont="1" applyAlignment="1">
      <alignment horizontal="left" vertical="top"/>
    </xf>
  </cellXfs>
  <cellStyles count="10">
    <cellStyle name="Comma" xfId="1" builtinId="3"/>
    <cellStyle name="Currency" xfId="2" builtinId="4"/>
    <cellStyle name="Currency 2" xfId="7" xr:uid="{B7A1A1B7-970E-41C1-A5BB-9C41C9459C30}"/>
    <cellStyle name="Heading 1" xfId="4" builtinId="16"/>
    <cellStyle name="Heading 1 2" xfId="9" xr:uid="{FF6ACB2A-F0F6-47D0-96AD-892E336F4E61}"/>
    <cellStyle name="Normal" xfId="0" builtinId="0"/>
    <cellStyle name="Normal 2" xfId="5" xr:uid="{9FD467AF-F08C-4B5E-9331-C89E2F8F5E32}"/>
    <cellStyle name="Normal 3" xfId="6" xr:uid="{AD0FB03F-6F2F-4A0D-9129-187905373866}"/>
    <cellStyle name="Percent" xfId="3" builtinId="5"/>
    <cellStyle name="Percent 2" xfId="8" xr:uid="{54341DE6-E886-4A6B-BF2C-0467355E7236}"/>
  </cellStyles>
  <dxfs count="0"/>
  <tableStyles count="0" defaultTableStyle="TableStyleMedium2" defaultPivotStyle="PivotStyleLight16"/>
  <colors>
    <mruColors>
      <color rgb="FFFFFFE1"/>
      <color rgb="FFECDFF5"/>
      <color rgb="FFDD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ctrlProps/ctrlProp1.xml><?xml version="1.0" encoding="utf-8"?>
<formControlPr xmlns="http://schemas.microsoft.com/office/spreadsheetml/2009/9/main" objectType="Drop" dropLines="5" dropStyle="combo" dx="39" fmlaLink="$C$4" fmlaRange="$L$8:$L$12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448745</xdr:colOff>
      <xdr:row>59</xdr:row>
      <xdr:rowOff>140984</xdr:rowOff>
    </xdr:from>
    <xdr:to>
      <xdr:col>15</xdr:col>
      <xdr:colOff>310940</xdr:colOff>
      <xdr:row>62</xdr:row>
      <xdr:rowOff>113297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E879B-BE4E-4360-BB85-E16C31C3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8008" y="12261547"/>
          <a:ext cx="2986395" cy="53428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265019</xdr:colOff>
      <xdr:row>53</xdr:row>
      <xdr:rowOff>101134</xdr:rowOff>
    </xdr:from>
    <xdr:to>
      <xdr:col>17</xdr:col>
      <xdr:colOff>179328</xdr:colOff>
      <xdr:row>58</xdr:row>
      <xdr:rowOff>5049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5213EF-C4E6-426C-95FA-DCF8B196C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4282" y="11121559"/>
          <a:ext cx="4333909" cy="8278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4763</xdr:colOff>
          <xdr:row>3</xdr:row>
          <xdr:rowOff>4763</xdr:rowOff>
        </xdr:from>
        <xdr:to>
          <xdr:col>3</xdr:col>
          <xdr:colOff>0</xdr:colOff>
          <xdr:row>3</xdr:row>
          <xdr:rowOff>176213</xdr:rowOff>
        </xdr:to>
        <xdr:sp macro="" textlink="">
          <xdr:nvSpPr>
            <xdr:cNvPr id="3115" name="Drop Down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82475</xdr:colOff>
      <xdr:row>22</xdr:row>
      <xdr:rowOff>38100</xdr:rowOff>
    </xdr:from>
    <xdr:to>
      <xdr:col>8</xdr:col>
      <xdr:colOff>809737</xdr:colOff>
      <xdr:row>22</xdr:row>
      <xdr:rowOff>152400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F1EFC76-5A32-496F-A50E-4A03E810E77B}"/>
            </a:ext>
          </a:extLst>
        </xdr:cNvPr>
        <xdr:cNvSpPr/>
      </xdr:nvSpPr>
      <xdr:spPr>
        <a:xfrm>
          <a:off x="8677387" y="4145056"/>
          <a:ext cx="727262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84045</xdr:colOff>
      <xdr:row>23</xdr:row>
      <xdr:rowOff>56031</xdr:rowOff>
    </xdr:from>
    <xdr:to>
      <xdr:col>8</xdr:col>
      <xdr:colOff>811307</xdr:colOff>
      <xdr:row>23</xdr:row>
      <xdr:rowOff>170331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A607025E-2FC9-429E-ADD4-6B45917A7AB9}"/>
            </a:ext>
          </a:extLst>
        </xdr:cNvPr>
        <xdr:cNvSpPr/>
      </xdr:nvSpPr>
      <xdr:spPr>
        <a:xfrm>
          <a:off x="8678957" y="4336678"/>
          <a:ext cx="727262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\Training\Excel\Headly\NYIM\GardnerTripExcelBusAdv\Gardn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!2023\TTS\Training\Summer%20Boot%20Camp%202022%20-%20Target%20(TGT)\Accounting\Adv%20Excel%20for%20Finance%20-%20with%20Rich%20T's%20version%20of%20macabac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elbenbraham\Library\Mobile%20Documents\com~apple~CloudDocs\Power%20Users%20v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:\Users\mfeldman\Dropbox\Course%20Materials-%20WSP\Excel%20Crash%20Course%20-%202007\Excel%20templates\Excel%20Practice%20Sheet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!%201%20Nobel%20Desktop\Financial%20Modeling%20Boot%20Camp\Adv%20Excel%20for%20Finance%20-%20Rich%20T%20Aug%2016%202023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!2023\TTS\Summer%20Boot%20TGT\4%20Financial%20Modeling\1%20Foundations\1%20Excel%20Best%20Practices\2D_FM_Examples_v22.0.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mware-host\Shared%20Folders\Users\Pro%20Data-PC55\Dropbox\NYIM\Excel%202007-2010\HackintoshUsers\jt2\Downloads\Sales%20Seasonality%20by%20Month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\Training\Excel\Advanced%20Excel%20for%20Biz\NYIM%20Advanced%20Excel%20for%20Biz%20Workbook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!%20%20%20!%201%20Nobel%20Desktop\Financial%20Modeling%20Boot%20Camp\!%20Latest%20Class%20files%20sent%20to%20JT\Excel%20Level%20II%20-%20Intermediate%20(Nov%2028%202023)%20Rich.xlsm" TargetMode="External"/><Relationship Id="rId1" Type="http://schemas.openxmlformats.org/officeDocument/2006/relationships/externalLinkPath" Target="file:///F:\!%20%20%20!%201%20Nobel%20Desktop\Financial%20Modeling%20Boot%20Camp\!%20Latest%20Class%20files%20sent%20to%20JT\Excel%20Level%20II%20-%20Intermediate%20(Nov%2028%202023)%20Rich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mware-host\Shared%20Folders\Users\Pro%20Data-PC55\Dropbox\NYIM\Excel%202007-2010\HackintoshUsers\jt2\Downloads\Service%20Invoice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NYIM47\Dropbox\1.%2520New%2520Excel%2520Curriculums\3.%2520Advanced%2520Excel%2520for%2520Business%2520v1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!%20%20%20!%201%20Nobel%20Desktop\Financial%20Modeling%20Boot%20Camp\Financial%20Modeling%202023-08-15\Advanced%20Excel%20for%20Financial%20Modeling%20%20day%201-%20Friday%20%20Jan%205%20%202024%20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kare\OneDrive\Desktop\1)%20Comp%20Portfolio\Variable%20Pay\LTI\Linking%20Enterprise%20Value%20Creation%20to%20CEO%20LTI%20Payout-%20kw.xlsx" TargetMode="External"/><Relationship Id="rId1" Type="http://schemas.openxmlformats.org/officeDocument/2006/relationships/externalLinkPath" Target="file:///C:\Users\wkare\OneDrive\Desktop\1)%20Comp%20Portfolio\Variable%20Pay\LTI\Linking%20Enterprise%20Value%20Creation%20to%20CEO%20LTI%20Payout-%20k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imple Formulas"/>
      <sheetName val="SimpleFunctions"/>
      <sheetName val="ParseDateTime"/>
      <sheetName val="DateMath"/>
      <sheetName val="Finance"/>
      <sheetName val="IfandSumIf"/>
      <sheetName val="NestedIf"/>
      <sheetName val="VLookup"/>
      <sheetName val="NatLangNameRange"/>
      <sheetName val="DataFilter"/>
      <sheetName val="Sample"/>
      <sheetName val="Regress-Forecast"/>
      <sheetName val="PriceChart"/>
      <sheetName val="Macro1"/>
      <sheetName val="Macro2"/>
      <sheetName val="Macro3"/>
      <sheetName val="Scenario"/>
      <sheetName val="GoalSeek"/>
      <sheetName val="Subtotal"/>
      <sheetName val="Auditing"/>
      <sheetName val="DataSort"/>
      <sheetName val="TextToColumns"/>
      <sheetName val="PivotTables"/>
      <sheetName val="Qtr1"/>
      <sheetName val="Qtr2"/>
      <sheetName val="Qtr3"/>
      <sheetName val="Qtr4"/>
      <sheetName val="Summary"/>
      <sheetName val="Ratios"/>
      <sheetName val="Charts"/>
      <sheetName val="TableOfContents"/>
      <sheetName val="IncomeStatement"/>
      <sheetName val="Balanc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 t="str">
            <v>RESULTS</v>
          </cell>
        </row>
        <row r="2">
          <cell r="B2">
            <v>2005</v>
          </cell>
          <cell r="C2">
            <v>2006</v>
          </cell>
          <cell r="D2">
            <v>2007</v>
          </cell>
        </row>
        <row r="3">
          <cell r="A3" t="str">
            <v>Short term liquidity</v>
          </cell>
        </row>
        <row r="4">
          <cell r="A4" t="str">
            <v>Current ratio: Measures the ability to pay current liabilities out of current assets.</v>
          </cell>
        </row>
        <row r="5">
          <cell r="A5" t="str">
            <v>Current Ratio = Current assets / Current liabilities</v>
          </cell>
          <cell r="B5" t="str">
            <v>NA</v>
          </cell>
          <cell r="C5" t="str">
            <v>NA</v>
          </cell>
          <cell r="D5" t="str">
            <v>NA</v>
          </cell>
        </row>
        <row r="6">
          <cell r="A6" t="str">
            <v>Quick ratio (Acid Test): Measures the ability to pay current liabilities out of the most liquid of current assets.</v>
          </cell>
        </row>
        <row r="7">
          <cell r="A7" t="str">
            <v>Quick ratio = (Cash + Marketable securities + Accounts receivable) / Current liabilities</v>
          </cell>
          <cell r="B7" t="str">
            <v>NA</v>
          </cell>
          <cell r="C7" t="str">
            <v>NA</v>
          </cell>
          <cell r="D7" t="str">
            <v>NA</v>
          </cell>
        </row>
        <row r="8">
          <cell r="A8" t="str">
            <v>Accounts receivable turnover: Measures the ability to collect from customers.</v>
          </cell>
        </row>
        <row r="9">
          <cell r="A9" t="str">
            <v>Accounts receivable turnover = Annual net credit sales / Average net account receivables</v>
          </cell>
        </row>
        <row r="10">
          <cell r="A10" t="str">
            <v>Average collection period (Days Sales Outstanding): Measures the average number of day that it takes to collect accounts receivable.</v>
          </cell>
        </row>
        <row r="11">
          <cell r="A11" t="str">
            <v>Average collection period = 365 / Accounts receivable turnover</v>
          </cell>
        </row>
        <row r="12">
          <cell r="A12" t="str">
            <v>Inventory turnover: Measures the saleability of inventory.  Indicates the number of time inventory is sold or "turned" per year.</v>
          </cell>
        </row>
        <row r="13">
          <cell r="A13" t="str">
            <v>Inventory turnover = Cost of goods sold / Average Inventory</v>
          </cell>
        </row>
        <row r="14">
          <cell r="A14" t="str">
            <v>Days sales in inventory: Measures inventory levels based on days sales.</v>
          </cell>
        </row>
        <row r="15">
          <cell r="A15" t="str">
            <v>Days sales in inventory = 365 / Inventory turnover</v>
          </cell>
        </row>
        <row r="16">
          <cell r="A16" t="str">
            <v>Inventory to net working capital</v>
          </cell>
        </row>
        <row r="17">
          <cell r="A17" t="str">
            <v xml:space="preserve">  Inventory to net working capital = Inventory / Net working capital </v>
          </cell>
        </row>
        <row r="18">
          <cell r="A18" t="str">
            <v>Long term solvency</v>
          </cell>
        </row>
        <row r="19">
          <cell r="A19" t="str">
            <v>Debt ratio: Indicates the percentage of assets financed with debt or liabilities</v>
          </cell>
        </row>
        <row r="20">
          <cell r="A20" t="str">
            <v>Debt ratio = Total liabilities / Total assets</v>
          </cell>
        </row>
        <row r="21">
          <cell r="A21" t="str">
            <v>Times interest earned - income (interest coverage): Measures the ability to pay interest out of profits.</v>
          </cell>
        </row>
        <row r="22">
          <cell r="A22" t="str">
            <v>Times interest earned - income (interest coverage) = Net income before interest expense and taxes / Interest expense</v>
          </cell>
        </row>
        <row r="23">
          <cell r="A23" t="str">
            <v>Times interest earned - cash flow (interest coverage): Net income before interest expense and taxes</v>
          </cell>
        </row>
        <row r="24">
          <cell r="A24" t="str">
            <v>Times interest earned - cash flow (interest coverage) =   Cash flow from operations and interest / Interest expense</v>
          </cell>
        </row>
        <row r="25">
          <cell r="A25" t="str">
            <v>Total asstes to equity</v>
          </cell>
        </row>
        <row r="26">
          <cell r="A26" t="str">
            <v>Total assets to equity = Total assets / Total stockholders equity</v>
          </cell>
        </row>
        <row r="27">
          <cell r="A27" t="str">
            <v>Total liabilities to total assets</v>
          </cell>
        </row>
        <row r="28">
          <cell r="A28" t="str">
            <v>Total liabilities to total assets = Total liabilities / Total assets</v>
          </cell>
        </row>
        <row r="29">
          <cell r="A29" t="str">
            <v>Total liabilities to equity</v>
          </cell>
        </row>
        <row r="30">
          <cell r="A30" t="str">
            <v>Total liabilities to equity = Total liabilities / Total stockholders equity</v>
          </cell>
        </row>
        <row r="31">
          <cell r="A31" t="str">
            <v>Interest bearing debt to total assets</v>
          </cell>
        </row>
        <row r="32">
          <cell r="A32" t="str">
            <v>Interest bearing debt to total assets = Interest bearing debt / Total assets</v>
          </cell>
        </row>
        <row r="33">
          <cell r="A33" t="str">
            <v>Interest bearing debt to equity</v>
          </cell>
        </row>
        <row r="34">
          <cell r="A34" t="str">
            <v xml:space="preserve"> Interest bearing debt to equity = Interest bearing debt / Total equity</v>
          </cell>
        </row>
        <row r="35">
          <cell r="A35" t="str">
            <v>Long term debt to long term capital</v>
          </cell>
        </row>
        <row r="36">
          <cell r="A36" t="str">
            <v>Long term debt to long term capital = Long term debt / (Long term debt + Total equity)</v>
          </cell>
        </row>
        <row r="37">
          <cell r="A37" t="str">
            <v>Profitability Ratios</v>
          </cell>
        </row>
        <row r="38">
          <cell r="A38" t="str">
            <v>Return on assets: Measures the effectiveness of assets used to produce profits.</v>
          </cell>
        </row>
        <row r="39">
          <cell r="A39" t="str">
            <v>Return on assets = Net income / Average total assets</v>
          </cell>
        </row>
        <row r="40">
          <cell r="A40" t="str">
            <v>Return on equity: Measures the profitibility of owners investments.</v>
          </cell>
        </row>
        <row r="41">
          <cell r="A41" t="str">
            <v>Return on equity = Net income / Average stockholders equity</v>
          </cell>
        </row>
        <row r="42">
          <cell r="A42" t="str">
            <v>Gross margin</v>
          </cell>
        </row>
        <row r="43">
          <cell r="A43" t="str">
            <v>Gross margin % = Gross profit / Sales</v>
          </cell>
        </row>
        <row r="44">
          <cell r="A44" t="str">
            <v>Operating margin</v>
          </cell>
        </row>
        <row r="45">
          <cell r="A45" t="str">
            <v>Operating margin = Operating profit / Sales</v>
          </cell>
        </row>
        <row r="46">
          <cell r="A46" t="str">
            <v>Profit margin: Measures the % of each $1 of revenue that is left over as profit.</v>
          </cell>
        </row>
        <row r="47">
          <cell r="A47" t="str">
            <v>Profit margin = Net income / Sales</v>
          </cell>
        </row>
        <row r="48">
          <cell r="A48" t="str">
            <v>Total asset turnover: Measures the efficiency of assets used to produce sales.</v>
          </cell>
        </row>
        <row r="49">
          <cell r="A49" t="str">
            <v>Total asset turnover = Sales / Average total assets</v>
          </cell>
        </row>
        <row r="50">
          <cell r="A50" t="str">
            <v>Fixed assets turnover: Measures the efficiency of fixed assets used to produce sales.</v>
          </cell>
        </row>
        <row r="51">
          <cell r="A51" t="str">
            <v>Fixed asset turnover = Sales / Average fixed assets</v>
          </cell>
        </row>
        <row r="52">
          <cell r="A52" t="str">
            <v>Current asset turnover</v>
          </cell>
        </row>
        <row r="53">
          <cell r="A53" t="str">
            <v>Current asset turnover = Sales / Average current assets</v>
          </cell>
        </row>
      </sheetData>
      <sheetData sheetId="30" refreshError="1"/>
      <sheetData sheetId="31" refreshError="1"/>
      <sheetData sheetId="32">
        <row r="2">
          <cell r="A2" t="str">
            <v>PERIOD ENDING</v>
          </cell>
          <cell r="B2" t="str">
            <v>Mar 31, 200x</v>
          </cell>
          <cell r="C2" t="str">
            <v>Jun 30, 200x</v>
          </cell>
          <cell r="D2" t="str">
            <v>Sep 30, 200x</v>
          </cell>
          <cell r="E2" t="str">
            <v>Dec 31, 200x</v>
          </cell>
        </row>
        <row r="3">
          <cell r="A3" t="str">
            <v>Total Revenue</v>
          </cell>
        </row>
        <row r="4">
          <cell r="A4" t="str">
            <v>Cost of Revenue</v>
          </cell>
        </row>
        <row r="5">
          <cell r="A5" t="str">
            <v>Gross Profit</v>
          </cell>
        </row>
        <row r="6">
          <cell r="A6" t="str">
            <v>Operating Expenses</v>
          </cell>
        </row>
        <row r="7">
          <cell r="A7" t="str">
            <v>Research Development</v>
          </cell>
        </row>
        <row r="8">
          <cell r="A8" t="str">
            <v>Selling General and Administrative</v>
          </cell>
        </row>
        <row r="9">
          <cell r="A9" t="str">
            <v>Non Recurring</v>
          </cell>
        </row>
        <row r="10">
          <cell r="A10" t="str">
            <v>Others</v>
          </cell>
        </row>
        <row r="11">
          <cell r="A11" t="str">
            <v>Total Operating Expenses</v>
          </cell>
        </row>
        <row r="12">
          <cell r="A12" t="str">
            <v>Operating Income or Loss</v>
          </cell>
        </row>
        <row r="13">
          <cell r="A13" t="str">
            <v>Income from Continuing Operations</v>
          </cell>
        </row>
        <row r="14">
          <cell r="A14" t="str">
            <v>Total Other Income/Expenses Net</v>
          </cell>
        </row>
        <row r="15">
          <cell r="A15" t="str">
            <v>Earnings Before Interest And Taxes</v>
          </cell>
        </row>
        <row r="16">
          <cell r="A16" t="str">
            <v>Interest Expense</v>
          </cell>
        </row>
        <row r="17">
          <cell r="A17" t="str">
            <v>Income Before Tax</v>
          </cell>
        </row>
        <row r="18">
          <cell r="A18" t="str">
            <v>Income Tax Expense</v>
          </cell>
        </row>
        <row r="19">
          <cell r="A19" t="str">
            <v>Minority Interest</v>
          </cell>
        </row>
        <row r="20">
          <cell r="A20" t="str">
            <v>Net Income From Continuing Ops</v>
          </cell>
        </row>
        <row r="21">
          <cell r="A21" t="str">
            <v>Non-recurring Events</v>
          </cell>
        </row>
        <row r="22">
          <cell r="A22" t="str">
            <v>Discontinued Operations</v>
          </cell>
        </row>
        <row r="23">
          <cell r="A23" t="str">
            <v>Extraordinary Items</v>
          </cell>
        </row>
        <row r="24">
          <cell r="A24" t="str">
            <v>Effect Of Accounting Changes</v>
          </cell>
        </row>
        <row r="25">
          <cell r="A25" t="str">
            <v>Other Items</v>
          </cell>
        </row>
        <row r="26">
          <cell r="A26" t="str">
            <v>Net Income</v>
          </cell>
        </row>
        <row r="27">
          <cell r="A27" t="str">
            <v>Preferred Stock And Other Adjustments</v>
          </cell>
        </row>
        <row r="28">
          <cell r="A28" t="str">
            <v>Net Income Applicable To Common Shares</v>
          </cell>
        </row>
      </sheetData>
      <sheetData sheetId="33">
        <row r="2">
          <cell r="A2" t="str">
            <v>PERIOD ENDING</v>
          </cell>
          <cell r="B2" t="str">
            <v>Mar 31, 200x</v>
          </cell>
          <cell r="C2" t="str">
            <v>Jun 30, 200x</v>
          </cell>
          <cell r="D2" t="str">
            <v>Sep 30, 200x</v>
          </cell>
          <cell r="E2" t="str">
            <v>Dec 31, 200x</v>
          </cell>
        </row>
        <row r="3">
          <cell r="A3" t="str">
            <v>Assets</v>
          </cell>
        </row>
        <row r="4">
          <cell r="A4" t="str">
            <v>Current Assets</v>
          </cell>
        </row>
        <row r="5">
          <cell r="A5" t="str">
            <v>Cash And Cash Equivalents</v>
          </cell>
        </row>
        <row r="6">
          <cell r="A6" t="str">
            <v>Short Term Investments</v>
          </cell>
        </row>
        <row r="7">
          <cell r="A7" t="str">
            <v>Net Receivables</v>
          </cell>
        </row>
        <row r="8">
          <cell r="A8" t="str">
            <v>Inventory</v>
          </cell>
        </row>
        <row r="9">
          <cell r="A9" t="str">
            <v>Other Current Assets</v>
          </cell>
        </row>
        <row r="10">
          <cell r="A10" t="str">
            <v>Total Current Assets</v>
          </cell>
        </row>
        <row r="11">
          <cell r="A11" t="str">
            <v>Long Term Investments</v>
          </cell>
        </row>
        <row r="12">
          <cell r="A12" t="str">
            <v>Property Plant and Equipment</v>
          </cell>
        </row>
        <row r="13">
          <cell r="A13" t="str">
            <v>Goodwill</v>
          </cell>
        </row>
        <row r="14">
          <cell r="A14" t="str">
            <v>Intangible Assets</v>
          </cell>
        </row>
        <row r="15">
          <cell r="A15" t="str">
            <v>Accumulated Amortization</v>
          </cell>
        </row>
        <row r="16">
          <cell r="A16" t="str">
            <v>Other Assets</v>
          </cell>
        </row>
        <row r="17">
          <cell r="A17" t="str">
            <v>Deferred Long Term Asset Charges</v>
          </cell>
        </row>
        <row r="18">
          <cell r="A18" t="str">
            <v>Total Assets</v>
          </cell>
        </row>
        <row r="19">
          <cell r="A19" t="str">
            <v>Liabilities</v>
          </cell>
        </row>
        <row r="20">
          <cell r="A20" t="str">
            <v>Current Liabilities</v>
          </cell>
        </row>
        <row r="21">
          <cell r="A21" t="str">
            <v>Accounts Payable</v>
          </cell>
        </row>
        <row r="22">
          <cell r="A22" t="str">
            <v>Short/Current Long Term Debt</v>
          </cell>
        </row>
        <row r="23">
          <cell r="A23" t="str">
            <v>Other Current Liabilities</v>
          </cell>
        </row>
        <row r="24">
          <cell r="A24" t="str">
            <v>Total Current Liabilities</v>
          </cell>
        </row>
        <row r="25">
          <cell r="A25" t="str">
            <v>Long Term Debt</v>
          </cell>
        </row>
        <row r="26">
          <cell r="A26" t="str">
            <v>Other Liabilities</v>
          </cell>
        </row>
        <row r="27">
          <cell r="A27" t="str">
            <v>Deferred Long Term Liability Charges</v>
          </cell>
        </row>
        <row r="28">
          <cell r="A28" t="str">
            <v>Minority Interest</v>
          </cell>
        </row>
        <row r="29">
          <cell r="A29" t="str">
            <v>Negative Goodwill</v>
          </cell>
        </row>
        <row r="30">
          <cell r="A30" t="str">
            <v>Total Liabilities</v>
          </cell>
        </row>
        <row r="31">
          <cell r="A31" t="str">
            <v xml:space="preserve">Stockholders' Equity </v>
          </cell>
        </row>
        <row r="32">
          <cell r="A32" t="str">
            <v>Misc Stocks Options Warrants</v>
          </cell>
        </row>
        <row r="33">
          <cell r="A33" t="str">
            <v>Redeemable Preferred Stock</v>
          </cell>
        </row>
        <row r="34">
          <cell r="A34" t="str">
            <v>Preferred Stock</v>
          </cell>
        </row>
        <row r="35">
          <cell r="A35" t="str">
            <v>Common Stock</v>
          </cell>
        </row>
        <row r="36">
          <cell r="A36" t="str">
            <v>Retained Earnings</v>
          </cell>
        </row>
        <row r="37">
          <cell r="A37" t="str">
            <v>Treasury Stock</v>
          </cell>
        </row>
        <row r="38">
          <cell r="A38" t="str">
            <v>Capital Surplus</v>
          </cell>
        </row>
        <row r="39">
          <cell r="A39" t="str">
            <v>Other Stockholder Equity</v>
          </cell>
        </row>
        <row r="40">
          <cell r="A40" t="str">
            <v>Total Stockholder Equity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elcome"/>
      <sheetName val="Navigation"/>
      <sheetName val="Formula writing"/>
      <sheetName val="Formula Auditing"/>
      <sheetName val="Adv Cell Lock"/>
      <sheetName val="Go To Special"/>
      <sheetName val="Table1"/>
      <sheetName val="Hot Keys"/>
      <sheetName val="Windows"/>
      <sheetName val="Project I"/>
      <sheetName val="Project I (answer)"/>
      <sheetName val="Goal Seek"/>
      <sheetName val="Data Tables"/>
      <sheetName val="Arrays"/>
      <sheetName val="Scenario Manager"/>
      <sheetName val="Present Value"/>
      <sheetName val="NPV"/>
      <sheetName val="IRR"/>
      <sheetName val="Date Functions"/>
      <sheetName val="Nested IFs"/>
      <sheetName val="IF with AND, OR"/>
      <sheetName val="10) Conditional SumProduct"/>
      <sheetName val="Project II"/>
      <sheetName val="Project II (Completed)"/>
      <sheetName val="MATCH Function"/>
      <sheetName val="INDEX-MATCH"/>
      <sheetName val="18) Macros"/>
      <sheetName val="18) Record Macros"/>
      <sheetName val="18) Apply Macro"/>
      <sheetName val="19) Relative Macros"/>
      <sheetName val="INDEX-Double MATCH"/>
      <sheetName val="Data table 2"/>
      <sheetName val="Data table 2 _ans"/>
      <sheetName val="Project III"/>
      <sheetName val="Project III (ans)"/>
      <sheetName val="Sheet1"/>
      <sheetName val="Save &amp; Email"/>
    </sheetNames>
    <sheetDataSet>
      <sheetData sheetId="0"/>
      <sheetData sheetId="1"/>
      <sheetData sheetId="2"/>
      <sheetData sheetId="3"/>
      <sheetData sheetId="4"/>
      <sheetData sheetId="5">
        <row r="87">
          <cell r="B87">
            <v>13290</v>
          </cell>
          <cell r="C87">
            <v>41643</v>
          </cell>
          <cell r="D87">
            <v>87</v>
          </cell>
          <cell r="E87" t="str">
            <v>Pate Chinois</v>
          </cell>
        </row>
        <row r="88">
          <cell r="B88">
            <v>13291</v>
          </cell>
          <cell r="C88">
            <v>41643.229074074072</v>
          </cell>
          <cell r="D88">
            <v>16</v>
          </cell>
          <cell r="E88" t="str">
            <v>Boston crab meat</v>
          </cell>
        </row>
        <row r="89">
          <cell r="B89">
            <v>13292</v>
          </cell>
          <cell r="C89">
            <v>41644.351168981484</v>
          </cell>
          <cell r="D89">
            <v>77</v>
          </cell>
          <cell r="E89" t="str">
            <v>Gorganzola Telino</v>
          </cell>
        </row>
        <row r="90">
          <cell r="B90">
            <v>13293</v>
          </cell>
          <cell r="C90">
            <v>41645.195324074077</v>
          </cell>
          <cell r="D90">
            <v>16</v>
          </cell>
          <cell r="E90" t="str">
            <v>Boston crab meat</v>
          </cell>
        </row>
        <row r="91">
          <cell r="B91">
            <v>13294</v>
          </cell>
          <cell r="C91">
            <v>41646.305960648147</v>
          </cell>
          <cell r="D91">
            <v>71</v>
          </cell>
          <cell r="E91" t="str">
            <v>Spegasild</v>
          </cell>
        </row>
        <row r="92">
          <cell r="B92">
            <v>13295</v>
          </cell>
          <cell r="C92">
            <v>41646.360405092593</v>
          </cell>
          <cell r="D92">
            <v>16</v>
          </cell>
          <cell r="E92" t="str">
            <v>Boston crab meat</v>
          </cell>
        </row>
        <row r="93">
          <cell r="B93">
            <v>13296</v>
          </cell>
          <cell r="C93">
            <v>41646.614479166667</v>
          </cell>
          <cell r="D93">
            <v>16</v>
          </cell>
          <cell r="E93" t="str">
            <v>Boston crab meat</v>
          </cell>
        </row>
        <row r="94">
          <cell r="B94">
            <v>13297</v>
          </cell>
          <cell r="C94">
            <v>41647.642372685186</v>
          </cell>
          <cell r="D94">
            <v>77</v>
          </cell>
          <cell r="E94" t="str">
            <v>Gorganzola Telino</v>
          </cell>
        </row>
        <row r="95">
          <cell r="B95">
            <v>13298</v>
          </cell>
          <cell r="C95">
            <v>41648.457418981481</v>
          </cell>
          <cell r="D95">
            <v>16</v>
          </cell>
          <cell r="E95" t="str">
            <v>Boston crab meat</v>
          </cell>
        </row>
        <row r="96">
          <cell r="B96">
            <v>13299</v>
          </cell>
          <cell r="C96">
            <v>41649.019085648149</v>
          </cell>
          <cell r="D96">
            <v>16</v>
          </cell>
          <cell r="E96" t="str">
            <v>Boston crab meat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Named Ranges (2)"/>
      <sheetName val="Dynamic Named Range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3"/>
      <sheetName val="Data validation"/>
      <sheetName val="Income Statement"/>
      <sheetName val="Sheet1"/>
      <sheetName val="Sheet4"/>
      <sheetName val="Sheet2A"/>
      <sheetName val="Sheet2B"/>
      <sheetName val="Sheet2"/>
      <sheetName val="Sheet7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800</v>
          </cell>
        </row>
        <row r="6">
          <cell r="C6">
            <v>300</v>
          </cell>
        </row>
      </sheetData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elcome"/>
      <sheetName val="ShortCutKeys"/>
      <sheetName val="ShortCutKeys (2)"/>
      <sheetName val="Navigation"/>
      <sheetName val="Formula writing"/>
      <sheetName val="Formula Auditing"/>
      <sheetName val="Adv Cell Lock"/>
      <sheetName val="Go To Special"/>
      <sheetName val="Table1"/>
      <sheetName val="Hot Keys"/>
      <sheetName val="Windows"/>
      <sheetName val="Project I"/>
      <sheetName val="Project I (answer)"/>
      <sheetName val="Goal Seek"/>
      <sheetName val="Data Tables"/>
      <sheetName val="Arrays"/>
      <sheetName val="Scenario Manager"/>
      <sheetName val="Present Value"/>
      <sheetName val="NPV"/>
      <sheetName val="IRR"/>
      <sheetName val="Date Functions"/>
      <sheetName val="Nested IFs"/>
      <sheetName val="IF with AND, OR"/>
      <sheetName val="10) Conditional SumProduct"/>
      <sheetName val="Project II"/>
      <sheetName val="Project II (Completed)"/>
      <sheetName val="MATCH Function"/>
      <sheetName val="INDEX-MATCH"/>
      <sheetName val="18) Macros"/>
      <sheetName val="18) Record Macros"/>
      <sheetName val="18) Apply Macro"/>
      <sheetName val="19) Relative Macros"/>
      <sheetName val="INDEX-Double MATCH"/>
      <sheetName val="Project III"/>
      <sheetName val="Project III (ans)"/>
      <sheetName val="Sheet1"/>
      <sheetName val="Save &amp; Em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2">
          <cell r="B82">
            <v>13290</v>
          </cell>
        </row>
        <row r="119">
          <cell r="C119">
            <v>5</v>
          </cell>
          <cell r="D119">
            <v>10</v>
          </cell>
          <cell r="E119">
            <v>20</v>
          </cell>
          <cell r="F119">
            <v>100</v>
          </cell>
        </row>
        <row r="120">
          <cell r="B120">
            <v>2</v>
          </cell>
        </row>
        <row r="121">
          <cell r="B121">
            <v>3</v>
          </cell>
        </row>
        <row r="122">
          <cell r="B122">
            <v>4</v>
          </cell>
        </row>
        <row r="123">
          <cell r="B123">
            <v>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WELCOME"/>
      <sheetName val="Mac Keyboard Complications"/>
      <sheetName val="Setup - Mac Excel"/>
      <sheetName val="Setup - Windows Excel"/>
      <sheetName val="Anchoring"/>
      <sheetName val="Navigating"/>
      <sheetName val="Excel Foundations"/>
      <sheetName val="Essentials"/>
      <sheetName val="Fundamental Number Formats"/>
      <sheetName val="Customizing Toolbars"/>
      <sheetName val="Anchoring Exercise"/>
      <sheetName val="IS"/>
      <sheetName val="WorkingCap"/>
      <sheetName val="Vertical Data Table"/>
      <sheetName val="Horizontal Data Table"/>
      <sheetName val="Two-Way Data Table"/>
      <sheetName val="Data Table Essentials"/>
      <sheetName val="System Setup - Windows Excel"/>
      <sheetName val="Flatlining with Steps"/>
      <sheetName val="Other_Data"/>
    </sheetNames>
    <sheetDataSet>
      <sheetData sheetId="0" refreshError="1"/>
      <sheetData sheetId="1">
        <row r="5">
          <cell r="T5">
            <v>10</v>
          </cell>
        </row>
        <row r="37">
          <cell r="W37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Review"/>
      <sheetName val="Review 2"/>
      <sheetName val="Sales Tracking"/>
      <sheetName val="To Paste Sales Rep"/>
      <sheetName val="Account Info"/>
      <sheetName val="Vlookup for True"/>
      <sheetName val="Goal Seek-Protection-If"/>
      <sheetName val="Comparison Operators"/>
      <sheetName val="Datadump"/>
      <sheetName val="Imported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1">
          <cell r="A1" t="str">
            <v>Vlookup</v>
          </cell>
          <cell r="C1" t="str">
            <v>Marketing - Office Exp.</v>
          </cell>
        </row>
        <row r="5">
          <cell r="A5" t="str">
            <v>Account Name</v>
          </cell>
          <cell r="B5" t="str">
            <v>P&amp;L</v>
          </cell>
          <cell r="C5" t="str">
            <v>Consolidate Account Name &amp; P&amp;L</v>
          </cell>
          <cell r="D5">
            <v>37987</v>
          </cell>
          <cell r="E5">
            <v>38018</v>
          </cell>
          <cell r="F5">
            <v>38047</v>
          </cell>
          <cell r="G5">
            <v>38078</v>
          </cell>
          <cell r="H5">
            <v>38108</v>
          </cell>
          <cell r="I5">
            <v>38139</v>
          </cell>
          <cell r="J5">
            <v>38169</v>
          </cell>
          <cell r="K5">
            <v>38200</v>
          </cell>
          <cell r="L5">
            <v>38231</v>
          </cell>
          <cell r="M5">
            <v>38261</v>
          </cell>
          <cell r="N5">
            <v>38292</v>
          </cell>
          <cell r="O5">
            <v>38322</v>
          </cell>
          <cell r="P5">
            <v>38353</v>
          </cell>
          <cell r="Q5">
            <v>38384</v>
          </cell>
          <cell r="R5">
            <v>38412</v>
          </cell>
          <cell r="S5">
            <v>38443</v>
          </cell>
          <cell r="T5">
            <v>38473</v>
          </cell>
          <cell r="U5">
            <v>38504</v>
          </cell>
          <cell r="V5">
            <v>38534</v>
          </cell>
          <cell r="W5">
            <v>38565</v>
          </cell>
        </row>
        <row r="6">
          <cell r="A6" t="str">
            <v>Sales</v>
          </cell>
          <cell r="B6" t="str">
            <v>Revenue</v>
          </cell>
          <cell r="C6" t="str">
            <v>Revenue - Sales</v>
          </cell>
          <cell r="D6">
            <v>42617</v>
          </cell>
          <cell r="E6">
            <v>8221.5238095238092</v>
          </cell>
          <cell r="F6">
            <v>177460.14285714299</v>
          </cell>
          <cell r="G6">
            <v>-1003004</v>
          </cell>
          <cell r="H6">
            <v>-1004005</v>
          </cell>
          <cell r="I6">
            <v>-1005006</v>
          </cell>
          <cell r="J6">
            <v>-1006007</v>
          </cell>
          <cell r="K6">
            <v>-1007008</v>
          </cell>
          <cell r="L6">
            <v>-1008009</v>
          </cell>
          <cell r="M6">
            <v>-1009010</v>
          </cell>
          <cell r="N6">
            <v>-1010011</v>
          </cell>
          <cell r="O6">
            <v>-1011012</v>
          </cell>
          <cell r="P6">
            <v>-1012013</v>
          </cell>
          <cell r="Q6">
            <v>-1013014</v>
          </cell>
          <cell r="R6">
            <v>-1014015</v>
          </cell>
          <cell r="S6">
            <v>-1015016</v>
          </cell>
          <cell r="T6">
            <v>-1016017</v>
          </cell>
          <cell r="U6">
            <v>-1017018</v>
          </cell>
          <cell r="V6">
            <v>-1018019</v>
          </cell>
          <cell r="W6">
            <v>-1019020</v>
          </cell>
        </row>
        <row r="7">
          <cell r="A7" t="str">
            <v>Interest</v>
          </cell>
          <cell r="B7" t="str">
            <v>Revenue</v>
          </cell>
          <cell r="C7" t="str">
            <v>Revenue - Interest</v>
          </cell>
          <cell r="D7">
            <v>16103</v>
          </cell>
          <cell r="E7">
            <v>7634.3809523809496</v>
          </cell>
          <cell r="F7">
            <v>168685.14285714299</v>
          </cell>
          <cell r="G7">
            <v>-10404</v>
          </cell>
          <cell r="H7">
            <v>-10505</v>
          </cell>
          <cell r="I7">
            <v>-10606</v>
          </cell>
          <cell r="J7">
            <v>-10707</v>
          </cell>
          <cell r="K7">
            <v>-10808</v>
          </cell>
          <cell r="L7">
            <v>-10909</v>
          </cell>
          <cell r="M7">
            <v>-11010</v>
          </cell>
          <cell r="N7">
            <v>-11111</v>
          </cell>
          <cell r="O7">
            <v>-11212</v>
          </cell>
          <cell r="P7">
            <v>-11313</v>
          </cell>
          <cell r="Q7">
            <v>-11414</v>
          </cell>
          <cell r="R7">
            <v>-11515</v>
          </cell>
          <cell r="S7">
            <v>-11616</v>
          </cell>
          <cell r="T7">
            <v>-11717</v>
          </cell>
          <cell r="U7">
            <v>-11818</v>
          </cell>
          <cell r="V7">
            <v>-11919</v>
          </cell>
          <cell r="W7">
            <v>-12020</v>
          </cell>
        </row>
        <row r="8">
          <cell r="A8" t="str">
            <v>Other Income</v>
          </cell>
          <cell r="B8" t="str">
            <v>Revenue</v>
          </cell>
          <cell r="C8" t="str">
            <v>Revenue - Other Income</v>
          </cell>
          <cell r="D8">
            <v>42757</v>
          </cell>
          <cell r="E8">
            <v>7047.23809523809</v>
          </cell>
          <cell r="F8">
            <v>159910.14285714299</v>
          </cell>
          <cell r="G8">
            <v>-1004</v>
          </cell>
          <cell r="H8">
            <v>-1005</v>
          </cell>
          <cell r="I8">
            <v>-1006</v>
          </cell>
          <cell r="J8">
            <v>-1007</v>
          </cell>
          <cell r="K8">
            <v>-1008</v>
          </cell>
          <cell r="L8">
            <v>-1009</v>
          </cell>
          <cell r="M8">
            <v>-1010</v>
          </cell>
          <cell r="N8">
            <v>-1011</v>
          </cell>
          <cell r="O8">
            <v>-1012</v>
          </cell>
          <cell r="P8">
            <v>-1013</v>
          </cell>
          <cell r="Q8">
            <v>-1014</v>
          </cell>
          <cell r="R8">
            <v>-1015</v>
          </cell>
          <cell r="S8">
            <v>-1016</v>
          </cell>
          <cell r="T8">
            <v>-1017</v>
          </cell>
          <cell r="U8">
            <v>-1018</v>
          </cell>
          <cell r="V8">
            <v>-1019</v>
          </cell>
          <cell r="W8">
            <v>-1020</v>
          </cell>
        </row>
        <row r="9">
          <cell r="A9" t="str">
            <v>Car Exp.</v>
          </cell>
          <cell r="B9" t="str">
            <v>G&amp;A</v>
          </cell>
          <cell r="C9" t="str">
            <v>G&amp;A - Car Exp.</v>
          </cell>
          <cell r="D9">
            <v>48819</v>
          </cell>
          <cell r="E9">
            <v>6460.0952380952403</v>
          </cell>
          <cell r="F9">
            <v>151135.14285714299</v>
          </cell>
          <cell r="G9">
            <v>5004</v>
          </cell>
          <cell r="H9">
            <v>5005</v>
          </cell>
          <cell r="I9">
            <v>5006</v>
          </cell>
          <cell r="J9">
            <v>5007</v>
          </cell>
          <cell r="K9">
            <v>5008</v>
          </cell>
          <cell r="L9">
            <v>5009</v>
          </cell>
          <cell r="M9">
            <v>5010</v>
          </cell>
          <cell r="N9">
            <v>5011</v>
          </cell>
          <cell r="O9">
            <v>5012</v>
          </cell>
          <cell r="P9">
            <v>5013</v>
          </cell>
          <cell r="Q9">
            <v>5014</v>
          </cell>
          <cell r="R9">
            <v>5015</v>
          </cell>
          <cell r="S9">
            <v>5016</v>
          </cell>
          <cell r="T9">
            <v>5017</v>
          </cell>
          <cell r="U9">
            <v>5018</v>
          </cell>
          <cell r="V9">
            <v>5019</v>
          </cell>
          <cell r="W9">
            <v>5020</v>
          </cell>
        </row>
        <row r="10">
          <cell r="A10" t="str">
            <v>Office Supplies</v>
          </cell>
          <cell r="B10" t="str">
            <v>G&amp;A</v>
          </cell>
          <cell r="C10" t="str">
            <v>G&amp;A - Office Supplies</v>
          </cell>
          <cell r="D10">
            <v>20395</v>
          </cell>
          <cell r="E10">
            <v>5872.9523809523798</v>
          </cell>
          <cell r="F10">
            <v>142360.14285714299</v>
          </cell>
          <cell r="G10">
            <v>304</v>
          </cell>
          <cell r="H10">
            <v>305</v>
          </cell>
          <cell r="I10">
            <v>306</v>
          </cell>
          <cell r="J10">
            <v>307</v>
          </cell>
          <cell r="K10">
            <v>308</v>
          </cell>
          <cell r="L10">
            <v>309</v>
          </cell>
          <cell r="M10">
            <v>310</v>
          </cell>
          <cell r="N10">
            <v>311</v>
          </cell>
          <cell r="O10">
            <v>312</v>
          </cell>
          <cell r="P10">
            <v>313</v>
          </cell>
          <cell r="Q10">
            <v>314</v>
          </cell>
          <cell r="R10">
            <v>315</v>
          </cell>
          <cell r="S10">
            <v>316</v>
          </cell>
          <cell r="T10">
            <v>317</v>
          </cell>
          <cell r="U10">
            <v>318</v>
          </cell>
          <cell r="V10">
            <v>319</v>
          </cell>
          <cell r="W10">
            <v>320</v>
          </cell>
        </row>
        <row r="11">
          <cell r="A11" t="str">
            <v>Computers Exp.</v>
          </cell>
          <cell r="B11" t="str">
            <v>G&amp;A</v>
          </cell>
          <cell r="C11" t="str">
            <v>G&amp;A - Computers Exp.</v>
          </cell>
          <cell r="D11">
            <v>25397</v>
          </cell>
          <cell r="E11">
            <v>5285.8095238095202</v>
          </cell>
          <cell r="F11">
            <v>133585.14285714299</v>
          </cell>
          <cell r="G11">
            <v>204</v>
          </cell>
          <cell r="H11">
            <v>205</v>
          </cell>
          <cell r="I11">
            <v>206</v>
          </cell>
          <cell r="J11">
            <v>207</v>
          </cell>
          <cell r="K11">
            <v>208</v>
          </cell>
          <cell r="L11">
            <v>209</v>
          </cell>
          <cell r="M11">
            <v>210</v>
          </cell>
          <cell r="N11">
            <v>211</v>
          </cell>
          <cell r="O11">
            <v>212</v>
          </cell>
          <cell r="P11">
            <v>213</v>
          </cell>
          <cell r="Q11">
            <v>214</v>
          </cell>
          <cell r="R11">
            <v>215</v>
          </cell>
          <cell r="S11">
            <v>216</v>
          </cell>
          <cell r="T11">
            <v>217</v>
          </cell>
          <cell r="U11">
            <v>218</v>
          </cell>
          <cell r="V11">
            <v>219</v>
          </cell>
          <cell r="W11">
            <v>220</v>
          </cell>
        </row>
        <row r="12">
          <cell r="A12" t="str">
            <v>Insurance</v>
          </cell>
          <cell r="B12" t="str">
            <v>G&amp;A</v>
          </cell>
          <cell r="C12" t="str">
            <v>G&amp;A - Insurance</v>
          </cell>
          <cell r="D12">
            <v>8991</v>
          </cell>
          <cell r="E12">
            <v>4698.6666666666697</v>
          </cell>
          <cell r="F12">
            <v>124810.142857143</v>
          </cell>
          <cell r="G12">
            <v>1004</v>
          </cell>
          <cell r="H12">
            <v>1005</v>
          </cell>
          <cell r="I12">
            <v>1006</v>
          </cell>
          <cell r="J12">
            <v>1007</v>
          </cell>
          <cell r="K12">
            <v>1008</v>
          </cell>
          <cell r="L12">
            <v>1009</v>
          </cell>
          <cell r="M12">
            <v>1010</v>
          </cell>
          <cell r="N12">
            <v>1011</v>
          </cell>
          <cell r="O12">
            <v>1012</v>
          </cell>
          <cell r="P12">
            <v>1013</v>
          </cell>
          <cell r="Q12">
            <v>1014</v>
          </cell>
          <cell r="R12">
            <v>1015</v>
          </cell>
          <cell r="S12">
            <v>1016</v>
          </cell>
          <cell r="T12">
            <v>1017</v>
          </cell>
          <cell r="U12">
            <v>1018</v>
          </cell>
          <cell r="V12">
            <v>1019</v>
          </cell>
          <cell r="W12">
            <v>1020</v>
          </cell>
        </row>
        <row r="13">
          <cell r="A13" t="str">
            <v>Audit</v>
          </cell>
          <cell r="B13" t="str">
            <v>G&amp;A</v>
          </cell>
          <cell r="C13" t="str">
            <v>G&amp;A - Audit</v>
          </cell>
          <cell r="D13">
            <v>145151</v>
          </cell>
          <cell r="E13">
            <v>1102</v>
          </cell>
          <cell r="F13">
            <v>116035.142857143</v>
          </cell>
          <cell r="G13">
            <v>1104</v>
          </cell>
          <cell r="H13">
            <v>1105</v>
          </cell>
          <cell r="I13">
            <v>1106</v>
          </cell>
          <cell r="J13">
            <v>1107</v>
          </cell>
          <cell r="K13">
            <v>1108</v>
          </cell>
          <cell r="L13">
            <v>1109</v>
          </cell>
          <cell r="M13">
            <v>1110</v>
          </cell>
          <cell r="N13">
            <v>1111</v>
          </cell>
          <cell r="O13">
            <v>1112</v>
          </cell>
          <cell r="P13">
            <v>1113</v>
          </cell>
          <cell r="Q13">
            <v>1114</v>
          </cell>
          <cell r="R13">
            <v>1115</v>
          </cell>
          <cell r="S13">
            <v>1116</v>
          </cell>
          <cell r="T13">
            <v>1117</v>
          </cell>
          <cell r="U13">
            <v>1118</v>
          </cell>
          <cell r="V13">
            <v>1119</v>
          </cell>
          <cell r="W13">
            <v>1120</v>
          </cell>
        </row>
        <row r="14">
          <cell r="A14" t="str">
            <v>Rent</v>
          </cell>
          <cell r="B14" t="str">
            <v>G&amp;A</v>
          </cell>
          <cell r="C14" t="str">
            <v>G&amp;A - Rent</v>
          </cell>
          <cell r="D14">
            <v>48819</v>
          </cell>
          <cell r="E14">
            <v>5002</v>
          </cell>
          <cell r="F14">
            <v>107260.142857143</v>
          </cell>
          <cell r="G14">
            <v>5004</v>
          </cell>
          <cell r="H14">
            <v>5005</v>
          </cell>
          <cell r="I14">
            <v>5006</v>
          </cell>
          <cell r="J14">
            <v>5007</v>
          </cell>
          <cell r="K14">
            <v>5008</v>
          </cell>
          <cell r="L14">
            <v>5009</v>
          </cell>
          <cell r="M14">
            <v>5010</v>
          </cell>
          <cell r="N14">
            <v>5011</v>
          </cell>
          <cell r="O14">
            <v>5012</v>
          </cell>
          <cell r="P14">
            <v>5013</v>
          </cell>
          <cell r="Q14">
            <v>5014</v>
          </cell>
          <cell r="R14">
            <v>5015</v>
          </cell>
          <cell r="S14">
            <v>5016</v>
          </cell>
          <cell r="T14">
            <v>5017</v>
          </cell>
          <cell r="U14">
            <v>5018</v>
          </cell>
          <cell r="V14">
            <v>5019</v>
          </cell>
          <cell r="W14">
            <v>5020</v>
          </cell>
        </row>
        <row r="15">
          <cell r="A15" t="str">
            <v>Head Hunting</v>
          </cell>
          <cell r="B15" t="str">
            <v>G&amp;A</v>
          </cell>
          <cell r="C15" t="str">
            <v>G&amp;A - Head Hunting</v>
          </cell>
          <cell r="D15">
            <v>18291</v>
          </cell>
          <cell r="E15">
            <v>7502</v>
          </cell>
          <cell r="F15">
            <v>98485.142857142899</v>
          </cell>
          <cell r="G15">
            <v>7504</v>
          </cell>
          <cell r="H15">
            <v>7505</v>
          </cell>
          <cell r="I15">
            <v>7506</v>
          </cell>
          <cell r="J15">
            <v>7507</v>
          </cell>
          <cell r="K15">
            <v>7508</v>
          </cell>
          <cell r="L15">
            <v>7509</v>
          </cell>
          <cell r="M15">
            <v>7510</v>
          </cell>
          <cell r="N15">
            <v>7511</v>
          </cell>
          <cell r="O15">
            <v>7512</v>
          </cell>
          <cell r="P15">
            <v>7513</v>
          </cell>
          <cell r="Q15">
            <v>7514</v>
          </cell>
          <cell r="R15">
            <v>7515</v>
          </cell>
          <cell r="S15">
            <v>7516</v>
          </cell>
          <cell r="T15">
            <v>7517</v>
          </cell>
          <cell r="U15">
            <v>7518</v>
          </cell>
          <cell r="V15">
            <v>7519</v>
          </cell>
          <cell r="W15">
            <v>7520</v>
          </cell>
        </row>
        <row r="16">
          <cell r="A16" t="str">
            <v>Courses</v>
          </cell>
          <cell r="B16" t="str">
            <v>G&amp;A</v>
          </cell>
          <cell r="C16" t="str">
            <v>G&amp;A - Courses</v>
          </cell>
          <cell r="D16">
            <v>28673</v>
          </cell>
          <cell r="E16">
            <v>902</v>
          </cell>
          <cell r="F16">
            <v>89710.142857142899</v>
          </cell>
          <cell r="G16">
            <v>904</v>
          </cell>
          <cell r="H16">
            <v>905</v>
          </cell>
          <cell r="I16">
            <v>906</v>
          </cell>
          <cell r="J16">
            <v>907</v>
          </cell>
          <cell r="K16">
            <v>908</v>
          </cell>
          <cell r="L16">
            <v>909</v>
          </cell>
          <cell r="M16">
            <v>910</v>
          </cell>
          <cell r="N16">
            <v>911</v>
          </cell>
          <cell r="O16">
            <v>912</v>
          </cell>
          <cell r="P16">
            <v>913</v>
          </cell>
          <cell r="Q16">
            <v>914</v>
          </cell>
          <cell r="R16">
            <v>915</v>
          </cell>
          <cell r="S16">
            <v>916</v>
          </cell>
          <cell r="T16">
            <v>917</v>
          </cell>
          <cell r="U16">
            <v>918</v>
          </cell>
          <cell r="V16">
            <v>919</v>
          </cell>
          <cell r="W16">
            <v>920</v>
          </cell>
        </row>
        <row r="17">
          <cell r="A17" t="str">
            <v>Other</v>
          </cell>
          <cell r="B17" t="str">
            <v>G&amp;A</v>
          </cell>
          <cell r="C17" t="str">
            <v>G&amp;A - Other</v>
          </cell>
          <cell r="D17">
            <v>101</v>
          </cell>
          <cell r="E17">
            <v>102</v>
          </cell>
          <cell r="F17">
            <v>80935.142857142899</v>
          </cell>
          <cell r="G17">
            <v>104</v>
          </cell>
          <cell r="H17">
            <v>105</v>
          </cell>
          <cell r="I17">
            <v>106</v>
          </cell>
          <cell r="J17">
            <v>107</v>
          </cell>
          <cell r="K17">
            <v>108</v>
          </cell>
          <cell r="L17">
            <v>109</v>
          </cell>
          <cell r="M17">
            <v>110</v>
          </cell>
          <cell r="N17">
            <v>111</v>
          </cell>
          <cell r="O17">
            <v>112</v>
          </cell>
          <cell r="P17">
            <v>113</v>
          </cell>
          <cell r="Q17">
            <v>114</v>
          </cell>
          <cell r="R17">
            <v>115</v>
          </cell>
          <cell r="S17">
            <v>116</v>
          </cell>
          <cell r="T17">
            <v>117</v>
          </cell>
          <cell r="U17">
            <v>118</v>
          </cell>
          <cell r="V17">
            <v>119</v>
          </cell>
          <cell r="W17">
            <v>120</v>
          </cell>
        </row>
        <row r="18">
          <cell r="A18" t="str">
            <v>Utilities</v>
          </cell>
          <cell r="B18" t="str">
            <v>G&amp;A</v>
          </cell>
          <cell r="C18" t="str">
            <v>G&amp;A - Utilities</v>
          </cell>
          <cell r="D18">
            <v>1251</v>
          </cell>
          <cell r="E18">
            <v>1252</v>
          </cell>
          <cell r="F18">
            <v>72160.142857142899</v>
          </cell>
          <cell r="G18">
            <v>1254</v>
          </cell>
          <cell r="H18">
            <v>1255</v>
          </cell>
          <cell r="I18">
            <v>1256</v>
          </cell>
          <cell r="J18">
            <v>1257</v>
          </cell>
          <cell r="K18">
            <v>1258</v>
          </cell>
          <cell r="L18">
            <v>1259</v>
          </cell>
          <cell r="M18">
            <v>1260</v>
          </cell>
          <cell r="N18">
            <v>1261</v>
          </cell>
          <cell r="O18">
            <v>1262</v>
          </cell>
          <cell r="P18">
            <v>1263</v>
          </cell>
          <cell r="Q18">
            <v>1264</v>
          </cell>
          <cell r="R18">
            <v>1265</v>
          </cell>
          <cell r="S18">
            <v>1266</v>
          </cell>
          <cell r="T18">
            <v>1267</v>
          </cell>
          <cell r="U18">
            <v>1268</v>
          </cell>
          <cell r="V18">
            <v>1269</v>
          </cell>
          <cell r="W18">
            <v>1270</v>
          </cell>
        </row>
        <row r="19">
          <cell r="A19" t="str">
            <v>Maintenance</v>
          </cell>
          <cell r="B19" t="str">
            <v>G&amp;A</v>
          </cell>
          <cell r="C19" t="str">
            <v>G&amp;A - Maintenance</v>
          </cell>
          <cell r="D19">
            <v>1501</v>
          </cell>
          <cell r="E19">
            <v>1502</v>
          </cell>
          <cell r="F19">
            <v>1503</v>
          </cell>
          <cell r="G19">
            <v>1504</v>
          </cell>
          <cell r="H19">
            <v>1505</v>
          </cell>
          <cell r="I19">
            <v>1506</v>
          </cell>
          <cell r="J19">
            <v>1507</v>
          </cell>
          <cell r="K19">
            <v>1508</v>
          </cell>
          <cell r="L19">
            <v>1509</v>
          </cell>
          <cell r="M19">
            <v>1510</v>
          </cell>
          <cell r="N19">
            <v>1511</v>
          </cell>
          <cell r="O19">
            <v>1512</v>
          </cell>
          <cell r="P19">
            <v>1513</v>
          </cell>
          <cell r="Q19">
            <v>1514</v>
          </cell>
          <cell r="R19">
            <v>1515</v>
          </cell>
          <cell r="S19">
            <v>1516</v>
          </cell>
          <cell r="T19">
            <v>1517</v>
          </cell>
          <cell r="U19">
            <v>1518</v>
          </cell>
          <cell r="V19">
            <v>1519</v>
          </cell>
          <cell r="W19">
            <v>1520</v>
          </cell>
        </row>
        <row r="20">
          <cell r="A20" t="str">
            <v>Taxes</v>
          </cell>
          <cell r="B20" t="str">
            <v>G&amp;A</v>
          </cell>
          <cell r="C20" t="str">
            <v>G&amp;A - Taxes</v>
          </cell>
          <cell r="D20">
            <v>951</v>
          </cell>
          <cell r="E20">
            <v>952</v>
          </cell>
          <cell r="F20">
            <v>953</v>
          </cell>
          <cell r="G20">
            <v>954</v>
          </cell>
          <cell r="H20">
            <v>955</v>
          </cell>
          <cell r="I20">
            <v>956</v>
          </cell>
          <cell r="J20">
            <v>957</v>
          </cell>
          <cell r="K20">
            <v>958</v>
          </cell>
          <cell r="L20">
            <v>959</v>
          </cell>
          <cell r="M20">
            <v>960</v>
          </cell>
          <cell r="N20">
            <v>961</v>
          </cell>
          <cell r="O20">
            <v>962</v>
          </cell>
          <cell r="P20">
            <v>963</v>
          </cell>
          <cell r="Q20">
            <v>964</v>
          </cell>
          <cell r="R20">
            <v>965</v>
          </cell>
          <cell r="S20">
            <v>966</v>
          </cell>
          <cell r="T20">
            <v>967</v>
          </cell>
          <cell r="U20">
            <v>968</v>
          </cell>
          <cell r="V20">
            <v>969</v>
          </cell>
          <cell r="W20">
            <v>970</v>
          </cell>
        </row>
        <row r="21">
          <cell r="A21" t="str">
            <v>Salaries</v>
          </cell>
          <cell r="B21" t="str">
            <v>G&amp;A</v>
          </cell>
          <cell r="C21" t="str">
            <v>G&amp;A - Salaries</v>
          </cell>
          <cell r="D21">
            <v>250001</v>
          </cell>
          <cell r="E21">
            <v>250002</v>
          </cell>
          <cell r="F21">
            <v>250003</v>
          </cell>
          <cell r="G21">
            <v>250004</v>
          </cell>
          <cell r="H21">
            <v>250005</v>
          </cell>
          <cell r="I21">
            <v>250006</v>
          </cell>
          <cell r="J21">
            <v>250007</v>
          </cell>
          <cell r="K21">
            <v>250008</v>
          </cell>
          <cell r="L21">
            <v>250009</v>
          </cell>
          <cell r="M21">
            <v>250010</v>
          </cell>
          <cell r="N21">
            <v>250011</v>
          </cell>
          <cell r="O21">
            <v>250012</v>
          </cell>
          <cell r="P21">
            <v>250013</v>
          </cell>
          <cell r="Q21">
            <v>250014</v>
          </cell>
          <cell r="R21">
            <v>250015</v>
          </cell>
          <cell r="S21">
            <v>250016</v>
          </cell>
          <cell r="T21">
            <v>250017</v>
          </cell>
          <cell r="U21">
            <v>250018</v>
          </cell>
          <cell r="V21">
            <v>250019</v>
          </cell>
          <cell r="W21">
            <v>250020</v>
          </cell>
        </row>
        <row r="22">
          <cell r="A22" t="str">
            <v>Legal</v>
          </cell>
          <cell r="B22" t="str">
            <v>G&amp;A</v>
          </cell>
          <cell r="C22" t="str">
            <v>G&amp;A - Legal</v>
          </cell>
          <cell r="D22">
            <v>2501</v>
          </cell>
          <cell r="E22">
            <v>2502</v>
          </cell>
          <cell r="F22">
            <v>2503</v>
          </cell>
          <cell r="G22">
            <v>2504</v>
          </cell>
          <cell r="H22">
            <v>2505</v>
          </cell>
          <cell r="I22">
            <v>2506</v>
          </cell>
          <cell r="J22">
            <v>2507</v>
          </cell>
          <cell r="K22">
            <v>2508</v>
          </cell>
          <cell r="L22">
            <v>2509</v>
          </cell>
          <cell r="M22">
            <v>2510</v>
          </cell>
          <cell r="N22">
            <v>2511</v>
          </cell>
          <cell r="O22">
            <v>2512</v>
          </cell>
          <cell r="P22">
            <v>2513</v>
          </cell>
          <cell r="Q22">
            <v>2514</v>
          </cell>
          <cell r="R22">
            <v>2515</v>
          </cell>
          <cell r="S22">
            <v>2516</v>
          </cell>
          <cell r="T22">
            <v>2517</v>
          </cell>
          <cell r="U22">
            <v>2518</v>
          </cell>
          <cell r="V22">
            <v>2519</v>
          </cell>
          <cell r="W22">
            <v>2520</v>
          </cell>
        </row>
        <row r="23">
          <cell r="A23" t="str">
            <v>Office Exp.</v>
          </cell>
          <cell r="B23" t="str">
            <v>G&amp;A</v>
          </cell>
          <cell r="C23" t="str">
            <v>G&amp;A - Office Exp.</v>
          </cell>
          <cell r="D23">
            <v>1201</v>
          </cell>
          <cell r="E23">
            <v>1202</v>
          </cell>
          <cell r="F23">
            <v>1203</v>
          </cell>
          <cell r="G23">
            <v>1204</v>
          </cell>
          <cell r="H23">
            <v>1205</v>
          </cell>
          <cell r="I23">
            <v>1206</v>
          </cell>
          <cell r="J23">
            <v>1207</v>
          </cell>
          <cell r="K23">
            <v>1208</v>
          </cell>
          <cell r="L23">
            <v>1209</v>
          </cell>
          <cell r="M23">
            <v>1210</v>
          </cell>
          <cell r="N23">
            <v>1211</v>
          </cell>
          <cell r="O23">
            <v>1212</v>
          </cell>
          <cell r="P23">
            <v>1213</v>
          </cell>
          <cell r="Q23">
            <v>1214</v>
          </cell>
          <cell r="R23">
            <v>1215</v>
          </cell>
          <cell r="S23">
            <v>1216</v>
          </cell>
          <cell r="T23">
            <v>1217</v>
          </cell>
          <cell r="U23">
            <v>1218</v>
          </cell>
          <cell r="V23">
            <v>1219</v>
          </cell>
          <cell r="W23">
            <v>1220</v>
          </cell>
        </row>
        <row r="24">
          <cell r="A24" t="str">
            <v>Cleaning</v>
          </cell>
          <cell r="B24" t="str">
            <v>G&amp;A</v>
          </cell>
          <cell r="C24" t="str">
            <v>G&amp;A - Cleaning</v>
          </cell>
          <cell r="D24">
            <v>251</v>
          </cell>
          <cell r="E24">
            <v>252</v>
          </cell>
          <cell r="F24">
            <v>253</v>
          </cell>
          <cell r="G24">
            <v>254</v>
          </cell>
          <cell r="H24">
            <v>255</v>
          </cell>
          <cell r="I24">
            <v>256</v>
          </cell>
          <cell r="J24">
            <v>257</v>
          </cell>
          <cell r="K24">
            <v>258</v>
          </cell>
          <cell r="L24">
            <v>259</v>
          </cell>
          <cell r="M24">
            <v>260</v>
          </cell>
          <cell r="N24">
            <v>261</v>
          </cell>
          <cell r="O24">
            <v>262</v>
          </cell>
          <cell r="P24">
            <v>263</v>
          </cell>
          <cell r="Q24">
            <v>264</v>
          </cell>
          <cell r="R24">
            <v>265</v>
          </cell>
          <cell r="S24">
            <v>266</v>
          </cell>
          <cell r="T24">
            <v>267</v>
          </cell>
          <cell r="U24">
            <v>268</v>
          </cell>
          <cell r="V24">
            <v>269</v>
          </cell>
          <cell r="W24">
            <v>270</v>
          </cell>
        </row>
        <row r="25">
          <cell r="A25" t="str">
            <v>Telephone</v>
          </cell>
          <cell r="B25" t="str">
            <v>G&amp;A</v>
          </cell>
          <cell r="C25" t="str">
            <v>G&amp;A - Telephone</v>
          </cell>
          <cell r="D25">
            <v>3001</v>
          </cell>
          <cell r="E25">
            <v>3002</v>
          </cell>
          <cell r="F25">
            <v>3003</v>
          </cell>
          <cell r="G25">
            <v>3004</v>
          </cell>
          <cell r="H25">
            <v>3005</v>
          </cell>
          <cell r="I25">
            <v>3006</v>
          </cell>
          <cell r="J25">
            <v>3007</v>
          </cell>
          <cell r="K25">
            <v>3008</v>
          </cell>
          <cell r="L25">
            <v>3009</v>
          </cell>
          <cell r="M25">
            <v>3010</v>
          </cell>
          <cell r="N25">
            <v>3011</v>
          </cell>
          <cell r="O25">
            <v>3012</v>
          </cell>
          <cell r="P25">
            <v>3013</v>
          </cell>
          <cell r="Q25">
            <v>3014</v>
          </cell>
          <cell r="R25">
            <v>3015</v>
          </cell>
          <cell r="S25">
            <v>3016</v>
          </cell>
          <cell r="T25">
            <v>3017</v>
          </cell>
          <cell r="U25">
            <v>3018</v>
          </cell>
          <cell r="V25">
            <v>3019</v>
          </cell>
          <cell r="W25">
            <v>3020</v>
          </cell>
        </row>
        <row r="26">
          <cell r="A26" t="str">
            <v>Interest</v>
          </cell>
          <cell r="B26" t="str">
            <v>Interest</v>
          </cell>
          <cell r="C26" t="str">
            <v>Interest - Interest</v>
          </cell>
          <cell r="D26">
            <v>5001</v>
          </cell>
          <cell r="E26">
            <v>5002</v>
          </cell>
          <cell r="F26">
            <v>5003</v>
          </cell>
          <cell r="G26">
            <v>5004</v>
          </cell>
          <cell r="H26">
            <v>5005</v>
          </cell>
          <cell r="I26">
            <v>5006</v>
          </cell>
          <cell r="J26">
            <v>5007</v>
          </cell>
          <cell r="K26">
            <v>5008</v>
          </cell>
          <cell r="L26">
            <v>5009</v>
          </cell>
          <cell r="M26">
            <v>5010</v>
          </cell>
          <cell r="N26">
            <v>5011</v>
          </cell>
          <cell r="O26">
            <v>5012</v>
          </cell>
          <cell r="P26">
            <v>5013</v>
          </cell>
          <cell r="Q26">
            <v>5014</v>
          </cell>
          <cell r="R26">
            <v>5015</v>
          </cell>
          <cell r="S26">
            <v>5016</v>
          </cell>
          <cell r="T26">
            <v>5017</v>
          </cell>
          <cell r="U26">
            <v>5018</v>
          </cell>
          <cell r="V26">
            <v>5019</v>
          </cell>
          <cell r="W26">
            <v>5020</v>
          </cell>
        </row>
        <row r="27">
          <cell r="A27" t="str">
            <v>Bank Charges</v>
          </cell>
          <cell r="B27" t="str">
            <v>Interest</v>
          </cell>
          <cell r="C27" t="str">
            <v>Interest - Bank Charges</v>
          </cell>
          <cell r="D27">
            <v>301</v>
          </cell>
          <cell r="E27">
            <v>302</v>
          </cell>
          <cell r="F27">
            <v>303</v>
          </cell>
          <cell r="G27">
            <v>304</v>
          </cell>
          <cell r="H27">
            <v>305</v>
          </cell>
          <cell r="I27">
            <v>306</v>
          </cell>
          <cell r="J27">
            <v>307</v>
          </cell>
          <cell r="K27">
            <v>308</v>
          </cell>
          <cell r="L27">
            <v>309</v>
          </cell>
          <cell r="M27">
            <v>310</v>
          </cell>
          <cell r="N27">
            <v>311</v>
          </cell>
          <cell r="O27">
            <v>312</v>
          </cell>
          <cell r="P27">
            <v>313</v>
          </cell>
          <cell r="Q27">
            <v>314</v>
          </cell>
          <cell r="R27">
            <v>315</v>
          </cell>
          <cell r="S27">
            <v>316</v>
          </cell>
          <cell r="T27">
            <v>317</v>
          </cell>
          <cell r="U27">
            <v>318</v>
          </cell>
          <cell r="V27">
            <v>319</v>
          </cell>
          <cell r="W27">
            <v>320</v>
          </cell>
        </row>
        <row r="28">
          <cell r="A28" t="str">
            <v>Car Exp.</v>
          </cell>
          <cell r="B28" t="str">
            <v>Marketing</v>
          </cell>
          <cell r="C28" t="str">
            <v>Marketing - Car Exp.</v>
          </cell>
          <cell r="D28">
            <v>201</v>
          </cell>
          <cell r="E28">
            <v>202</v>
          </cell>
          <cell r="F28">
            <v>203</v>
          </cell>
          <cell r="G28">
            <v>204</v>
          </cell>
          <cell r="H28">
            <v>205</v>
          </cell>
          <cell r="I28">
            <v>206</v>
          </cell>
          <cell r="J28">
            <v>207</v>
          </cell>
          <cell r="K28">
            <v>208</v>
          </cell>
          <cell r="L28">
            <v>209</v>
          </cell>
          <cell r="M28">
            <v>210</v>
          </cell>
          <cell r="N28">
            <v>211</v>
          </cell>
          <cell r="O28">
            <v>212</v>
          </cell>
          <cell r="P28">
            <v>213</v>
          </cell>
          <cell r="Q28">
            <v>214</v>
          </cell>
          <cell r="R28">
            <v>215</v>
          </cell>
          <cell r="S28">
            <v>216</v>
          </cell>
          <cell r="T28">
            <v>217</v>
          </cell>
          <cell r="U28">
            <v>218</v>
          </cell>
          <cell r="V28">
            <v>219</v>
          </cell>
          <cell r="W28">
            <v>220</v>
          </cell>
        </row>
        <row r="29">
          <cell r="A29" t="str">
            <v>Entertainment</v>
          </cell>
          <cell r="B29" t="str">
            <v>Marketing</v>
          </cell>
          <cell r="C29" t="str">
            <v>Marketing - Entertainment</v>
          </cell>
          <cell r="D29">
            <v>1001</v>
          </cell>
          <cell r="E29">
            <v>1002</v>
          </cell>
          <cell r="F29">
            <v>1003</v>
          </cell>
          <cell r="G29">
            <v>1004</v>
          </cell>
          <cell r="H29">
            <v>1005</v>
          </cell>
          <cell r="I29">
            <v>1006</v>
          </cell>
          <cell r="J29">
            <v>1007</v>
          </cell>
          <cell r="K29">
            <v>1008</v>
          </cell>
          <cell r="L29">
            <v>1009</v>
          </cell>
          <cell r="M29">
            <v>1010</v>
          </cell>
          <cell r="N29">
            <v>1011</v>
          </cell>
          <cell r="O29">
            <v>1012</v>
          </cell>
          <cell r="P29">
            <v>1013</v>
          </cell>
          <cell r="Q29">
            <v>1014</v>
          </cell>
          <cell r="R29">
            <v>1015</v>
          </cell>
          <cell r="S29">
            <v>1016</v>
          </cell>
          <cell r="T29">
            <v>1017</v>
          </cell>
          <cell r="U29">
            <v>1018</v>
          </cell>
          <cell r="V29">
            <v>1019</v>
          </cell>
          <cell r="W29">
            <v>1020</v>
          </cell>
        </row>
        <row r="30">
          <cell r="A30" t="str">
            <v>Exhibitions / Conferences</v>
          </cell>
          <cell r="B30" t="str">
            <v>Marketing</v>
          </cell>
          <cell r="C30" t="str">
            <v>Marketing - Exhibitions / Conferences</v>
          </cell>
          <cell r="D30">
            <v>1101</v>
          </cell>
          <cell r="E30">
            <v>1102</v>
          </cell>
          <cell r="F30">
            <v>1103</v>
          </cell>
          <cell r="G30">
            <v>1104</v>
          </cell>
          <cell r="H30">
            <v>1105</v>
          </cell>
          <cell r="I30">
            <v>1106</v>
          </cell>
          <cell r="J30">
            <v>1107</v>
          </cell>
          <cell r="K30">
            <v>1108</v>
          </cell>
          <cell r="L30">
            <v>1109</v>
          </cell>
          <cell r="M30">
            <v>1110</v>
          </cell>
          <cell r="N30">
            <v>1111</v>
          </cell>
          <cell r="O30">
            <v>1112</v>
          </cell>
          <cell r="P30">
            <v>1113</v>
          </cell>
          <cell r="Q30">
            <v>1114</v>
          </cell>
          <cell r="R30">
            <v>1115</v>
          </cell>
          <cell r="S30">
            <v>1116</v>
          </cell>
          <cell r="T30">
            <v>1117</v>
          </cell>
          <cell r="U30">
            <v>1118</v>
          </cell>
          <cell r="V30">
            <v>1119</v>
          </cell>
          <cell r="W30">
            <v>1120</v>
          </cell>
        </row>
        <row r="31">
          <cell r="A31" t="str">
            <v>Office Exp.</v>
          </cell>
          <cell r="B31" t="str">
            <v>Marketing</v>
          </cell>
          <cell r="C31" t="str">
            <v>Marketing - Office Exp.</v>
          </cell>
          <cell r="D31">
            <v>5001</v>
          </cell>
          <cell r="E31">
            <v>5002</v>
          </cell>
          <cell r="F31">
            <v>5003</v>
          </cell>
          <cell r="G31">
            <v>5004</v>
          </cell>
          <cell r="H31">
            <v>5005</v>
          </cell>
          <cell r="I31">
            <v>5006</v>
          </cell>
          <cell r="J31">
            <v>5007</v>
          </cell>
          <cell r="K31">
            <v>5008</v>
          </cell>
          <cell r="L31">
            <v>5009</v>
          </cell>
          <cell r="M31">
            <v>5010</v>
          </cell>
          <cell r="N31">
            <v>5011</v>
          </cell>
          <cell r="O31">
            <v>5012</v>
          </cell>
          <cell r="P31">
            <v>5013</v>
          </cell>
          <cell r="Q31">
            <v>5014</v>
          </cell>
          <cell r="R31">
            <v>5015</v>
          </cell>
          <cell r="S31">
            <v>5016</v>
          </cell>
          <cell r="T31">
            <v>5017</v>
          </cell>
          <cell r="U31">
            <v>5018</v>
          </cell>
          <cell r="V31">
            <v>5019</v>
          </cell>
          <cell r="W31">
            <v>5020</v>
          </cell>
        </row>
        <row r="32">
          <cell r="A32" t="str">
            <v>Salaries</v>
          </cell>
          <cell r="B32" t="str">
            <v>Marketing</v>
          </cell>
          <cell r="C32" t="str">
            <v>Marketing - Salaries</v>
          </cell>
          <cell r="D32">
            <v>150001</v>
          </cell>
          <cell r="E32">
            <v>150002</v>
          </cell>
          <cell r="F32">
            <v>150003</v>
          </cell>
          <cell r="G32">
            <v>150004</v>
          </cell>
          <cell r="H32">
            <v>150005</v>
          </cell>
          <cell r="I32">
            <v>150006</v>
          </cell>
          <cell r="J32">
            <v>150007</v>
          </cell>
          <cell r="K32">
            <v>150008</v>
          </cell>
          <cell r="L32">
            <v>150009</v>
          </cell>
          <cell r="M32">
            <v>150010</v>
          </cell>
          <cell r="N32">
            <v>150011</v>
          </cell>
          <cell r="O32">
            <v>150012</v>
          </cell>
          <cell r="P32">
            <v>150013</v>
          </cell>
          <cell r="Q32">
            <v>150014</v>
          </cell>
          <cell r="R32">
            <v>150015</v>
          </cell>
          <cell r="S32">
            <v>150016</v>
          </cell>
          <cell r="T32">
            <v>150017</v>
          </cell>
          <cell r="U32">
            <v>150018</v>
          </cell>
          <cell r="V32">
            <v>150019</v>
          </cell>
          <cell r="W32">
            <v>150020</v>
          </cell>
        </row>
        <row r="33">
          <cell r="A33" t="str">
            <v>Promotion</v>
          </cell>
          <cell r="B33" t="str">
            <v>Marketing</v>
          </cell>
          <cell r="C33" t="str">
            <v>Marketing - Promotion</v>
          </cell>
          <cell r="D33">
            <v>901</v>
          </cell>
          <cell r="E33">
            <v>902</v>
          </cell>
          <cell r="F33">
            <v>903</v>
          </cell>
          <cell r="G33">
            <v>904</v>
          </cell>
          <cell r="H33">
            <v>905</v>
          </cell>
          <cell r="I33">
            <v>906</v>
          </cell>
          <cell r="J33">
            <v>907</v>
          </cell>
          <cell r="K33">
            <v>908</v>
          </cell>
          <cell r="L33">
            <v>909</v>
          </cell>
          <cell r="M33">
            <v>910</v>
          </cell>
          <cell r="N33">
            <v>911</v>
          </cell>
          <cell r="O33">
            <v>912</v>
          </cell>
          <cell r="P33">
            <v>913</v>
          </cell>
          <cell r="Q33">
            <v>914</v>
          </cell>
          <cell r="R33">
            <v>915</v>
          </cell>
          <cell r="S33">
            <v>916</v>
          </cell>
          <cell r="T33">
            <v>917</v>
          </cell>
          <cell r="U33">
            <v>918</v>
          </cell>
          <cell r="V33">
            <v>919</v>
          </cell>
          <cell r="W33">
            <v>920</v>
          </cell>
        </row>
        <row r="34">
          <cell r="A34" t="str">
            <v>Travel</v>
          </cell>
          <cell r="B34" t="str">
            <v>Marketing</v>
          </cell>
          <cell r="C34" t="str">
            <v>Marketing - Travel</v>
          </cell>
          <cell r="D34">
            <v>101</v>
          </cell>
          <cell r="E34">
            <v>102</v>
          </cell>
          <cell r="F34">
            <v>103</v>
          </cell>
          <cell r="G34">
            <v>104</v>
          </cell>
          <cell r="H34">
            <v>105</v>
          </cell>
          <cell r="I34">
            <v>106</v>
          </cell>
          <cell r="J34">
            <v>107</v>
          </cell>
          <cell r="K34">
            <v>108</v>
          </cell>
          <cell r="L34">
            <v>109</v>
          </cell>
          <cell r="M34">
            <v>110</v>
          </cell>
          <cell r="N34">
            <v>111</v>
          </cell>
          <cell r="O34">
            <v>112</v>
          </cell>
          <cell r="P34">
            <v>113</v>
          </cell>
          <cell r="Q34">
            <v>114</v>
          </cell>
          <cell r="R34">
            <v>115</v>
          </cell>
          <cell r="S34">
            <v>116</v>
          </cell>
          <cell r="T34">
            <v>117</v>
          </cell>
          <cell r="U34">
            <v>118</v>
          </cell>
          <cell r="V34">
            <v>119</v>
          </cell>
          <cell r="W34">
            <v>120</v>
          </cell>
        </row>
        <row r="35">
          <cell r="A35" t="str">
            <v>Creative</v>
          </cell>
          <cell r="B35" t="str">
            <v>Marketing</v>
          </cell>
          <cell r="C35" t="str">
            <v>Marketing - Creative</v>
          </cell>
          <cell r="D35">
            <v>1251</v>
          </cell>
          <cell r="E35">
            <v>1252</v>
          </cell>
          <cell r="F35">
            <v>1253</v>
          </cell>
          <cell r="G35">
            <v>1254</v>
          </cell>
          <cell r="H35">
            <v>1255</v>
          </cell>
          <cell r="I35">
            <v>1256</v>
          </cell>
          <cell r="J35">
            <v>1257</v>
          </cell>
          <cell r="K35">
            <v>1258</v>
          </cell>
          <cell r="L35">
            <v>1259</v>
          </cell>
          <cell r="M35">
            <v>1260</v>
          </cell>
          <cell r="N35">
            <v>1261</v>
          </cell>
          <cell r="O35">
            <v>1262</v>
          </cell>
          <cell r="P35">
            <v>1263</v>
          </cell>
          <cell r="Q35">
            <v>1264</v>
          </cell>
          <cell r="R35">
            <v>1265</v>
          </cell>
          <cell r="S35">
            <v>1266</v>
          </cell>
          <cell r="T35">
            <v>1267</v>
          </cell>
          <cell r="U35">
            <v>1268</v>
          </cell>
          <cell r="V35">
            <v>1269</v>
          </cell>
          <cell r="W35">
            <v>1270</v>
          </cell>
        </row>
        <row r="36">
          <cell r="A36" t="str">
            <v>Advertising</v>
          </cell>
          <cell r="B36" t="str">
            <v>Marketing</v>
          </cell>
          <cell r="C36" t="str">
            <v>Marketing - Advertising</v>
          </cell>
          <cell r="D36">
            <v>1501</v>
          </cell>
          <cell r="E36">
            <v>1502</v>
          </cell>
          <cell r="F36">
            <v>1503</v>
          </cell>
          <cell r="G36">
            <v>1504</v>
          </cell>
          <cell r="H36">
            <v>1505</v>
          </cell>
          <cell r="I36">
            <v>1506</v>
          </cell>
          <cell r="J36">
            <v>1507</v>
          </cell>
          <cell r="K36">
            <v>1508</v>
          </cell>
          <cell r="L36">
            <v>1509</v>
          </cell>
          <cell r="M36">
            <v>1510</v>
          </cell>
          <cell r="N36">
            <v>1511</v>
          </cell>
          <cell r="O36">
            <v>1512</v>
          </cell>
          <cell r="P36">
            <v>1513</v>
          </cell>
          <cell r="Q36">
            <v>1514</v>
          </cell>
          <cell r="R36">
            <v>1515</v>
          </cell>
          <cell r="S36">
            <v>1516</v>
          </cell>
          <cell r="T36">
            <v>1517</v>
          </cell>
          <cell r="U36">
            <v>1518</v>
          </cell>
          <cell r="V36">
            <v>1519</v>
          </cell>
          <cell r="W36">
            <v>1520</v>
          </cell>
        </row>
        <row r="37">
          <cell r="A37" t="str">
            <v>Public Relations</v>
          </cell>
          <cell r="B37" t="str">
            <v>Marketing</v>
          </cell>
          <cell r="C37" t="str">
            <v>Marketing - Public Relations</v>
          </cell>
          <cell r="D37">
            <v>951</v>
          </cell>
          <cell r="E37">
            <v>952</v>
          </cell>
          <cell r="F37">
            <v>953</v>
          </cell>
          <cell r="G37">
            <v>954</v>
          </cell>
          <cell r="H37">
            <v>955</v>
          </cell>
          <cell r="I37">
            <v>956</v>
          </cell>
          <cell r="J37">
            <v>957</v>
          </cell>
          <cell r="K37">
            <v>958</v>
          </cell>
          <cell r="L37">
            <v>959</v>
          </cell>
          <cell r="M37">
            <v>960</v>
          </cell>
          <cell r="N37">
            <v>961</v>
          </cell>
          <cell r="O37">
            <v>962</v>
          </cell>
          <cell r="P37">
            <v>963</v>
          </cell>
          <cell r="Q37">
            <v>964</v>
          </cell>
          <cell r="R37">
            <v>965</v>
          </cell>
          <cell r="S37">
            <v>966</v>
          </cell>
          <cell r="T37">
            <v>967</v>
          </cell>
          <cell r="U37">
            <v>968</v>
          </cell>
          <cell r="V37">
            <v>969</v>
          </cell>
          <cell r="W37">
            <v>970</v>
          </cell>
        </row>
        <row r="38">
          <cell r="A38" t="str">
            <v>Other</v>
          </cell>
          <cell r="B38" t="str">
            <v>Marketing</v>
          </cell>
          <cell r="C38" t="str">
            <v>Marketing - Other</v>
          </cell>
          <cell r="D38">
            <v>101</v>
          </cell>
          <cell r="E38">
            <v>102</v>
          </cell>
          <cell r="F38">
            <v>103</v>
          </cell>
          <cell r="G38">
            <v>104</v>
          </cell>
          <cell r="H38">
            <v>105</v>
          </cell>
          <cell r="I38">
            <v>106</v>
          </cell>
          <cell r="J38">
            <v>107</v>
          </cell>
          <cell r="K38">
            <v>108</v>
          </cell>
          <cell r="L38">
            <v>109</v>
          </cell>
          <cell r="M38">
            <v>110</v>
          </cell>
          <cell r="N38">
            <v>111</v>
          </cell>
          <cell r="O38">
            <v>112</v>
          </cell>
          <cell r="P38">
            <v>113</v>
          </cell>
          <cell r="Q38">
            <v>114</v>
          </cell>
          <cell r="R38">
            <v>115</v>
          </cell>
          <cell r="S38">
            <v>116</v>
          </cell>
          <cell r="T38">
            <v>117</v>
          </cell>
          <cell r="U38">
            <v>118</v>
          </cell>
          <cell r="V38">
            <v>119</v>
          </cell>
          <cell r="W38">
            <v>120</v>
          </cell>
        </row>
        <row r="39">
          <cell r="A39" t="str">
            <v>Commissions</v>
          </cell>
          <cell r="B39" t="str">
            <v>Marketing</v>
          </cell>
          <cell r="C39" t="str">
            <v>Marketing - Commissions</v>
          </cell>
          <cell r="D39">
            <v>2501</v>
          </cell>
          <cell r="E39">
            <v>2502</v>
          </cell>
          <cell r="F39">
            <v>2503</v>
          </cell>
          <cell r="G39">
            <v>2504</v>
          </cell>
          <cell r="H39">
            <v>2505</v>
          </cell>
          <cell r="I39">
            <v>2506</v>
          </cell>
          <cell r="J39">
            <v>2507</v>
          </cell>
          <cell r="K39">
            <v>2508</v>
          </cell>
          <cell r="L39">
            <v>2509</v>
          </cell>
          <cell r="M39">
            <v>2510</v>
          </cell>
          <cell r="N39">
            <v>2511</v>
          </cell>
          <cell r="O39">
            <v>2512</v>
          </cell>
          <cell r="P39">
            <v>2513</v>
          </cell>
          <cell r="Q39">
            <v>2514</v>
          </cell>
          <cell r="R39">
            <v>2515</v>
          </cell>
          <cell r="S39">
            <v>2516</v>
          </cell>
          <cell r="T39">
            <v>2517</v>
          </cell>
          <cell r="U39">
            <v>2518</v>
          </cell>
          <cell r="V39">
            <v>2519</v>
          </cell>
          <cell r="W39">
            <v>2520</v>
          </cell>
        </row>
        <row r="40">
          <cell r="A40" t="str">
            <v>Car Exp.</v>
          </cell>
          <cell r="B40" t="str">
            <v>Operating Exp.</v>
          </cell>
          <cell r="C40" t="str">
            <v>Operating Exp. - Car Exp.</v>
          </cell>
          <cell r="D40">
            <v>1201</v>
          </cell>
          <cell r="E40">
            <v>1202</v>
          </cell>
          <cell r="F40">
            <v>1203</v>
          </cell>
          <cell r="G40">
            <v>1204</v>
          </cell>
          <cell r="H40">
            <v>1205</v>
          </cell>
          <cell r="I40">
            <v>1206</v>
          </cell>
          <cell r="J40">
            <v>1207</v>
          </cell>
          <cell r="K40">
            <v>1208</v>
          </cell>
          <cell r="L40">
            <v>1209</v>
          </cell>
          <cell r="M40">
            <v>1210</v>
          </cell>
          <cell r="N40">
            <v>1211</v>
          </cell>
          <cell r="O40">
            <v>1212</v>
          </cell>
          <cell r="P40">
            <v>1213</v>
          </cell>
          <cell r="Q40">
            <v>1214</v>
          </cell>
          <cell r="R40">
            <v>1215</v>
          </cell>
          <cell r="S40">
            <v>1216</v>
          </cell>
          <cell r="T40">
            <v>1217</v>
          </cell>
          <cell r="U40">
            <v>1218</v>
          </cell>
          <cell r="V40">
            <v>1219</v>
          </cell>
          <cell r="W40">
            <v>1220</v>
          </cell>
        </row>
        <row r="41">
          <cell r="A41" t="str">
            <v>Insurance</v>
          </cell>
          <cell r="B41" t="str">
            <v>Operating Exp.</v>
          </cell>
          <cell r="C41" t="str">
            <v>Operating Exp. - Insurance</v>
          </cell>
          <cell r="D41">
            <v>101</v>
          </cell>
          <cell r="E41">
            <v>102</v>
          </cell>
          <cell r="F41">
            <v>103</v>
          </cell>
          <cell r="G41">
            <v>104</v>
          </cell>
          <cell r="H41">
            <v>105</v>
          </cell>
          <cell r="I41">
            <v>106</v>
          </cell>
          <cell r="J41">
            <v>107</v>
          </cell>
          <cell r="K41">
            <v>108</v>
          </cell>
          <cell r="L41">
            <v>109</v>
          </cell>
          <cell r="M41">
            <v>110</v>
          </cell>
          <cell r="N41">
            <v>111</v>
          </cell>
          <cell r="O41">
            <v>112</v>
          </cell>
          <cell r="P41">
            <v>113</v>
          </cell>
          <cell r="Q41">
            <v>114</v>
          </cell>
          <cell r="R41">
            <v>115</v>
          </cell>
          <cell r="S41">
            <v>116</v>
          </cell>
          <cell r="T41">
            <v>117</v>
          </cell>
          <cell r="U41">
            <v>118</v>
          </cell>
          <cell r="V41">
            <v>119</v>
          </cell>
          <cell r="W41">
            <v>120</v>
          </cell>
        </row>
        <row r="42">
          <cell r="A42" t="str">
            <v>Head Hunting</v>
          </cell>
          <cell r="B42" t="str">
            <v>Operating Exp.</v>
          </cell>
          <cell r="C42" t="str">
            <v>Operating Exp. - Head Hunting</v>
          </cell>
          <cell r="D42">
            <v>3001</v>
          </cell>
          <cell r="E42">
            <v>3002</v>
          </cell>
          <cell r="F42">
            <v>3003</v>
          </cell>
          <cell r="G42">
            <v>3004</v>
          </cell>
          <cell r="H42">
            <v>3005</v>
          </cell>
          <cell r="I42">
            <v>3006</v>
          </cell>
          <cell r="J42">
            <v>3007</v>
          </cell>
          <cell r="K42">
            <v>3008</v>
          </cell>
          <cell r="L42">
            <v>3009</v>
          </cell>
          <cell r="M42">
            <v>3010</v>
          </cell>
          <cell r="N42">
            <v>3011</v>
          </cell>
          <cell r="O42">
            <v>3012</v>
          </cell>
          <cell r="P42">
            <v>3013</v>
          </cell>
          <cell r="Q42">
            <v>3014</v>
          </cell>
          <cell r="R42">
            <v>3015</v>
          </cell>
          <cell r="S42">
            <v>3016</v>
          </cell>
          <cell r="T42">
            <v>3017</v>
          </cell>
          <cell r="U42">
            <v>3018</v>
          </cell>
          <cell r="V42">
            <v>3019</v>
          </cell>
          <cell r="W42">
            <v>3020</v>
          </cell>
        </row>
        <row r="43">
          <cell r="A43" t="str">
            <v>Courses</v>
          </cell>
          <cell r="B43" t="str">
            <v>Operating Exp.</v>
          </cell>
          <cell r="C43" t="str">
            <v>Operating Exp. - Courses</v>
          </cell>
          <cell r="D43">
            <v>5001</v>
          </cell>
          <cell r="E43">
            <v>5002</v>
          </cell>
          <cell r="F43">
            <v>5003</v>
          </cell>
          <cell r="G43">
            <v>5004</v>
          </cell>
          <cell r="H43">
            <v>5005</v>
          </cell>
          <cell r="I43">
            <v>5006</v>
          </cell>
          <cell r="J43">
            <v>5007</v>
          </cell>
          <cell r="K43">
            <v>5008</v>
          </cell>
          <cell r="L43">
            <v>5009</v>
          </cell>
          <cell r="M43">
            <v>5010</v>
          </cell>
          <cell r="N43">
            <v>5011</v>
          </cell>
          <cell r="O43">
            <v>5012</v>
          </cell>
          <cell r="P43">
            <v>5013</v>
          </cell>
          <cell r="Q43">
            <v>5014</v>
          </cell>
          <cell r="R43">
            <v>5015</v>
          </cell>
          <cell r="S43">
            <v>5016</v>
          </cell>
          <cell r="T43">
            <v>5017</v>
          </cell>
          <cell r="U43">
            <v>5018</v>
          </cell>
          <cell r="V43">
            <v>5019</v>
          </cell>
          <cell r="W43">
            <v>5020</v>
          </cell>
        </row>
        <row r="44">
          <cell r="A44" t="str">
            <v>Utilities</v>
          </cell>
          <cell r="B44" t="str">
            <v>Operating Exp.</v>
          </cell>
          <cell r="C44" t="str">
            <v>Operating Exp. - Utilities</v>
          </cell>
          <cell r="D44">
            <v>201</v>
          </cell>
          <cell r="E44">
            <v>202</v>
          </cell>
          <cell r="F44">
            <v>203</v>
          </cell>
          <cell r="G44">
            <v>204</v>
          </cell>
          <cell r="H44">
            <v>205</v>
          </cell>
          <cell r="I44">
            <v>206</v>
          </cell>
          <cell r="J44">
            <v>207</v>
          </cell>
          <cell r="K44">
            <v>208</v>
          </cell>
          <cell r="L44">
            <v>209</v>
          </cell>
          <cell r="M44">
            <v>210</v>
          </cell>
          <cell r="N44">
            <v>211</v>
          </cell>
          <cell r="O44">
            <v>212</v>
          </cell>
          <cell r="P44">
            <v>213</v>
          </cell>
          <cell r="Q44">
            <v>214</v>
          </cell>
          <cell r="R44">
            <v>215</v>
          </cell>
          <cell r="S44">
            <v>216</v>
          </cell>
          <cell r="T44">
            <v>217</v>
          </cell>
          <cell r="U44">
            <v>218</v>
          </cell>
          <cell r="V44">
            <v>219</v>
          </cell>
          <cell r="W44">
            <v>220</v>
          </cell>
        </row>
        <row r="45">
          <cell r="A45" t="str">
            <v>Salaries</v>
          </cell>
          <cell r="B45" t="str">
            <v>Operating Exp.</v>
          </cell>
          <cell r="C45" t="str">
            <v>Operating Exp. - Salaries</v>
          </cell>
          <cell r="D45">
            <v>101001</v>
          </cell>
          <cell r="E45">
            <v>101002</v>
          </cell>
          <cell r="F45">
            <v>101003</v>
          </cell>
          <cell r="G45">
            <v>101004</v>
          </cell>
          <cell r="H45">
            <v>101005</v>
          </cell>
          <cell r="I45">
            <v>101006</v>
          </cell>
          <cell r="J45">
            <v>101007</v>
          </cell>
          <cell r="K45">
            <v>101008</v>
          </cell>
          <cell r="L45">
            <v>101009</v>
          </cell>
          <cell r="M45">
            <v>101010</v>
          </cell>
          <cell r="N45">
            <v>101011</v>
          </cell>
          <cell r="O45">
            <v>101012</v>
          </cell>
          <cell r="P45">
            <v>101013</v>
          </cell>
          <cell r="Q45">
            <v>101014</v>
          </cell>
          <cell r="R45">
            <v>101015</v>
          </cell>
          <cell r="S45">
            <v>101016</v>
          </cell>
          <cell r="T45">
            <v>101017</v>
          </cell>
          <cell r="U45">
            <v>101018</v>
          </cell>
          <cell r="V45">
            <v>101019</v>
          </cell>
          <cell r="W45">
            <v>101020</v>
          </cell>
        </row>
        <row r="46">
          <cell r="A46" t="str">
            <v>Office Exp.</v>
          </cell>
          <cell r="B46" t="str">
            <v>Operating Exp.</v>
          </cell>
          <cell r="C46" t="str">
            <v>Operating Exp. - Office Exp.</v>
          </cell>
          <cell r="D46">
            <v>1101</v>
          </cell>
          <cell r="E46">
            <v>1102</v>
          </cell>
          <cell r="F46">
            <v>1103</v>
          </cell>
          <cell r="G46">
            <v>1104</v>
          </cell>
          <cell r="H46">
            <v>1105</v>
          </cell>
          <cell r="I46">
            <v>1106</v>
          </cell>
          <cell r="J46">
            <v>1107</v>
          </cell>
          <cell r="K46">
            <v>1108</v>
          </cell>
          <cell r="L46">
            <v>1109</v>
          </cell>
          <cell r="M46">
            <v>1110</v>
          </cell>
          <cell r="N46">
            <v>1111</v>
          </cell>
          <cell r="O46">
            <v>1112</v>
          </cell>
          <cell r="P46">
            <v>1113</v>
          </cell>
          <cell r="Q46">
            <v>1114</v>
          </cell>
          <cell r="R46">
            <v>1115</v>
          </cell>
          <cell r="S46">
            <v>1116</v>
          </cell>
          <cell r="T46">
            <v>1117</v>
          </cell>
          <cell r="U46">
            <v>1118</v>
          </cell>
          <cell r="V46">
            <v>1119</v>
          </cell>
          <cell r="W46">
            <v>1120</v>
          </cell>
        </row>
        <row r="47">
          <cell r="A47" t="str">
            <v>Cleaning</v>
          </cell>
          <cell r="B47" t="str">
            <v>Operating Exp.</v>
          </cell>
          <cell r="C47" t="str">
            <v>Operating Exp. - Cleaning</v>
          </cell>
          <cell r="D47">
            <v>5001</v>
          </cell>
          <cell r="E47">
            <v>5002</v>
          </cell>
          <cell r="F47">
            <v>5003</v>
          </cell>
          <cell r="G47">
            <v>5004</v>
          </cell>
          <cell r="H47">
            <v>5005</v>
          </cell>
          <cell r="I47">
            <v>5006</v>
          </cell>
          <cell r="J47">
            <v>5007</v>
          </cell>
          <cell r="K47">
            <v>5008</v>
          </cell>
          <cell r="L47">
            <v>5009</v>
          </cell>
          <cell r="M47">
            <v>5010</v>
          </cell>
          <cell r="N47">
            <v>5011</v>
          </cell>
          <cell r="O47">
            <v>5012</v>
          </cell>
          <cell r="P47">
            <v>5013</v>
          </cell>
          <cell r="Q47">
            <v>5014</v>
          </cell>
          <cell r="R47">
            <v>5015</v>
          </cell>
          <cell r="S47">
            <v>5016</v>
          </cell>
          <cell r="T47">
            <v>5017</v>
          </cell>
          <cell r="U47">
            <v>5018</v>
          </cell>
          <cell r="V47">
            <v>5019</v>
          </cell>
          <cell r="W47">
            <v>5020</v>
          </cell>
        </row>
        <row r="48">
          <cell r="A48" t="str">
            <v>Office Supplies</v>
          </cell>
          <cell r="B48" t="str">
            <v>Operating Exp.</v>
          </cell>
          <cell r="C48" t="str">
            <v>Operating Exp. - Office Supplies</v>
          </cell>
          <cell r="D48">
            <v>7501</v>
          </cell>
          <cell r="E48">
            <v>7502</v>
          </cell>
          <cell r="F48">
            <v>7503</v>
          </cell>
          <cell r="G48">
            <v>7504</v>
          </cell>
          <cell r="H48">
            <v>7505</v>
          </cell>
          <cell r="I48">
            <v>7506</v>
          </cell>
          <cell r="J48">
            <v>7507</v>
          </cell>
          <cell r="K48">
            <v>7508</v>
          </cell>
          <cell r="L48">
            <v>7509</v>
          </cell>
          <cell r="M48">
            <v>7510</v>
          </cell>
          <cell r="N48">
            <v>7511</v>
          </cell>
          <cell r="O48">
            <v>7512</v>
          </cell>
          <cell r="P48">
            <v>7513</v>
          </cell>
          <cell r="Q48">
            <v>7514</v>
          </cell>
          <cell r="R48">
            <v>7515</v>
          </cell>
          <cell r="S48">
            <v>7516</v>
          </cell>
          <cell r="T48">
            <v>7517</v>
          </cell>
          <cell r="U48">
            <v>7518</v>
          </cell>
          <cell r="V48">
            <v>7519</v>
          </cell>
          <cell r="W48">
            <v>7520</v>
          </cell>
        </row>
        <row r="49">
          <cell r="A49" t="str">
            <v>Telephone</v>
          </cell>
          <cell r="B49" t="str">
            <v>Operating Exp.</v>
          </cell>
          <cell r="C49" t="str">
            <v>Operating Exp. - Telephone</v>
          </cell>
          <cell r="D49">
            <v>901</v>
          </cell>
          <cell r="E49">
            <v>902</v>
          </cell>
          <cell r="F49">
            <v>903</v>
          </cell>
          <cell r="G49">
            <v>904</v>
          </cell>
          <cell r="H49">
            <v>905</v>
          </cell>
          <cell r="I49">
            <v>906</v>
          </cell>
          <cell r="J49">
            <v>907</v>
          </cell>
          <cell r="K49">
            <v>908</v>
          </cell>
          <cell r="L49">
            <v>909</v>
          </cell>
          <cell r="M49">
            <v>910</v>
          </cell>
          <cell r="N49">
            <v>911</v>
          </cell>
          <cell r="O49">
            <v>912</v>
          </cell>
          <cell r="P49">
            <v>913</v>
          </cell>
          <cell r="Q49">
            <v>914</v>
          </cell>
          <cell r="R49">
            <v>915</v>
          </cell>
          <cell r="S49">
            <v>916</v>
          </cell>
          <cell r="T49">
            <v>917</v>
          </cell>
          <cell r="U49">
            <v>918</v>
          </cell>
          <cell r="V49">
            <v>919</v>
          </cell>
          <cell r="W49">
            <v>920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lcome"/>
      <sheetName val="Index"/>
      <sheetName val="Navigation"/>
      <sheetName val="Cell Navigation"/>
      <sheetName val="Formulas"/>
      <sheetName val="Splitting Text"/>
      <sheetName val="Joining Text"/>
      <sheetName val="Paste Special"/>
      <sheetName val="Paste Special Values"/>
      <sheetName val="Named Ranges"/>
      <sheetName val="V X LOOKUP"/>
      <sheetName val="V X LOOKUP Bonus"/>
      <sheetName val="Sort &amp; Filter"/>
      <sheetName val="Pivot Tables"/>
      <sheetName val="Slicers &amp; Timelines"/>
      <sheetName val="Pivot Table Grouping"/>
      <sheetName val="Multiple Pivot Tables"/>
      <sheetName val="IF Statements"/>
      <sheetName val="AND, OR"/>
      <sheetName val="Subtotal"/>
      <sheetName val="SUMifs &amp; COUNTIFS"/>
      <sheetName val="Data Validation"/>
      <sheetName val="Remove Duplicates"/>
      <sheetName val="Ranking"/>
      <sheetName val="Review"/>
      <sheetName val="End of Class"/>
      <sheetName val="Goal Seek"/>
      <sheetName val="Data Tables"/>
      <sheetName val="Bonus - Combo Charts"/>
      <sheetName val="Project I"/>
      <sheetName val="Project I (answer)"/>
      <sheetName val="Project II"/>
      <sheetName val="Project II (answer)"/>
      <sheetName val="Project III"/>
      <sheetName val="Project III (Answer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1">
          <cell r="E11">
            <v>209660</v>
          </cell>
        </row>
        <row r="12">
          <cell r="E12">
            <v>289081</v>
          </cell>
        </row>
        <row r="13">
          <cell r="E13">
            <v>317914</v>
          </cell>
        </row>
        <row r="14">
          <cell r="E14">
            <v>306614</v>
          </cell>
        </row>
        <row r="15">
          <cell r="E15">
            <v>302150</v>
          </cell>
        </row>
        <row r="16">
          <cell r="E16">
            <v>289272</v>
          </cell>
        </row>
        <row r="17">
          <cell r="E17">
            <v>310232</v>
          </cell>
        </row>
        <row r="18">
          <cell r="E18">
            <v>279799</v>
          </cell>
        </row>
        <row r="19">
          <cell r="E19">
            <v>74802</v>
          </cell>
        </row>
        <row r="20">
          <cell r="E20">
            <v>181398</v>
          </cell>
        </row>
        <row r="21">
          <cell r="E21">
            <v>247651</v>
          </cell>
        </row>
        <row r="22">
          <cell r="E22">
            <v>148260</v>
          </cell>
        </row>
        <row r="23">
          <cell r="E23">
            <v>247911</v>
          </cell>
        </row>
        <row r="24">
          <cell r="E24">
            <v>291680</v>
          </cell>
        </row>
        <row r="25">
          <cell r="E25">
            <v>298665</v>
          </cell>
        </row>
        <row r="26">
          <cell r="E26">
            <v>69155</v>
          </cell>
        </row>
        <row r="27">
          <cell r="E27">
            <v>52567</v>
          </cell>
        </row>
        <row r="28">
          <cell r="E28">
            <v>404225</v>
          </cell>
        </row>
        <row r="29">
          <cell r="E29">
            <v>94227</v>
          </cell>
        </row>
        <row r="30">
          <cell r="E30">
            <v>214185</v>
          </cell>
        </row>
        <row r="31">
          <cell r="E31">
            <v>114047</v>
          </cell>
        </row>
        <row r="32">
          <cell r="E32">
            <v>90000</v>
          </cell>
        </row>
        <row r="33">
          <cell r="E33">
            <v>160000</v>
          </cell>
        </row>
        <row r="34">
          <cell r="E34">
            <v>98000</v>
          </cell>
        </row>
        <row r="35">
          <cell r="E35">
            <v>65000</v>
          </cell>
        </row>
        <row r="36">
          <cell r="E36">
            <v>80000</v>
          </cell>
        </row>
        <row r="37">
          <cell r="E37">
            <v>78000</v>
          </cell>
        </row>
        <row r="38">
          <cell r="E38">
            <v>94000</v>
          </cell>
        </row>
        <row r="39">
          <cell r="E39">
            <v>76000</v>
          </cell>
        </row>
        <row r="40">
          <cell r="E40">
            <v>124000</v>
          </cell>
        </row>
        <row r="41">
          <cell r="E41">
            <v>93000</v>
          </cell>
        </row>
        <row r="42">
          <cell r="E42">
            <v>105000</v>
          </cell>
        </row>
        <row r="43">
          <cell r="E43">
            <v>130000</v>
          </cell>
        </row>
        <row r="44">
          <cell r="E44">
            <v>144000</v>
          </cell>
        </row>
        <row r="45">
          <cell r="E45">
            <v>84000</v>
          </cell>
        </row>
        <row r="46">
          <cell r="E46">
            <v>92000</v>
          </cell>
        </row>
        <row r="47">
          <cell r="E47">
            <v>68000</v>
          </cell>
        </row>
        <row r="48">
          <cell r="E48">
            <v>136000</v>
          </cell>
        </row>
        <row r="49">
          <cell r="E49">
            <v>100000</v>
          </cell>
        </row>
        <row r="50">
          <cell r="E50">
            <v>72000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Overview"/>
      <sheetName val="Adv Cell Lock"/>
      <sheetName val="Cell Auditing"/>
      <sheetName val="Cust Nmbr Formats"/>
      <sheetName val="Cust Time &amp; Date"/>
      <sheetName val="TEXT Function"/>
      <sheetName val="Date Functions"/>
      <sheetName val="OFFSET Function"/>
      <sheetName val="Nested IFs"/>
      <sheetName val="IF with AND, OR"/>
      <sheetName val="Goal Seek"/>
      <sheetName val="Scenario Manager"/>
      <sheetName val="Data Table"/>
      <sheetName val="Data"/>
      <sheetName val="Consolidation"/>
      <sheetName val="Conditional SumProduct"/>
      <sheetName val="GETPIVOTDATA"/>
      <sheetName val="Pivot Data"/>
      <sheetName val="MATCH Function"/>
      <sheetName val="VLOOKUP-MATCH"/>
      <sheetName val="VLookUp Database"/>
      <sheetName val="INDEX-MATCH"/>
      <sheetName val="INDEX-Dbl MATCH"/>
      <sheetName val="Macy's Stores"/>
      <sheetName val="Record Macros"/>
      <sheetName val="Macro Database"/>
      <sheetName val="Relative Reference Macros"/>
      <sheetName val="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A27" t="str">
            <v>Department</v>
          </cell>
          <cell r="B27" t="str">
            <v>Salary</v>
          </cell>
          <cell r="C27" t="str">
            <v>Employees</v>
          </cell>
        </row>
        <row r="28">
          <cell r="A28" t="str">
            <v>Administration</v>
          </cell>
          <cell r="B28">
            <v>55000</v>
          </cell>
          <cell r="C28">
            <v>50</v>
          </cell>
        </row>
        <row r="29">
          <cell r="A29" t="str">
            <v>Marketing</v>
          </cell>
          <cell r="B29">
            <v>65000</v>
          </cell>
          <cell r="C29">
            <v>100</v>
          </cell>
        </row>
        <row r="30">
          <cell r="A30" t="str">
            <v>Engineering</v>
          </cell>
          <cell r="B30">
            <v>75000</v>
          </cell>
          <cell r="C30">
            <v>4000</v>
          </cell>
        </row>
        <row r="31">
          <cell r="A31" t="str">
            <v>Senior Mgmt.</v>
          </cell>
          <cell r="B31">
            <v>120000</v>
          </cell>
          <cell r="C31">
            <v>15</v>
          </cell>
        </row>
        <row r="32">
          <cell r="A32" t="str">
            <v>Top Mgmt.</v>
          </cell>
          <cell r="B32">
            <v>1200000</v>
          </cell>
          <cell r="C32">
            <v>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dex"/>
      <sheetName val="ShortCutKeys"/>
      <sheetName val="Cell Navigation"/>
      <sheetName val="Hot Keys &amp; Shortcuts "/>
      <sheetName val="Windows"/>
      <sheetName val="Formula writing"/>
      <sheetName val="Formula Auditing "/>
      <sheetName val="Adv Cell Lock"/>
      <sheetName val="Go To Special"/>
      <sheetName val="Table1"/>
      <sheetName val="Project I"/>
      <sheetName val="Project I (answer)"/>
      <sheetName val="Goal Seek"/>
      <sheetName val="Data Tables"/>
      <sheetName val="Arrays"/>
      <sheetName val="Scenario Summary"/>
      <sheetName val="Scenario Manager"/>
      <sheetName val="Present Value"/>
      <sheetName val="NPV"/>
      <sheetName val="IRR"/>
      <sheetName val="Date Functions"/>
      <sheetName val="Nested IFs"/>
      <sheetName val="IF with AND, OR"/>
      <sheetName val="10) Conditional SumProduct"/>
      <sheetName val="Project II"/>
      <sheetName val="Project II (Completed)"/>
      <sheetName val="XLOOKUP"/>
      <sheetName val="MATCH Function"/>
      <sheetName val="INDEX-MATCH"/>
      <sheetName val="18) Macros"/>
      <sheetName val="18) Record Macros"/>
      <sheetName val="18) Apply Macro"/>
      <sheetName val="19) Relative Macros"/>
      <sheetName val="Project III"/>
      <sheetName val="Project III (ans)"/>
      <sheetName val="Save &amp; Emai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8">
          <cell r="C88">
            <v>13290</v>
          </cell>
          <cell r="D88">
            <v>41643</v>
          </cell>
          <cell r="E88">
            <v>87</v>
          </cell>
          <cell r="F88" t="str">
            <v>Pate Chinois</v>
          </cell>
        </row>
        <row r="89">
          <cell r="C89">
            <v>13291</v>
          </cell>
          <cell r="D89">
            <v>41643.229074074072</v>
          </cell>
          <cell r="E89">
            <v>16</v>
          </cell>
          <cell r="F89" t="str">
            <v>Boston crab meat</v>
          </cell>
        </row>
        <row r="90">
          <cell r="C90">
            <v>13292</v>
          </cell>
          <cell r="D90">
            <v>41644.351168981484</v>
          </cell>
          <cell r="E90">
            <v>77</v>
          </cell>
          <cell r="F90" t="str">
            <v>Gorganzola Telino</v>
          </cell>
        </row>
        <row r="91">
          <cell r="C91">
            <v>13293</v>
          </cell>
          <cell r="D91">
            <v>41645.195324074077</v>
          </cell>
          <cell r="E91">
            <v>16</v>
          </cell>
          <cell r="F91" t="str">
            <v>Boston crab meat</v>
          </cell>
        </row>
        <row r="92">
          <cell r="C92">
            <v>13294</v>
          </cell>
          <cell r="D92">
            <v>41646.305960648147</v>
          </cell>
          <cell r="E92">
            <v>71</v>
          </cell>
          <cell r="F92" t="str">
            <v>Spegasild</v>
          </cell>
        </row>
        <row r="93">
          <cell r="C93">
            <v>13295</v>
          </cell>
          <cell r="D93">
            <v>41646.360405092593</v>
          </cell>
          <cell r="E93">
            <v>16</v>
          </cell>
          <cell r="F93" t="str">
            <v>Boston crab meat</v>
          </cell>
        </row>
        <row r="94">
          <cell r="C94">
            <v>13296</v>
          </cell>
          <cell r="D94">
            <v>41646.614479166667</v>
          </cell>
          <cell r="E94">
            <v>16</v>
          </cell>
          <cell r="F94" t="str">
            <v>Boston crab meat</v>
          </cell>
        </row>
        <row r="95">
          <cell r="C95">
            <v>13297</v>
          </cell>
          <cell r="D95">
            <v>41647.642372685186</v>
          </cell>
          <cell r="E95">
            <v>77</v>
          </cell>
          <cell r="F95" t="str">
            <v>Gorganzola Telino</v>
          </cell>
        </row>
        <row r="96">
          <cell r="C96">
            <v>13298</v>
          </cell>
          <cell r="D96">
            <v>41648.457418981481</v>
          </cell>
          <cell r="E96">
            <v>16</v>
          </cell>
          <cell r="F96" t="str">
            <v>Boston crab meat</v>
          </cell>
        </row>
        <row r="97">
          <cell r="C97">
            <v>13299</v>
          </cell>
          <cell r="D97">
            <v>41649.019085648149</v>
          </cell>
          <cell r="E97">
            <v>16</v>
          </cell>
          <cell r="F97" t="str">
            <v>Boston crab meat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w 3 Financial_Statement  Link"/>
      <sheetName val="Forecasting Revenue"/>
      <sheetName val="EV Calculation and Payout Model"/>
      <sheetName val="LTI Performance Curve Payout"/>
    </sheetNames>
    <sheetDataSet>
      <sheetData sheetId="0" refreshError="1"/>
      <sheetData sheetId="1">
        <row r="22">
          <cell r="G22">
            <v>0.16047026655059971</v>
          </cell>
        </row>
        <row r="23">
          <cell r="G23">
            <v>0.12837621324047976</v>
          </cell>
        </row>
        <row r="24">
          <cell r="G24">
            <v>9.7000000000000003E-2</v>
          </cell>
        </row>
        <row r="25">
          <cell r="G25">
            <v>7.2750000000000009E-2</v>
          </cell>
        </row>
      </sheetData>
      <sheetData sheetId="2" refreshError="1"/>
      <sheetData sheetId="3">
        <row r="20">
          <cell r="D20">
            <v>7.0000000000000007E-2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F410-12E6-461A-B6CA-B1DF3443EDB2}">
  <sheetPr>
    <tabColor rgb="FFFFFF00"/>
    <pageSetUpPr fitToPage="1"/>
  </sheetPr>
  <dimension ref="A1:AA93"/>
  <sheetViews>
    <sheetView showGridLines="0" zoomScale="80" zoomScaleNormal="80" zoomScaleSheetLayoutView="100" workbookViewId="0">
      <pane ySplit="4" topLeftCell="A5" activePane="bottomLeft" state="frozen"/>
      <selection pane="bottomLeft" activeCell="S31" sqref="S31"/>
    </sheetView>
  </sheetViews>
  <sheetFormatPr defaultColWidth="9.06640625" defaultRowHeight="13.9" outlineLevelCol="1" x14ac:dyDescent="0.45"/>
  <cols>
    <col min="1" max="1" width="3.06640625" style="31" customWidth="1"/>
    <col min="2" max="2" width="37.59765625" style="2" customWidth="1"/>
    <col min="3" max="3" width="21.73046875" style="2" customWidth="1"/>
    <col min="4" max="4" width="20" style="2" customWidth="1"/>
    <col min="5" max="10" width="17.6640625" style="2" customWidth="1"/>
    <col min="11" max="11" width="12.796875" style="1" customWidth="1"/>
    <col min="12" max="12" width="3.06640625" style="21" hidden="1" customWidth="1" outlineLevel="1"/>
    <col min="13" max="13" width="12.796875" style="2" customWidth="1" collapsed="1"/>
    <col min="14" max="21" width="9.06640625" style="2"/>
    <col min="22" max="22" width="21.73046875" style="9" hidden="1" customWidth="1"/>
    <col min="23" max="23" width="31.265625" style="2" hidden="1" customWidth="1"/>
    <col min="24" max="26" width="9.06640625" style="2" hidden="1" customWidth="1"/>
    <col min="27" max="27" width="9.06640625" style="2" customWidth="1" outlineLevel="1"/>
    <col min="28" max="16384" width="9.06640625" style="2"/>
  </cols>
  <sheetData>
    <row r="1" spans="1:13" s="94" customFormat="1" ht="20.25" thickBot="1" x14ac:dyDescent="0.5">
      <c r="A1" s="90"/>
      <c r="B1" s="183" t="s">
        <v>87</v>
      </c>
      <c r="C1" s="183"/>
      <c r="D1" s="183"/>
      <c r="E1" s="183"/>
      <c r="F1" s="183"/>
      <c r="G1" s="183"/>
      <c r="H1" s="183"/>
      <c r="I1" s="183"/>
      <c r="J1" s="183"/>
      <c r="K1" s="91"/>
      <c r="L1" s="92"/>
      <c r="M1" s="93"/>
    </row>
    <row r="2" spans="1:13" ht="15" customHeight="1" thickTop="1" x14ac:dyDescent="0.45">
      <c r="B2" s="184"/>
      <c r="C2" s="184"/>
      <c r="D2" s="184"/>
      <c r="E2" s="184"/>
      <c r="F2" s="184"/>
      <c r="G2" s="184"/>
      <c r="H2" s="184"/>
      <c r="I2" s="184"/>
      <c r="J2" s="184"/>
    </row>
    <row r="3" spans="1:13" ht="15" customHeight="1" thickBot="1" x14ac:dyDescent="0.5">
      <c r="B3" s="30"/>
      <c r="C3" s="30"/>
      <c r="D3" s="30"/>
      <c r="E3" s="30"/>
      <c r="F3" s="30"/>
      <c r="G3" s="30"/>
      <c r="H3" s="30"/>
      <c r="I3" s="30"/>
      <c r="J3" s="30"/>
    </row>
    <row r="4" spans="1:13" ht="14.65" thickBot="1" x14ac:dyDescent="0.5">
      <c r="B4" s="10" t="s">
        <v>19</v>
      </c>
      <c r="C4" s="72">
        <v>2</v>
      </c>
      <c r="D4" s="73" t="str">
        <f>IF($C$4=1,$D8,IF($C$4=2,$E8,IF($C$4=3,$F8)))</f>
        <v>B = Linear Regression</v>
      </c>
      <c r="E4" s="55"/>
      <c r="F4" s="55"/>
      <c r="G4" s="55"/>
      <c r="H4" s="55"/>
      <c r="I4" s="55"/>
      <c r="J4" s="55"/>
    </row>
    <row r="5" spans="1:13" ht="14.65" thickBot="1" x14ac:dyDescent="0.5">
      <c r="B5" s="10"/>
      <c r="C5" s="87"/>
      <c r="D5" s="83"/>
      <c r="E5" s="55"/>
      <c r="F5" s="55"/>
      <c r="G5" s="55"/>
      <c r="H5" s="55"/>
      <c r="I5" s="55"/>
      <c r="J5" s="55"/>
    </row>
    <row r="6" spans="1:13" ht="14.25" thickBot="1" x14ac:dyDescent="0.5">
      <c r="A6" s="32"/>
      <c r="B6" s="142" t="s">
        <v>90</v>
      </c>
      <c r="C6" s="88"/>
      <c r="D6" s="88"/>
      <c r="E6" s="88"/>
      <c r="F6" s="88"/>
      <c r="G6" s="88"/>
      <c r="H6" s="88"/>
      <c r="I6" s="88"/>
      <c r="J6" s="89"/>
    </row>
    <row r="7" spans="1:13" ht="15.4" thickBot="1" x14ac:dyDescent="0.5">
      <c r="C7" s="3"/>
      <c r="D7" s="3"/>
      <c r="E7" s="3"/>
      <c r="F7" s="3"/>
      <c r="K7" s="56"/>
      <c r="M7" s="8"/>
    </row>
    <row r="8" spans="1:13" ht="32.65" customHeight="1" thickBot="1" x14ac:dyDescent="0.5">
      <c r="C8" s="177" t="s">
        <v>18</v>
      </c>
      <c r="D8" s="178" t="s">
        <v>104</v>
      </c>
      <c r="E8" s="178" t="s">
        <v>91</v>
      </c>
      <c r="F8" s="179" t="s">
        <v>92</v>
      </c>
      <c r="G8" s="179" t="s">
        <v>93</v>
      </c>
      <c r="H8" s="179" t="s">
        <v>94</v>
      </c>
      <c r="I8" s="55"/>
      <c r="J8" s="55"/>
      <c r="K8" s="56"/>
      <c r="L8" s="21" t="s">
        <v>95</v>
      </c>
      <c r="M8" s="8"/>
    </row>
    <row r="9" spans="1:13" ht="14.25" x14ac:dyDescent="0.45">
      <c r="B9" s="95" t="s">
        <v>31</v>
      </c>
      <c r="C9" s="96">
        <f>IF($C$4=1,$D9,IF($C$4=2,$E9,IF($C$4=3,$F9,IF($C$4=4,G9,IF($C$4=5,H9)))))</f>
        <v>0.12837621324047976</v>
      </c>
      <c r="D9" s="97">
        <f>'[13]Forecasting Revenue'!G22</f>
        <v>0.16047026655059971</v>
      </c>
      <c r="E9" s="97">
        <f>'[13]Forecasting Revenue'!G23</f>
        <v>0.12837621324047976</v>
      </c>
      <c r="F9" s="97">
        <f>'[13]Forecasting Revenue'!G24</f>
        <v>9.7000000000000003E-2</v>
      </c>
      <c r="G9" s="97">
        <f>'[13]Forecasting Revenue'!G25</f>
        <v>7.2750000000000009E-2</v>
      </c>
      <c r="H9" s="97">
        <f>'[13]LTI Performance Curve Payout'!D20</f>
        <v>7.0000000000000007E-2</v>
      </c>
      <c r="I9" s="55"/>
      <c r="J9" s="55"/>
      <c r="K9" s="56"/>
      <c r="L9" s="21" t="s">
        <v>96</v>
      </c>
      <c r="M9" s="8"/>
    </row>
    <row r="10" spans="1:13" ht="14.25" x14ac:dyDescent="0.45">
      <c r="B10" s="95" t="s">
        <v>8</v>
      </c>
      <c r="C10" s="98">
        <f t="shared" ref="C10:C19" si="0">IF($C$4=1,$D10,IF($C$4=2,$E10,IF($C$4=3,$F10,IF($C$4=4,G10,IF($C$4=5,H10)))))</f>
        <v>0.36</v>
      </c>
      <c r="D10" s="99">
        <v>0.4</v>
      </c>
      <c r="E10" s="99">
        <v>0.36</v>
      </c>
      <c r="F10" s="99">
        <v>0.4</v>
      </c>
      <c r="G10" s="99">
        <v>0.34</v>
      </c>
      <c r="H10" s="100">
        <f>IF(H9&gt;=D9,D10+(H9-D9)*(B10-D10)/(B9-D9),D10+(H9-D9)*(F10-D10)/(F9-D9))</f>
        <v>0.4</v>
      </c>
      <c r="I10" s="55"/>
      <c r="J10" s="55"/>
      <c r="K10" s="56"/>
      <c r="L10" s="21" t="s">
        <v>97</v>
      </c>
      <c r="M10" s="8"/>
    </row>
    <row r="11" spans="1:13" ht="14.25" x14ac:dyDescent="0.45">
      <c r="B11" s="95" t="s">
        <v>52</v>
      </c>
      <c r="C11" s="98">
        <f t="shared" si="0"/>
        <v>0.2</v>
      </c>
      <c r="D11" s="99">
        <v>0.16</v>
      </c>
      <c r="E11" s="99">
        <v>0.2</v>
      </c>
      <c r="F11" s="99">
        <v>0.16</v>
      </c>
      <c r="G11" s="99">
        <v>0.22</v>
      </c>
      <c r="H11" s="100">
        <f>IF(H9&gt;=D9,D11+(H9-D9)*(B11-D11)/(B9-D9),D11+(H9-D9)*(F11-D11)/(F9-D9))</f>
        <v>0.16</v>
      </c>
      <c r="I11" s="55"/>
      <c r="J11" s="55"/>
      <c r="K11" s="56"/>
      <c r="L11" s="21" t="s">
        <v>98</v>
      </c>
      <c r="M11" s="8"/>
    </row>
    <row r="12" spans="1:13" ht="14.25" x14ac:dyDescent="0.45">
      <c r="B12" s="95" t="s">
        <v>34</v>
      </c>
      <c r="C12" s="98">
        <f t="shared" si="0"/>
        <v>0.04</v>
      </c>
      <c r="D12" s="99">
        <v>0.05</v>
      </c>
      <c r="E12" s="99">
        <v>0.04</v>
      </c>
      <c r="F12" s="99">
        <v>0.03</v>
      </c>
      <c r="G12" s="99">
        <v>0.02</v>
      </c>
      <c r="H12" s="100">
        <f>IF(H9&gt;=D9,D12+(H9-D9)*(B12-D12)/(B9-D9),D12+(H9-D9)*(F12-D12)/(F9-D9))</f>
        <v>2.1492079215241645E-2</v>
      </c>
      <c r="I12" s="55"/>
      <c r="J12" s="55"/>
      <c r="K12" s="56"/>
      <c r="L12" s="21" t="s">
        <v>99</v>
      </c>
      <c r="M12" s="8"/>
    </row>
    <row r="13" spans="1:13" ht="14.25" x14ac:dyDescent="0.45">
      <c r="B13" s="95" t="s">
        <v>51</v>
      </c>
      <c r="C13" s="98">
        <f t="shared" si="0"/>
        <v>0.13</v>
      </c>
      <c r="D13" s="101">
        <v>0.15</v>
      </c>
      <c r="E13" s="99">
        <v>0.13</v>
      </c>
      <c r="F13" s="99">
        <v>0.11</v>
      </c>
      <c r="G13" s="99">
        <v>0.09</v>
      </c>
      <c r="H13" s="100">
        <f>IF(H9&gt;=D9,D13+(H9-D9)*(B13-D13)/(B9-D9),D13+(H9-D9)*(F13-D13)/(F9-D9))</f>
        <v>9.2984158430483299E-2</v>
      </c>
      <c r="I13" s="55"/>
      <c r="J13" s="55"/>
      <c r="K13" s="56"/>
      <c r="M13" s="8"/>
    </row>
    <row r="14" spans="1:13" ht="14.25" x14ac:dyDescent="0.45">
      <c r="B14" s="95" t="s">
        <v>32</v>
      </c>
      <c r="C14" s="102">
        <f t="shared" si="0"/>
        <v>35000000</v>
      </c>
      <c r="D14" s="103">
        <v>35000000</v>
      </c>
      <c r="E14" s="103">
        <v>35000000</v>
      </c>
      <c r="F14" s="103">
        <v>35000000</v>
      </c>
      <c r="G14" s="103">
        <v>35000000</v>
      </c>
      <c r="H14" s="104">
        <f>IF(H9&gt;=D9,D14+(H9-D9)*(B14-D14)/(B9-D9),D14+(H9-D9)*(F14-D14)/(F9-D9))</f>
        <v>35000000</v>
      </c>
      <c r="I14" s="55"/>
      <c r="J14" s="55"/>
      <c r="K14" s="56"/>
      <c r="M14" s="8"/>
    </row>
    <row r="15" spans="1:13" ht="14.25" x14ac:dyDescent="0.45">
      <c r="B15" s="95" t="s">
        <v>33</v>
      </c>
      <c r="C15" s="102">
        <f t="shared" si="0"/>
        <v>500000</v>
      </c>
      <c r="D15" s="103">
        <v>500000</v>
      </c>
      <c r="E15" s="103">
        <v>500000</v>
      </c>
      <c r="F15" s="103">
        <v>500000</v>
      </c>
      <c r="G15" s="103">
        <v>500000</v>
      </c>
      <c r="H15" s="104">
        <f>IF(H9&gt;=D9,D15+(H9-D9)*(B15-D15)/(B9-D9),D15+(H9-D9)*(F15-D15)/(F9-D9))</f>
        <v>500000</v>
      </c>
      <c r="I15" s="55"/>
      <c r="J15" s="55"/>
    </row>
    <row r="16" spans="1:13" ht="14.25" x14ac:dyDescent="0.45">
      <c r="B16" s="95" t="s">
        <v>2</v>
      </c>
      <c r="C16" s="98">
        <f t="shared" si="0"/>
        <v>0.27</v>
      </c>
      <c r="D16" s="99">
        <v>0.27</v>
      </c>
      <c r="E16" s="99">
        <v>0.27</v>
      </c>
      <c r="F16" s="99">
        <v>0.27</v>
      </c>
      <c r="G16" s="99">
        <v>0.28000000000000003</v>
      </c>
      <c r="H16" s="100">
        <f>IF(H9&gt;=D9,D16+(H9-D9)*(B16-D16)/(B9-D9),D16+(H9-D9)*(F16-D16)/(F9-D9))</f>
        <v>0.27</v>
      </c>
      <c r="I16" s="55"/>
      <c r="J16" s="55"/>
    </row>
    <row r="17" spans="1:22" ht="14.25" x14ac:dyDescent="0.45">
      <c r="B17" s="95" t="s">
        <v>53</v>
      </c>
      <c r="C17" s="98">
        <f t="shared" si="0"/>
        <v>0.08</v>
      </c>
      <c r="D17" s="99">
        <v>5.5E-2</v>
      </c>
      <c r="E17" s="99">
        <v>0.08</v>
      </c>
      <c r="F17" s="99">
        <v>5.5E-2</v>
      </c>
      <c r="G17" s="99">
        <v>8.5000000000000006E-2</v>
      </c>
      <c r="H17" s="100">
        <f>IF(H9&gt;=D9,D17+(H9-D9)*(B17-D17)/(B9-D9),D17+(H9-D9)*(F17-D17)/(F9-D9))</f>
        <v>5.5E-2</v>
      </c>
      <c r="I17" s="55"/>
      <c r="J17" s="55"/>
    </row>
    <row r="18" spans="1:22" ht="14.25" x14ac:dyDescent="0.45">
      <c r="B18" s="95" t="s">
        <v>60</v>
      </c>
      <c r="C18" s="98">
        <f t="shared" si="0"/>
        <v>0.04</v>
      </c>
      <c r="D18" s="99">
        <v>0.05</v>
      </c>
      <c r="E18" s="99">
        <v>0.04</v>
      </c>
      <c r="F18" s="99">
        <v>0.05</v>
      </c>
      <c r="G18" s="99">
        <v>0.03</v>
      </c>
      <c r="H18" s="100">
        <f>IF(H9&gt;=D9,D18+(H9-D9)*(B18-D18)/(B9-D9),D18+(H9-D9)*(F18-D18)/(F9-D9))</f>
        <v>0.05</v>
      </c>
      <c r="I18" s="55"/>
      <c r="J18" s="55"/>
    </row>
    <row r="19" spans="1:22" ht="14.25" x14ac:dyDescent="0.45">
      <c r="B19" s="95" t="s">
        <v>68</v>
      </c>
      <c r="C19" s="98">
        <f t="shared" si="0"/>
        <v>0.03</v>
      </c>
      <c r="D19" s="99">
        <v>0.01</v>
      </c>
      <c r="E19" s="99">
        <v>0.03</v>
      </c>
      <c r="F19" s="99">
        <v>0.01</v>
      </c>
      <c r="G19" s="99">
        <v>0.04</v>
      </c>
      <c r="H19" s="100">
        <f>IF(H9&gt;=D9,D19+(H9-D9)*(B19-D19)/(B9-D9),D19+(H9-D9)*(F19-D19)/(F9-D9))</f>
        <v>0.01</v>
      </c>
      <c r="I19" s="55"/>
      <c r="J19" s="55"/>
    </row>
    <row r="20" spans="1:22" ht="14.25" x14ac:dyDescent="0.45">
      <c r="B20" s="35"/>
      <c r="C20" s="105"/>
      <c r="G20" s="36"/>
      <c r="H20" s="55"/>
      <c r="I20" s="55"/>
      <c r="J20" s="55"/>
    </row>
    <row r="21" spans="1:22" ht="14.25" x14ac:dyDescent="0.45">
      <c r="B21" s="35"/>
      <c r="C21" s="105"/>
      <c r="G21" s="36"/>
      <c r="H21" s="55"/>
      <c r="I21" s="55"/>
      <c r="J21" s="55"/>
    </row>
    <row r="22" spans="1:22" ht="14.25" thickBot="1" x14ac:dyDescent="0.5">
      <c r="B22" s="11"/>
    </row>
    <row r="23" spans="1:22" ht="14.25" thickBot="1" x14ac:dyDescent="0.5">
      <c r="A23" s="32"/>
      <c r="B23" s="142" t="s">
        <v>70</v>
      </c>
      <c r="C23" s="88"/>
      <c r="D23" s="88"/>
      <c r="E23" s="88"/>
      <c r="F23" s="88"/>
      <c r="G23" s="88"/>
      <c r="H23" s="88"/>
      <c r="I23" s="88"/>
      <c r="J23" s="89"/>
    </row>
    <row r="24" spans="1:22" ht="35.65" customHeight="1" x14ac:dyDescent="0.45">
      <c r="B24" s="185" t="s">
        <v>59</v>
      </c>
      <c r="C24" s="185"/>
      <c r="D24" s="185"/>
      <c r="E24" s="185"/>
      <c r="F24" s="185"/>
      <c r="G24" s="185"/>
      <c r="H24" s="185"/>
      <c r="I24" s="185"/>
      <c r="J24" s="185"/>
      <c r="K24" s="57"/>
      <c r="M24" s="13"/>
      <c r="N24" s="13"/>
      <c r="O24" s="13"/>
      <c r="P24" s="13"/>
    </row>
    <row r="25" spans="1:22" ht="21.4" customHeight="1" x14ac:dyDescent="0.45">
      <c r="B25" s="185"/>
      <c r="C25" s="185"/>
      <c r="D25" s="185"/>
      <c r="E25" s="185"/>
      <c r="F25" s="185"/>
      <c r="G25" s="185"/>
      <c r="H25" s="185"/>
      <c r="I25" s="185"/>
      <c r="J25" s="185"/>
      <c r="K25" s="57"/>
      <c r="M25" s="13"/>
      <c r="N25" s="13"/>
      <c r="O25" s="13"/>
      <c r="P25" s="13"/>
    </row>
    <row r="26" spans="1:22" ht="14.25" thickBot="1" x14ac:dyDescent="0.5">
      <c r="B26" s="29"/>
      <c r="C26" s="29"/>
      <c r="D26" s="29"/>
      <c r="E26" s="29"/>
      <c r="F26" s="29"/>
      <c r="G26" s="29"/>
      <c r="H26" s="29"/>
      <c r="I26" s="29"/>
      <c r="J26" s="29"/>
      <c r="K26" s="57"/>
      <c r="M26" s="13"/>
      <c r="N26" s="13"/>
      <c r="O26" s="13"/>
      <c r="P26" s="13"/>
    </row>
    <row r="27" spans="1:22" ht="14.65" customHeight="1" x14ac:dyDescent="0.45">
      <c r="B27" s="186" t="s">
        <v>50</v>
      </c>
      <c r="C27" s="188" t="s">
        <v>3</v>
      </c>
      <c r="D27" s="188"/>
      <c r="E27" s="188"/>
      <c r="F27" s="189" t="s">
        <v>4</v>
      </c>
      <c r="G27" s="189"/>
      <c r="H27" s="189"/>
      <c r="I27" s="189"/>
      <c r="J27" s="190"/>
    </row>
    <row r="28" spans="1:22" ht="15" customHeight="1" thickBot="1" x14ac:dyDescent="0.5">
      <c r="B28" s="187"/>
      <c r="C28" s="106">
        <v>2022</v>
      </c>
      <c r="D28" s="106">
        <v>2023</v>
      </c>
      <c r="E28" s="106">
        <v>2024</v>
      </c>
      <c r="F28" s="107">
        <v>2025</v>
      </c>
      <c r="G28" s="107">
        <v>2026</v>
      </c>
      <c r="H28" s="107">
        <v>2027</v>
      </c>
      <c r="I28" s="107">
        <v>2028</v>
      </c>
      <c r="J28" s="108">
        <v>2029</v>
      </c>
      <c r="K28" s="58"/>
    </row>
    <row r="29" spans="1:22" s="4" customFormat="1" x14ac:dyDescent="0.45">
      <c r="A29" s="33"/>
      <c r="B29" s="80" t="s">
        <v>26</v>
      </c>
      <c r="C29" s="109">
        <v>50265317</v>
      </c>
      <c r="D29" s="109">
        <v>62402646</v>
      </c>
      <c r="E29" s="109">
        <v>61988811</v>
      </c>
      <c r="F29" s="110">
        <f>E29*(1+$C$9)</f>
        <v>69946699.819459796</v>
      </c>
      <c r="G29" s="110">
        <f>F29*(1+$C$9)</f>
        <v>78926192.270950601</v>
      </c>
      <c r="H29" s="110">
        <f>G29*(1+$C$9)</f>
        <v>89058437.96018526</v>
      </c>
      <c r="I29" s="110">
        <f>H29*(1+$C$9)</f>
        <v>100491422.98262604</v>
      </c>
      <c r="J29" s="110">
        <f>I29*(1+$C$9)</f>
        <v>113392131.32828288</v>
      </c>
      <c r="K29" s="26"/>
      <c r="L29" s="20"/>
      <c r="V29" s="5"/>
    </row>
    <row r="30" spans="1:22" s="4" customFormat="1" x14ac:dyDescent="0.45">
      <c r="A30" s="33"/>
      <c r="B30" s="77" t="s">
        <v>25</v>
      </c>
      <c r="C30" s="111">
        <v>33505385</v>
      </c>
      <c r="D30" s="111">
        <v>38814254.731700003</v>
      </c>
      <c r="E30" s="111">
        <v>37392078.449600004</v>
      </c>
      <c r="F30" s="112">
        <f>E29*(1-$C$10)</f>
        <v>39672839.039999999</v>
      </c>
      <c r="G30" s="112">
        <f>F29*(1-$C$10)</f>
        <v>44765887.884454273</v>
      </c>
      <c r="H30" s="112">
        <f>G29*(1-$C$10)</f>
        <v>50512763.053408384</v>
      </c>
      <c r="I30" s="112">
        <f>H29*(1-$C$10)</f>
        <v>56997400.294518568</v>
      </c>
      <c r="J30" s="112">
        <f>I29*(1-$C$10)</f>
        <v>64314510.708880663</v>
      </c>
      <c r="K30" s="5"/>
      <c r="L30" s="20"/>
      <c r="V30" s="5"/>
    </row>
    <row r="31" spans="1:22" s="5" customFormat="1" thickBot="1" x14ac:dyDescent="0.5">
      <c r="A31" s="33"/>
      <c r="B31" s="54" t="s">
        <v>49</v>
      </c>
      <c r="C31" s="113">
        <f t="shared" ref="C31:J31" si="1">C29-C30</f>
        <v>16759932</v>
      </c>
      <c r="D31" s="113">
        <f t="shared" si="1"/>
        <v>23588391.268299997</v>
      </c>
      <c r="E31" s="113">
        <f t="shared" si="1"/>
        <v>24596732.550399996</v>
      </c>
      <c r="F31" s="114">
        <f t="shared" si="1"/>
        <v>30273860.779459797</v>
      </c>
      <c r="G31" s="114">
        <f t="shared" si="1"/>
        <v>34160304.386496328</v>
      </c>
      <c r="H31" s="114">
        <f t="shared" si="1"/>
        <v>38545674.906776875</v>
      </c>
      <c r="I31" s="114">
        <f t="shared" si="1"/>
        <v>43494022.688107468</v>
      </c>
      <c r="J31" s="114">
        <f t="shared" si="1"/>
        <v>49077620.619402215</v>
      </c>
      <c r="K31" s="59"/>
      <c r="L31" s="22"/>
    </row>
    <row r="32" spans="1:22" s="4" customFormat="1" ht="14.25" thickTop="1" x14ac:dyDescent="0.45">
      <c r="A32" s="33"/>
      <c r="B32" s="79" t="s">
        <v>23</v>
      </c>
      <c r="C32" s="103">
        <v>9132438</v>
      </c>
      <c r="D32" s="103">
        <v>10150353</v>
      </c>
      <c r="E32" s="103">
        <v>12389730</v>
      </c>
      <c r="F32" s="115">
        <f>F29*$C$11</f>
        <v>13989339.963891961</v>
      </c>
      <c r="G32" s="115">
        <f>G29*$C$11</f>
        <v>15785238.45419012</v>
      </c>
      <c r="H32" s="115">
        <f>H29*$C$11</f>
        <v>17811687.592037052</v>
      </c>
      <c r="I32" s="115">
        <f>I29*$C$11</f>
        <v>20098284.596525207</v>
      </c>
      <c r="J32" s="115">
        <f>J29*$C$11</f>
        <v>22678426.265656576</v>
      </c>
      <c r="K32" s="26"/>
      <c r="L32" s="20"/>
      <c r="V32" s="5"/>
    </row>
    <row r="33" spans="1:22" s="4" customFormat="1" x14ac:dyDescent="0.45">
      <c r="A33" s="33"/>
      <c r="B33" s="79" t="s">
        <v>56</v>
      </c>
      <c r="C33" s="103">
        <v>2764593</v>
      </c>
      <c r="D33" s="103">
        <v>3432146</v>
      </c>
      <c r="E33" s="103">
        <v>3409385</v>
      </c>
      <c r="F33" s="115">
        <f>$C$14</f>
        <v>35000000</v>
      </c>
      <c r="G33" s="115">
        <f>$C$14</f>
        <v>35000000</v>
      </c>
      <c r="H33" s="115">
        <f>$C$14</f>
        <v>35000000</v>
      </c>
      <c r="I33" s="115">
        <f>$C$14</f>
        <v>35000000</v>
      </c>
      <c r="J33" s="115">
        <f>$C$14</f>
        <v>35000000</v>
      </c>
      <c r="K33" s="26"/>
      <c r="L33" s="20"/>
      <c r="V33" s="5"/>
    </row>
    <row r="34" spans="1:22" s="4" customFormat="1" x14ac:dyDescent="0.45">
      <c r="A34" s="33"/>
      <c r="B34" s="77" t="s">
        <v>1</v>
      </c>
      <c r="C34" s="111">
        <v>500000</v>
      </c>
      <c r="D34" s="111">
        <v>500000</v>
      </c>
      <c r="E34" s="111">
        <v>500000</v>
      </c>
      <c r="F34" s="112">
        <f>$C$15</f>
        <v>500000</v>
      </c>
      <c r="G34" s="112">
        <f>$C$15</f>
        <v>500000</v>
      </c>
      <c r="H34" s="112">
        <f>$C$15</f>
        <v>500000</v>
      </c>
      <c r="I34" s="112">
        <f>$C$15</f>
        <v>500000</v>
      </c>
      <c r="J34" s="112">
        <f>$C$15</f>
        <v>500000</v>
      </c>
      <c r="K34" s="26"/>
      <c r="L34" s="20"/>
      <c r="V34" s="5"/>
    </row>
    <row r="35" spans="1:22" s="4" customFormat="1" ht="14.25" thickBot="1" x14ac:dyDescent="0.5">
      <c r="A35" s="33"/>
      <c r="B35" s="54" t="s">
        <v>5</v>
      </c>
      <c r="C35" s="113">
        <f t="shared" ref="C35:J35" si="2">C31-C32-C33-C34</f>
        <v>4362901</v>
      </c>
      <c r="D35" s="113">
        <f t="shared" si="2"/>
        <v>9505892.2682999969</v>
      </c>
      <c r="E35" s="113">
        <f t="shared" si="2"/>
        <v>8297617.5503999963</v>
      </c>
      <c r="F35" s="114">
        <f t="shared" si="2"/>
        <v>-19215479.184432164</v>
      </c>
      <c r="G35" s="114">
        <f t="shared" si="2"/>
        <v>-17124934.067693792</v>
      </c>
      <c r="H35" s="114">
        <f t="shared" si="2"/>
        <v>-14766012.685260177</v>
      </c>
      <c r="I35" s="114">
        <f t="shared" si="2"/>
        <v>-12104261.908417739</v>
      </c>
      <c r="J35" s="114">
        <f t="shared" si="2"/>
        <v>-9100805.6462543607</v>
      </c>
      <c r="K35" s="26"/>
      <c r="L35" s="20"/>
      <c r="V35" s="5"/>
    </row>
    <row r="36" spans="1:22" s="4" customFormat="1" ht="14.25" thickTop="1" x14ac:dyDescent="0.45">
      <c r="A36" s="33"/>
      <c r="B36" s="77" t="s">
        <v>55</v>
      </c>
      <c r="C36" s="111">
        <v>977289.82399999991</v>
      </c>
      <c r="D36" s="111">
        <v>2548270</v>
      </c>
      <c r="E36" s="111">
        <v>2216891</v>
      </c>
      <c r="F36" s="112">
        <f>F33*$C$16</f>
        <v>9450000</v>
      </c>
      <c r="G36" s="112">
        <f>G33*$C$16</f>
        <v>9450000</v>
      </c>
      <c r="H36" s="112">
        <f>H33*$C$16</f>
        <v>9450000</v>
      </c>
      <c r="I36" s="112">
        <f>I33*$C$16</f>
        <v>9450000</v>
      </c>
      <c r="J36" s="112">
        <f>J33*$C$16</f>
        <v>9450000</v>
      </c>
      <c r="K36" s="26"/>
      <c r="L36" s="20"/>
      <c r="M36" s="2"/>
      <c r="V36" s="5"/>
    </row>
    <row r="37" spans="1:22" s="4" customFormat="1" ht="14.25" thickBot="1" x14ac:dyDescent="0.5">
      <c r="A37" s="33"/>
      <c r="B37" s="54" t="s">
        <v>6</v>
      </c>
      <c r="C37" s="113">
        <f t="shared" ref="C37:J37" si="3">C35-C36</f>
        <v>3385611.176</v>
      </c>
      <c r="D37" s="113">
        <f t="shared" si="3"/>
        <v>6957622.2682999969</v>
      </c>
      <c r="E37" s="113">
        <f t="shared" si="3"/>
        <v>6080726.5503999963</v>
      </c>
      <c r="F37" s="114">
        <f t="shared" si="3"/>
        <v>-28665479.184432164</v>
      </c>
      <c r="G37" s="114">
        <f t="shared" si="3"/>
        <v>-26574934.067693792</v>
      </c>
      <c r="H37" s="114">
        <f t="shared" si="3"/>
        <v>-24216012.685260177</v>
      </c>
      <c r="I37" s="114">
        <f t="shared" si="3"/>
        <v>-21554261.908417739</v>
      </c>
      <c r="J37" s="114">
        <f t="shared" si="3"/>
        <v>-18550805.646254361</v>
      </c>
      <c r="K37" s="26"/>
      <c r="L37" s="20"/>
      <c r="V37" s="5"/>
    </row>
    <row r="38" spans="1:22" ht="14.25" thickTop="1" x14ac:dyDescent="0.45">
      <c r="B38" s="78" t="s">
        <v>88</v>
      </c>
      <c r="C38" s="116" t="s">
        <v>7</v>
      </c>
      <c r="D38" s="116">
        <f t="shared" ref="D38:J38" si="4">(D29-C29)/C29</f>
        <v>0.24146528310962409</v>
      </c>
      <c r="E38" s="116">
        <f t="shared" si="4"/>
        <v>-6.6316899446859992E-3</v>
      </c>
      <c r="F38" s="116">
        <f t="shared" si="4"/>
        <v>0.12837621324047974</v>
      </c>
      <c r="G38" s="116">
        <f t="shared" si="4"/>
        <v>0.12837621324047985</v>
      </c>
      <c r="H38" s="116">
        <f t="shared" si="4"/>
        <v>0.12837621324047976</v>
      </c>
      <c r="I38" s="116">
        <f t="shared" si="4"/>
        <v>0.12837621324047971</v>
      </c>
      <c r="J38" s="116">
        <f t="shared" si="4"/>
        <v>0.12837621324047971</v>
      </c>
      <c r="K38" s="117"/>
      <c r="L38" s="118"/>
      <c r="M38" s="119"/>
      <c r="N38" s="119"/>
      <c r="O38" s="119"/>
      <c r="P38" s="119"/>
      <c r="Q38" s="119"/>
      <c r="R38" s="119"/>
    </row>
    <row r="39" spans="1:22" x14ac:dyDescent="0.45">
      <c r="B39" s="78" t="s">
        <v>8</v>
      </c>
      <c r="C39" s="116">
        <f t="shared" ref="C39:J39" si="5">C31/C29</f>
        <v>0.3334293505002664</v>
      </c>
      <c r="D39" s="116">
        <f t="shared" si="5"/>
        <v>0.37800306205445194</v>
      </c>
      <c r="E39" s="116">
        <f t="shared" si="5"/>
        <v>0.39679310110335875</v>
      </c>
      <c r="F39" s="116">
        <f t="shared" si="5"/>
        <v>0.43281328293686472</v>
      </c>
      <c r="G39" s="116">
        <f t="shared" si="5"/>
        <v>0.43281328293686472</v>
      </c>
      <c r="H39" s="116">
        <f t="shared" si="5"/>
        <v>0.43281328293686472</v>
      </c>
      <c r="I39" s="116">
        <f t="shared" si="5"/>
        <v>0.43281328293686466</v>
      </c>
      <c r="J39" s="116">
        <f t="shared" si="5"/>
        <v>0.43281328293686466</v>
      </c>
      <c r="K39" s="117"/>
      <c r="L39" s="118"/>
      <c r="M39" s="119"/>
      <c r="N39" s="119"/>
      <c r="O39" s="119"/>
      <c r="P39" s="119"/>
      <c r="Q39" s="119"/>
      <c r="R39" s="119"/>
    </row>
    <row r="40" spans="1:22" x14ac:dyDescent="0.45">
      <c r="B40" s="78" t="s">
        <v>0</v>
      </c>
      <c r="C40" s="116">
        <f t="shared" ref="C40:J40" si="6">C32/C29</f>
        <v>0.18168467931874377</v>
      </c>
      <c r="D40" s="116">
        <f t="shared" si="6"/>
        <v>0.1626590160936445</v>
      </c>
      <c r="E40" s="116">
        <f t="shared" si="6"/>
        <v>0.19987042500298965</v>
      </c>
      <c r="F40" s="116">
        <f t="shared" si="6"/>
        <v>0.2</v>
      </c>
      <c r="G40" s="116">
        <f t="shared" si="6"/>
        <v>0.2</v>
      </c>
      <c r="H40" s="116">
        <f t="shared" si="6"/>
        <v>0.2</v>
      </c>
      <c r="I40" s="116">
        <f t="shared" si="6"/>
        <v>0.2</v>
      </c>
      <c r="J40" s="116">
        <f t="shared" si="6"/>
        <v>0.2</v>
      </c>
      <c r="K40" s="117"/>
      <c r="L40" s="118"/>
      <c r="M40" s="119"/>
      <c r="N40" s="119"/>
      <c r="O40" s="119"/>
      <c r="P40" s="119"/>
      <c r="Q40" s="119"/>
      <c r="R40" s="119"/>
    </row>
    <row r="41" spans="1:22" x14ac:dyDescent="0.45">
      <c r="B41" s="78" t="s">
        <v>9</v>
      </c>
      <c r="C41" s="116">
        <f t="shared" ref="C41:J41" si="7">C36/C35</f>
        <v>0.22399999999999998</v>
      </c>
      <c r="D41" s="116">
        <f t="shared" si="7"/>
        <v>0.26807267830058468</v>
      </c>
      <c r="E41" s="116">
        <f t="shared" si="7"/>
        <v>0.26717199081959764</v>
      </c>
      <c r="F41" s="116">
        <f t="shared" si="7"/>
        <v>-0.49179101438470096</v>
      </c>
      <c r="G41" s="116">
        <f t="shared" si="7"/>
        <v>-0.55182694208600991</v>
      </c>
      <c r="H41" s="116">
        <f t="shared" si="7"/>
        <v>-0.63998319664409065</v>
      </c>
      <c r="I41" s="116">
        <f t="shared" si="7"/>
        <v>-0.7807167484890698</v>
      </c>
      <c r="J41" s="116">
        <f t="shared" si="7"/>
        <v>-1.0383696089465835</v>
      </c>
    </row>
    <row r="42" spans="1:22" x14ac:dyDescent="0.45">
      <c r="B42" s="78" t="s">
        <v>85</v>
      </c>
      <c r="C42" s="103">
        <v>3518572</v>
      </c>
      <c r="D42" s="103">
        <v>4368186</v>
      </c>
      <c r="E42" s="103">
        <v>2800000</v>
      </c>
      <c r="F42" s="115">
        <f>F29*$C$17</f>
        <v>5595735.9855567841</v>
      </c>
      <c r="G42" s="115">
        <f>G29*$C$17</f>
        <v>6314095.381676048</v>
      </c>
      <c r="H42" s="115">
        <f>H29*$C$17</f>
        <v>7124675.036814821</v>
      </c>
      <c r="I42" s="115">
        <f>I29*$C$17</f>
        <v>8039313.8386100829</v>
      </c>
      <c r="J42" s="115">
        <f>J29*$C$17</f>
        <v>9071370.5062626302</v>
      </c>
    </row>
    <row r="43" spans="1:22" x14ac:dyDescent="0.45">
      <c r="B43" s="78" t="s">
        <v>10</v>
      </c>
      <c r="C43" s="116">
        <f>C42/C29</f>
        <v>6.9999996220057661E-2</v>
      </c>
      <c r="D43" s="116">
        <f>D42/D29</f>
        <v>7.000001249946998E-2</v>
      </c>
      <c r="E43" s="116">
        <f>E42/E29</f>
        <v>4.5169441949773806E-2</v>
      </c>
      <c r="F43" s="116">
        <f>F42 / F29</f>
        <v>0.08</v>
      </c>
      <c r="G43" s="116">
        <f>G42 / G29</f>
        <v>0.08</v>
      </c>
      <c r="H43" s="116">
        <f>H42 / H29</f>
        <v>0.08</v>
      </c>
      <c r="I43" s="116">
        <f>I42 / I29</f>
        <v>0.08</v>
      </c>
      <c r="J43" s="116">
        <f>J42 / J29</f>
        <v>0.08</v>
      </c>
    </row>
    <row r="44" spans="1:22" x14ac:dyDescent="0.45">
      <c r="B44" s="78" t="s">
        <v>11</v>
      </c>
      <c r="C44" s="103">
        <v>2513266</v>
      </c>
      <c r="D44" s="103">
        <v>3120132</v>
      </c>
      <c r="E44" s="103">
        <v>3099441</v>
      </c>
      <c r="F44" s="120">
        <f>20000</f>
        <v>20000</v>
      </c>
      <c r="G44" s="120">
        <f>20000</f>
        <v>20000</v>
      </c>
      <c r="H44" s="120">
        <f>20000</f>
        <v>20000</v>
      </c>
      <c r="I44" s="120">
        <f>20000</f>
        <v>20000</v>
      </c>
      <c r="J44" s="120">
        <v>20000</v>
      </c>
    </row>
    <row r="45" spans="1:22" x14ac:dyDescent="0.45">
      <c r="B45" s="78" t="s">
        <v>12</v>
      </c>
      <c r="C45" s="103">
        <v>6500000</v>
      </c>
      <c r="D45" s="103">
        <v>7000000</v>
      </c>
      <c r="E45" s="103">
        <v>7500000</v>
      </c>
      <c r="F45" s="120">
        <f>7500000</f>
        <v>7500000</v>
      </c>
      <c r="G45" s="120">
        <f>7500000</f>
        <v>7500000</v>
      </c>
      <c r="H45" s="120">
        <f>7500000</f>
        <v>7500000</v>
      </c>
      <c r="I45" s="120">
        <v>7500000</v>
      </c>
      <c r="J45" s="120">
        <v>7500000</v>
      </c>
    </row>
    <row r="46" spans="1:22" x14ac:dyDescent="0.45">
      <c r="B46" s="78" t="s">
        <v>54</v>
      </c>
      <c r="C46" s="103">
        <v>0</v>
      </c>
      <c r="D46" s="103">
        <v>75000</v>
      </c>
      <c r="E46" s="103">
        <v>75000</v>
      </c>
      <c r="F46" s="121">
        <f>0</f>
        <v>0</v>
      </c>
      <c r="G46" s="121">
        <f>0</f>
        <v>0</v>
      </c>
      <c r="H46" s="121">
        <f>0</f>
        <v>0</v>
      </c>
      <c r="I46" s="121">
        <f>0</f>
        <v>0</v>
      </c>
      <c r="J46" s="121">
        <f>0</f>
        <v>0</v>
      </c>
    </row>
    <row r="47" spans="1:22" x14ac:dyDescent="0.45">
      <c r="B47" s="62"/>
      <c r="C47" s="122"/>
      <c r="D47" s="122"/>
      <c r="E47" s="122"/>
      <c r="F47" s="63"/>
      <c r="G47" s="63"/>
      <c r="H47" s="63"/>
      <c r="I47" s="63"/>
      <c r="J47" s="63"/>
    </row>
    <row r="48" spans="1:22" x14ac:dyDescent="0.45">
      <c r="B48" s="62"/>
      <c r="C48" s="122"/>
      <c r="D48" s="122"/>
      <c r="E48" s="122"/>
      <c r="F48" s="63"/>
      <c r="G48" s="63"/>
      <c r="H48" s="63"/>
      <c r="I48" s="63"/>
      <c r="J48" s="63"/>
    </row>
    <row r="49" spans="1:27" ht="14.25" thickBot="1" x14ac:dyDescent="0.5">
      <c r="C49" s="6"/>
      <c r="D49" s="6"/>
      <c r="E49" s="123"/>
      <c r="F49" s="6"/>
      <c r="G49" s="6"/>
      <c r="H49" s="6"/>
      <c r="I49" s="6"/>
      <c r="J49" s="6"/>
    </row>
    <row r="50" spans="1:27" ht="14.25" thickBot="1" x14ac:dyDescent="0.5">
      <c r="A50" s="32"/>
      <c r="B50" s="142" t="s">
        <v>69</v>
      </c>
      <c r="C50" s="88"/>
      <c r="D50" s="88"/>
      <c r="E50" s="88"/>
      <c r="F50" s="88"/>
      <c r="G50" s="88"/>
      <c r="H50" s="88"/>
      <c r="I50" s="88"/>
      <c r="J50" s="89"/>
    </row>
    <row r="51" spans="1:27" x14ac:dyDescent="0.45">
      <c r="B51" s="185" t="s">
        <v>82</v>
      </c>
      <c r="C51" s="185"/>
      <c r="D51" s="185"/>
      <c r="E51" s="185"/>
      <c r="F51" s="185"/>
      <c r="G51" s="185"/>
      <c r="H51" s="185"/>
      <c r="I51" s="185"/>
      <c r="J51" s="185"/>
    </row>
    <row r="52" spans="1:27" ht="17.649999999999999" customHeight="1" x14ac:dyDescent="0.45">
      <c r="B52" s="185"/>
      <c r="C52" s="185"/>
      <c r="D52" s="185"/>
      <c r="E52" s="185"/>
      <c r="F52" s="185"/>
      <c r="G52" s="185"/>
      <c r="H52" s="185"/>
      <c r="I52" s="185"/>
      <c r="J52" s="185"/>
    </row>
    <row r="53" spans="1:27" ht="14.25" thickBot="1" x14ac:dyDescent="0.5">
      <c r="D53" s="8"/>
      <c r="E53" s="8"/>
      <c r="F53" s="8">
        <v>1</v>
      </c>
      <c r="G53" s="8">
        <f t="shared" ref="G53:J53" si="8">F53+1</f>
        <v>2</v>
      </c>
      <c r="H53" s="8">
        <f t="shared" si="8"/>
        <v>3</v>
      </c>
      <c r="I53" s="8">
        <f t="shared" si="8"/>
        <v>4</v>
      </c>
      <c r="J53" s="8">
        <f t="shared" si="8"/>
        <v>5</v>
      </c>
      <c r="K53" s="56"/>
    </row>
    <row r="54" spans="1:27" ht="16.899999999999999" x14ac:dyDescent="0.45">
      <c r="B54" s="186" t="s">
        <v>50</v>
      </c>
      <c r="C54" s="193" t="s">
        <v>13</v>
      </c>
      <c r="D54" s="193"/>
      <c r="E54" s="193"/>
      <c r="F54" s="194" t="s">
        <v>4</v>
      </c>
      <c r="G54" s="194"/>
      <c r="H54" s="194"/>
      <c r="I54" s="194"/>
      <c r="J54" s="195"/>
    </row>
    <row r="55" spans="1:27" ht="14.25" thickBot="1" x14ac:dyDescent="0.5">
      <c r="B55" s="187"/>
      <c r="C55" s="106">
        <v>2022</v>
      </c>
      <c r="D55" s="106">
        <v>2023</v>
      </c>
      <c r="E55" s="106">
        <v>2024</v>
      </c>
      <c r="F55" s="107">
        <v>2025</v>
      </c>
      <c r="G55" s="107">
        <v>2026</v>
      </c>
      <c r="H55" s="107">
        <v>2027</v>
      </c>
      <c r="I55" s="107">
        <v>2028</v>
      </c>
      <c r="J55" s="108">
        <v>2029</v>
      </c>
    </row>
    <row r="56" spans="1:27" x14ac:dyDescent="0.45">
      <c r="B56" s="71" t="s">
        <v>14</v>
      </c>
      <c r="C56" s="124">
        <f t="shared" ref="C56:J56" si="9">C37+C36+C34+C33</f>
        <v>7627494</v>
      </c>
      <c r="D56" s="124">
        <f t="shared" si="9"/>
        <v>13438038.268299997</v>
      </c>
      <c r="E56" s="124">
        <f t="shared" si="9"/>
        <v>12207002.550399996</v>
      </c>
      <c r="F56" s="125">
        <f t="shared" si="9"/>
        <v>16284520.815567836</v>
      </c>
      <c r="G56" s="125">
        <f t="shared" si="9"/>
        <v>18375065.932306208</v>
      </c>
      <c r="H56" s="125">
        <f t="shared" si="9"/>
        <v>20733987.314739823</v>
      </c>
      <c r="I56" s="125">
        <f t="shared" si="9"/>
        <v>23395738.091582261</v>
      </c>
      <c r="J56" s="125">
        <f t="shared" si="9"/>
        <v>26399194.353745639</v>
      </c>
    </row>
    <row r="57" spans="1:27" x14ac:dyDescent="0.45">
      <c r="B57" s="165" t="s">
        <v>79</v>
      </c>
      <c r="C57" s="126">
        <f t="shared" ref="C57:J57" si="10">C42</f>
        <v>3518572</v>
      </c>
      <c r="D57" s="126">
        <f t="shared" si="10"/>
        <v>4368186</v>
      </c>
      <c r="E57" s="126">
        <f t="shared" si="10"/>
        <v>2800000</v>
      </c>
      <c r="F57" s="127">
        <f t="shared" si="10"/>
        <v>5595735.9855567841</v>
      </c>
      <c r="G57" s="127">
        <f t="shared" si="10"/>
        <v>6314095.381676048</v>
      </c>
      <c r="H57" s="127">
        <f t="shared" si="10"/>
        <v>7124675.036814821</v>
      </c>
      <c r="I57" s="127">
        <f t="shared" si="10"/>
        <v>8039313.8386100829</v>
      </c>
      <c r="J57" s="127">
        <f t="shared" si="10"/>
        <v>9071370.5062626302</v>
      </c>
      <c r="L57" s="181"/>
      <c r="M57" s="181"/>
      <c r="N57" s="181"/>
      <c r="V57" s="9" t="s">
        <v>41</v>
      </c>
      <c r="W57" s="9" t="s">
        <v>42</v>
      </c>
      <c r="X57" s="9" t="s">
        <v>42</v>
      </c>
    </row>
    <row r="58" spans="1:27" x14ac:dyDescent="0.45">
      <c r="B58" s="166" t="s">
        <v>55</v>
      </c>
      <c r="C58" s="126">
        <f t="shared" ref="C58:J58" si="11">C36</f>
        <v>977289.82399999991</v>
      </c>
      <c r="D58" s="126">
        <f t="shared" si="11"/>
        <v>2548270</v>
      </c>
      <c r="E58" s="126">
        <f t="shared" si="11"/>
        <v>2216891</v>
      </c>
      <c r="F58" s="127">
        <f t="shared" si="11"/>
        <v>9450000</v>
      </c>
      <c r="G58" s="127">
        <f t="shared" si="11"/>
        <v>9450000</v>
      </c>
      <c r="H58" s="127">
        <f t="shared" si="11"/>
        <v>9450000</v>
      </c>
      <c r="I58" s="127">
        <f t="shared" si="11"/>
        <v>9450000</v>
      </c>
      <c r="J58" s="127">
        <f t="shared" si="11"/>
        <v>9450000</v>
      </c>
      <c r="V58" s="2" t="s">
        <v>35</v>
      </c>
      <c r="W58" s="2" t="s">
        <v>36</v>
      </c>
      <c r="X58" s="2" t="s">
        <v>37</v>
      </c>
    </row>
    <row r="59" spans="1:27" x14ac:dyDescent="0.45">
      <c r="B59" s="167" t="s">
        <v>80</v>
      </c>
      <c r="C59" s="164">
        <v>1507959.51</v>
      </c>
      <c r="D59" s="164">
        <v>1872079.38</v>
      </c>
      <c r="E59" s="164">
        <v>1859664.3299999998</v>
      </c>
      <c r="F59" s="128">
        <f>F29 * $C$19</f>
        <v>2098400.9945837939</v>
      </c>
      <c r="G59" s="128">
        <f>G29 * $C$19</f>
        <v>2367785.768128518</v>
      </c>
      <c r="H59" s="128">
        <f>H29 * $C$19</f>
        <v>2671753.1388055575</v>
      </c>
      <c r="I59" s="128">
        <f>I29 * $C$19</f>
        <v>3014742.6894787811</v>
      </c>
      <c r="J59" s="128">
        <f>J29 * $C$19</f>
        <v>3401763.9398484863</v>
      </c>
      <c r="V59" s="2"/>
    </row>
    <row r="60" spans="1:27" ht="14.25" thickBot="1" x14ac:dyDescent="0.5">
      <c r="B60" s="147" t="s">
        <v>15</v>
      </c>
      <c r="C60" s="172">
        <f>C56-C57-C58-C59</f>
        <v>1623672.666</v>
      </c>
      <c r="D60" s="172">
        <f>D56-D57-D58-D59</f>
        <v>4649502.888299997</v>
      </c>
      <c r="E60" s="172">
        <f t="shared" ref="E60:J60" si="12">E56-E57-E58-E59</f>
        <v>5330447.2203999963</v>
      </c>
      <c r="F60" s="172">
        <f t="shared" si="12"/>
        <v>-859616.16457274277</v>
      </c>
      <c r="G60" s="172">
        <f t="shared" si="12"/>
        <v>243184.78250164166</v>
      </c>
      <c r="H60" s="172">
        <f t="shared" si="12"/>
        <v>1487559.1391194458</v>
      </c>
      <c r="I60" s="172">
        <f t="shared" si="12"/>
        <v>2891681.5634933971</v>
      </c>
      <c r="J60" s="172">
        <f t="shared" si="12"/>
        <v>4476059.9076345228</v>
      </c>
      <c r="V60" s="2" t="s">
        <v>40</v>
      </c>
      <c r="W60" s="2" t="s">
        <v>39</v>
      </c>
      <c r="X60" s="2" t="s">
        <v>38</v>
      </c>
    </row>
    <row r="61" spans="1:27" ht="15" customHeight="1" thickTop="1" x14ac:dyDescent="0.45">
      <c r="C61" s="129"/>
      <c r="D61" s="130"/>
      <c r="E61" s="131"/>
      <c r="F61" s="24"/>
      <c r="G61" s="168"/>
      <c r="H61" s="191" t="s">
        <v>57</v>
      </c>
      <c r="I61" s="191"/>
      <c r="J61" s="174">
        <f>J60/(Discount_Rate-C12)</f>
        <v>49733998.973716922</v>
      </c>
    </row>
    <row r="62" spans="1:27" ht="15" customHeight="1" x14ac:dyDescent="0.45">
      <c r="C62" s="132"/>
      <c r="D62" s="133"/>
      <c r="E62" s="24"/>
      <c r="F62" s="24"/>
      <c r="G62" s="24"/>
      <c r="H62" s="192" t="s">
        <v>57</v>
      </c>
      <c r="I62" s="192"/>
      <c r="J62" s="175">
        <f>J61/(1+Discount_Rate)^5</f>
        <v>26993622.099971239</v>
      </c>
      <c r="V62" s="9" t="s">
        <v>45</v>
      </c>
      <c r="W62" s="9" t="s">
        <v>46</v>
      </c>
      <c r="X62" s="9" t="s">
        <v>47</v>
      </c>
      <c r="Y62" s="9"/>
      <c r="Z62" s="9"/>
      <c r="AA62" s="9"/>
    </row>
    <row r="63" spans="1:27" s="12" customFormat="1" ht="14.25" thickBot="1" x14ac:dyDescent="0.5">
      <c r="A63" s="34"/>
      <c r="B63" s="147" t="s">
        <v>17</v>
      </c>
      <c r="C63" s="172">
        <f>C60/(1+$C$13)^(C55-2021)</f>
        <v>1436878.4654867258</v>
      </c>
      <c r="D63" s="172">
        <f t="shared" ref="D63:J63" si="13">D60/(1+$C$13)^(D55-C55)</f>
        <v>4114604.3259292012</v>
      </c>
      <c r="E63" s="172">
        <f t="shared" si="13"/>
        <v>4717209.929557519</v>
      </c>
      <c r="F63" s="172">
        <f t="shared" si="13"/>
        <v>-760722.26953340077</v>
      </c>
      <c r="G63" s="172">
        <f t="shared" si="13"/>
        <v>215207.77212534662</v>
      </c>
      <c r="H63" s="172">
        <f t="shared" si="13"/>
        <v>1316424.0169198636</v>
      </c>
      <c r="I63" s="172">
        <f t="shared" si="13"/>
        <v>2559010.2331799977</v>
      </c>
      <c r="J63" s="173">
        <f t="shared" si="13"/>
        <v>3961114.9625084274</v>
      </c>
      <c r="K63" s="18"/>
      <c r="L63" s="23"/>
      <c r="V63" s="12" t="s">
        <v>16</v>
      </c>
      <c r="W63" s="12" t="s">
        <v>44</v>
      </c>
      <c r="X63" s="12" t="s">
        <v>43</v>
      </c>
    </row>
    <row r="64" spans="1:27" s="12" customFormat="1" ht="14.25" thickTop="1" x14ac:dyDescent="0.45">
      <c r="C64" s="134"/>
      <c r="D64" s="24"/>
      <c r="E64" s="24"/>
      <c r="F64" s="24"/>
      <c r="G64" s="24"/>
      <c r="H64" s="24"/>
      <c r="I64" s="171" t="s">
        <v>100</v>
      </c>
      <c r="J64" s="176">
        <f>SUM(F63:J63)</f>
        <v>7291034.7152002342</v>
      </c>
      <c r="K64" s="18"/>
      <c r="L64" s="23"/>
      <c r="V64" s="19"/>
    </row>
    <row r="65" spans="1:27" s="12" customFormat="1" x14ac:dyDescent="0.45">
      <c r="B65" s="135"/>
      <c r="C65" s="134"/>
      <c r="D65" s="24"/>
      <c r="E65" s="24"/>
      <c r="F65" s="24"/>
      <c r="G65" s="24"/>
      <c r="H65" s="24"/>
      <c r="J65" s="18"/>
      <c r="K65" s="18"/>
      <c r="L65" s="23"/>
      <c r="V65" s="19"/>
    </row>
    <row r="66" spans="1:27" s="12" customFormat="1" ht="14.25" thickBot="1" x14ac:dyDescent="0.5">
      <c r="G66" s="136"/>
      <c r="H66" s="136"/>
      <c r="I66" s="136"/>
      <c r="J66" s="18"/>
      <c r="K66" s="18"/>
      <c r="L66" s="23"/>
      <c r="V66" s="19"/>
    </row>
    <row r="67" spans="1:27" ht="14.25" thickBot="1" x14ac:dyDescent="0.5">
      <c r="A67" s="32"/>
      <c r="B67" s="142" t="s">
        <v>71</v>
      </c>
      <c r="C67" s="88"/>
      <c r="D67" s="88"/>
      <c r="E67" s="88"/>
      <c r="F67" s="88"/>
      <c r="G67" s="88"/>
      <c r="H67" s="88"/>
      <c r="I67" s="88"/>
      <c r="J67" s="89"/>
    </row>
    <row r="68" spans="1:27" customFormat="1" ht="14.25" x14ac:dyDescent="0.45">
      <c r="B68" s="182" t="s">
        <v>65</v>
      </c>
      <c r="C68" s="182"/>
      <c r="D68" s="182"/>
      <c r="E68" s="182"/>
      <c r="F68" s="182"/>
      <c r="G68" s="182"/>
      <c r="H68" s="182"/>
      <c r="I68" s="182"/>
      <c r="J68" s="182"/>
    </row>
    <row r="69" spans="1:27" ht="14.25" customHeight="1" thickBot="1" x14ac:dyDescent="0.5">
      <c r="B69" s="9"/>
      <c r="C69" s="9"/>
      <c r="D69" s="9"/>
      <c r="E69" s="60"/>
      <c r="F69" s="14"/>
    </row>
    <row r="70" spans="1:27" ht="14.25" customHeight="1" thickBot="1" x14ac:dyDescent="0.5">
      <c r="B70" s="74" t="s">
        <v>67</v>
      </c>
      <c r="C70" s="75" t="str">
        <f>D4</f>
        <v>B = Linear Regression</v>
      </c>
      <c r="D70" s="9"/>
      <c r="E70" s="60"/>
      <c r="F70" s="14"/>
    </row>
    <row r="71" spans="1:27" ht="14.25" customHeight="1" x14ac:dyDescent="0.45">
      <c r="B71" s="19" t="s">
        <v>61</v>
      </c>
      <c r="C71" s="39">
        <f>J64+J62</f>
        <v>34284656.815171473</v>
      </c>
      <c r="D71" s="19"/>
      <c r="F71" s="14"/>
    </row>
    <row r="72" spans="1:27" ht="14.25" customHeight="1" x14ac:dyDescent="0.45">
      <c r="B72" s="19" t="s">
        <v>62</v>
      </c>
      <c r="C72" s="67">
        <f>J61</f>
        <v>49733998.973716922</v>
      </c>
      <c r="D72" s="19"/>
      <c r="F72" s="14"/>
    </row>
    <row r="73" spans="1:27" ht="14.25" customHeight="1" x14ac:dyDescent="0.45">
      <c r="B73" s="12" t="s">
        <v>63</v>
      </c>
      <c r="C73" s="67">
        <f>C72-C71</f>
        <v>15449342.158545449</v>
      </c>
      <c r="D73" s="19"/>
      <c r="F73" s="14"/>
    </row>
    <row r="74" spans="1:27" ht="14.25" customHeight="1" x14ac:dyDescent="0.45">
      <c r="B74" s="12" t="s">
        <v>48</v>
      </c>
      <c r="C74" s="68">
        <v>0.04</v>
      </c>
      <c r="D74" s="19"/>
      <c r="G74" s="9"/>
      <c r="H74" s="9"/>
      <c r="I74" s="9"/>
      <c r="J74" s="16"/>
    </row>
    <row r="75" spans="1:27" ht="14.65" customHeight="1" thickBot="1" x14ac:dyDescent="0.5">
      <c r="B75" s="53" t="s">
        <v>64</v>
      </c>
      <c r="C75" s="137">
        <f>C74*C73</f>
        <v>617973.68634181796</v>
      </c>
      <c r="D75" s="19"/>
      <c r="F75" s="14"/>
    </row>
    <row r="76" spans="1:27" s="1" customFormat="1" ht="14.25" thickTop="1" x14ac:dyDescent="0.45">
      <c r="A76" s="31"/>
      <c r="B76" s="12" t="s">
        <v>66</v>
      </c>
      <c r="C76" s="67">
        <f>C75/4</f>
        <v>154493.42158545449</v>
      </c>
      <c r="D76" s="61"/>
      <c r="E76" s="14"/>
      <c r="F76" s="14"/>
      <c r="G76" s="2"/>
      <c r="H76" s="2"/>
      <c r="I76" s="2"/>
      <c r="J76" s="2"/>
      <c r="L76" s="21"/>
      <c r="M76" s="2"/>
      <c r="N76" s="2"/>
      <c r="O76" s="2"/>
      <c r="P76" s="2"/>
      <c r="Q76" s="2"/>
      <c r="R76" s="2"/>
      <c r="S76" s="2"/>
      <c r="T76" s="2"/>
      <c r="U76" s="2"/>
      <c r="V76" s="9"/>
      <c r="W76" s="2"/>
      <c r="X76" s="2"/>
      <c r="Y76" s="2"/>
      <c r="Z76" s="2"/>
      <c r="AA76" s="2"/>
    </row>
    <row r="77" spans="1:27" s="1" customFormat="1" x14ac:dyDescent="0.45">
      <c r="A77" s="31"/>
      <c r="B77" s="12"/>
      <c r="C77" s="67"/>
      <c r="D77" s="61"/>
      <c r="E77" s="14"/>
      <c r="F77" s="14"/>
      <c r="G77" s="2"/>
      <c r="H77" s="2"/>
      <c r="I77" s="2"/>
      <c r="J77" s="2"/>
      <c r="L77" s="21"/>
      <c r="M77" s="2"/>
      <c r="N77" s="2"/>
      <c r="O77" s="2"/>
      <c r="P77" s="2"/>
      <c r="Q77" s="2"/>
      <c r="R77" s="2"/>
      <c r="S77" s="2"/>
      <c r="T77" s="2"/>
      <c r="U77" s="2"/>
      <c r="V77" s="9"/>
      <c r="W77" s="2"/>
      <c r="X77" s="2"/>
      <c r="Y77" s="2"/>
      <c r="Z77" s="2"/>
      <c r="AA77" s="2"/>
    </row>
    <row r="78" spans="1:27" s="1" customFormat="1" x14ac:dyDescent="0.45">
      <c r="A78" s="31"/>
      <c r="B78" s="2"/>
      <c r="C78" s="2"/>
      <c r="D78" s="2"/>
      <c r="E78" s="2"/>
      <c r="F78" s="14"/>
      <c r="G78" s="2"/>
      <c r="H78" s="2"/>
      <c r="I78" s="2"/>
      <c r="J78" s="2"/>
      <c r="L78" s="21"/>
      <c r="M78" s="2"/>
      <c r="N78" s="2"/>
      <c r="O78" s="2"/>
      <c r="P78" s="2"/>
      <c r="Q78" s="2"/>
      <c r="R78" s="2"/>
      <c r="S78" s="2"/>
      <c r="T78" s="2"/>
      <c r="U78" s="2"/>
      <c r="V78" s="9"/>
      <c r="W78" s="2"/>
      <c r="X78" s="2"/>
      <c r="Y78" s="2"/>
      <c r="Z78" s="2"/>
      <c r="AA78" s="2"/>
    </row>
    <row r="79" spans="1:27" s="1" customFormat="1" ht="14.25" thickBot="1" x14ac:dyDescent="0.5">
      <c r="A79" s="31"/>
      <c r="B79" s="2"/>
      <c r="C79" s="2"/>
      <c r="D79" s="2"/>
      <c r="E79" s="2"/>
      <c r="F79" s="14"/>
      <c r="G79" s="2"/>
      <c r="H79" s="2"/>
      <c r="I79" s="2"/>
      <c r="J79" s="2"/>
      <c r="L79" s="21"/>
      <c r="M79" s="2"/>
      <c r="N79" s="2"/>
      <c r="O79" s="2"/>
      <c r="P79" s="2"/>
      <c r="Q79" s="2"/>
      <c r="R79" s="2"/>
      <c r="S79" s="2"/>
      <c r="T79" s="2"/>
      <c r="U79" s="2"/>
      <c r="V79" s="9"/>
      <c r="W79" s="2"/>
      <c r="X79" s="2"/>
      <c r="Y79" s="2"/>
      <c r="Z79" s="2"/>
      <c r="AA79" s="2"/>
    </row>
    <row r="80" spans="1:27" ht="14.25" thickBot="1" x14ac:dyDescent="0.5">
      <c r="A80" s="32"/>
      <c r="B80" s="142" t="s">
        <v>101</v>
      </c>
      <c r="C80" s="88"/>
      <c r="D80" s="88"/>
      <c r="E80" s="88"/>
      <c r="F80" s="88"/>
      <c r="G80" s="88"/>
      <c r="H80" s="88"/>
      <c r="I80" s="88"/>
      <c r="J80" s="89"/>
    </row>
    <row r="81" spans="1:27" customFormat="1" ht="14.25" customHeight="1" x14ac:dyDescent="0.45">
      <c r="B81" s="182" t="s">
        <v>81</v>
      </c>
      <c r="C81" s="182"/>
      <c r="D81" s="182"/>
      <c r="E81" s="182"/>
      <c r="F81" s="182"/>
      <c r="G81" s="182"/>
      <c r="H81" s="182"/>
      <c r="I81" s="182"/>
      <c r="J81" s="182"/>
    </row>
    <row r="82" spans="1:27" s="1" customFormat="1" ht="14.25" customHeight="1" thickBot="1" x14ac:dyDescent="0.5">
      <c r="A82" s="31"/>
      <c r="B82" s="9"/>
      <c r="C82" s="9"/>
      <c r="D82" s="9"/>
      <c r="E82" s="60"/>
      <c r="F82" s="14"/>
      <c r="G82" s="2"/>
      <c r="H82" s="2"/>
      <c r="I82" s="2"/>
      <c r="J82" s="2"/>
      <c r="L82" s="21"/>
      <c r="M82" s="2"/>
      <c r="N82" s="2"/>
      <c r="O82" s="2"/>
      <c r="P82" s="2"/>
      <c r="Q82" s="2"/>
      <c r="R82" s="2"/>
      <c r="S82" s="2"/>
      <c r="T82" s="2"/>
      <c r="U82" s="2"/>
      <c r="V82" s="9"/>
      <c r="W82" s="2"/>
      <c r="X82" s="2"/>
      <c r="Y82" s="2"/>
      <c r="Z82" s="2"/>
      <c r="AA82" s="2"/>
    </row>
    <row r="83" spans="1:27" s="1" customFormat="1" ht="14.25" customHeight="1" thickBot="1" x14ac:dyDescent="0.5">
      <c r="A83" s="31"/>
      <c r="B83" s="74" t="s">
        <v>78</v>
      </c>
      <c r="C83" s="81" t="s">
        <v>75</v>
      </c>
      <c r="D83" s="81" t="s">
        <v>76</v>
      </c>
      <c r="E83" s="75" t="s">
        <v>77</v>
      </c>
      <c r="F83" s="14"/>
      <c r="G83" s="2"/>
      <c r="H83" s="2"/>
      <c r="I83" s="2"/>
      <c r="J83" s="2"/>
      <c r="L83" s="21"/>
      <c r="M83" s="2"/>
      <c r="N83" s="2"/>
      <c r="O83" s="2"/>
      <c r="P83" s="2"/>
      <c r="Q83" s="2"/>
      <c r="R83" s="2"/>
      <c r="S83" s="2"/>
      <c r="T83" s="2"/>
      <c r="U83" s="2"/>
      <c r="V83" s="9"/>
      <c r="W83" s="2"/>
      <c r="X83" s="2"/>
      <c r="Y83" s="2"/>
      <c r="Z83" s="2"/>
      <c r="AA83" s="2"/>
    </row>
    <row r="84" spans="1:27" s="1" customFormat="1" ht="14.25" customHeight="1" x14ac:dyDescent="0.45">
      <c r="A84" s="31"/>
      <c r="B84" s="19" t="s">
        <v>102</v>
      </c>
      <c r="C84" s="138">
        <v>350000</v>
      </c>
      <c r="D84" s="138">
        <v>400000</v>
      </c>
      <c r="E84" s="138">
        <v>450000</v>
      </c>
      <c r="F84" s="14"/>
      <c r="G84" s="2"/>
      <c r="H84" s="2"/>
      <c r="I84" s="2"/>
      <c r="J84" s="2"/>
      <c r="L84" s="21"/>
      <c r="M84" s="2"/>
      <c r="N84" s="2"/>
      <c r="O84" s="2"/>
      <c r="P84" s="2"/>
      <c r="Q84" s="2"/>
      <c r="R84" s="2"/>
      <c r="S84" s="2"/>
      <c r="T84" s="2"/>
      <c r="U84" s="2"/>
      <c r="V84" s="9"/>
      <c r="W84" s="2"/>
      <c r="X84" s="2"/>
      <c r="Y84" s="2"/>
      <c r="Z84" s="2"/>
      <c r="AA84" s="2"/>
    </row>
    <row r="85" spans="1:27" s="1" customFormat="1" ht="14.25" customHeight="1" x14ac:dyDescent="0.45">
      <c r="A85" s="31"/>
      <c r="B85" s="27" t="s">
        <v>73</v>
      </c>
      <c r="C85" s="139">
        <v>0.25</v>
      </c>
      <c r="D85" s="139">
        <v>0.3</v>
      </c>
      <c r="E85" s="139">
        <v>0.4</v>
      </c>
      <c r="F85" s="14"/>
      <c r="G85" s="2"/>
      <c r="H85" s="2"/>
      <c r="I85" s="2"/>
      <c r="J85" s="2"/>
      <c r="L85" s="21"/>
      <c r="M85" s="2"/>
      <c r="N85" s="2"/>
      <c r="O85" s="2"/>
      <c r="P85" s="2"/>
      <c r="Q85" s="2"/>
      <c r="R85" s="2"/>
      <c r="S85" s="2"/>
      <c r="T85" s="2"/>
      <c r="U85" s="2"/>
      <c r="V85" s="9"/>
      <c r="W85" s="2"/>
      <c r="X85" s="2"/>
      <c r="Y85" s="2"/>
      <c r="Z85" s="2"/>
      <c r="AA85" s="2"/>
    </row>
    <row r="86" spans="1:27" s="1" customFormat="1" ht="14.25" customHeight="1" x14ac:dyDescent="0.45">
      <c r="A86" s="31"/>
      <c r="B86" s="27" t="s">
        <v>72</v>
      </c>
      <c r="C86" s="76">
        <f>C76</f>
        <v>154493.42158545449</v>
      </c>
      <c r="D86" s="76">
        <f>C76</f>
        <v>154493.42158545449</v>
      </c>
      <c r="E86" s="76">
        <f>C76</f>
        <v>154493.42158545449</v>
      </c>
      <c r="F86" s="14"/>
      <c r="G86" s="2"/>
      <c r="H86" s="2"/>
      <c r="I86" s="2"/>
      <c r="J86" s="2"/>
      <c r="L86" s="21"/>
      <c r="M86" s="2"/>
      <c r="N86" s="2"/>
      <c r="O86" s="2"/>
      <c r="P86" s="2"/>
      <c r="Q86" s="2"/>
      <c r="R86" s="2"/>
      <c r="S86" s="2"/>
      <c r="T86" s="2"/>
      <c r="U86" s="2"/>
      <c r="V86" s="9"/>
      <c r="W86" s="2"/>
      <c r="X86" s="2"/>
      <c r="Y86" s="2"/>
      <c r="Z86" s="2"/>
      <c r="AA86" s="2"/>
    </row>
    <row r="87" spans="1:27" s="1" customFormat="1" ht="14.65" customHeight="1" thickBot="1" x14ac:dyDescent="0.5">
      <c r="A87" s="31"/>
      <c r="B87" s="53" t="s">
        <v>74</v>
      </c>
      <c r="C87" s="140">
        <f>(C85*C84)+C84+C86</f>
        <v>591993.42158545449</v>
      </c>
      <c r="D87" s="141">
        <f t="shared" ref="D87:E87" si="14">(D85*D84)+D84+D86</f>
        <v>674493.42158545449</v>
      </c>
      <c r="E87" s="140">
        <f t="shared" si="14"/>
        <v>784493.42158545449</v>
      </c>
      <c r="F87" s="14"/>
      <c r="G87" s="2"/>
      <c r="H87" s="2"/>
      <c r="I87" s="2"/>
      <c r="J87" s="2"/>
      <c r="L87" s="21"/>
      <c r="M87" s="2"/>
      <c r="N87" s="2"/>
      <c r="O87" s="2"/>
      <c r="P87" s="2"/>
      <c r="Q87" s="2"/>
      <c r="R87" s="2"/>
      <c r="S87" s="2"/>
      <c r="T87" s="2"/>
      <c r="U87" s="2"/>
      <c r="V87" s="9"/>
      <c r="W87" s="2"/>
      <c r="X87" s="2"/>
      <c r="Y87" s="2"/>
      <c r="Z87" s="2"/>
      <c r="AA87" s="2"/>
    </row>
    <row r="88" spans="1:27" s="1" customFormat="1" ht="14.25" thickTop="1" x14ac:dyDescent="0.45">
      <c r="A88" s="31"/>
      <c r="B88" s="28"/>
      <c r="C88" s="67"/>
      <c r="D88" s="61"/>
      <c r="E88" s="14"/>
      <c r="F88" s="14"/>
      <c r="G88" s="2"/>
      <c r="H88" s="2"/>
      <c r="I88" s="2"/>
      <c r="J88" s="2"/>
      <c r="L88" s="21"/>
      <c r="M88" s="2"/>
      <c r="N88" s="2"/>
      <c r="O88" s="2"/>
      <c r="P88" s="2"/>
      <c r="Q88" s="2"/>
      <c r="R88" s="2"/>
      <c r="S88" s="2"/>
      <c r="T88" s="2"/>
      <c r="U88" s="2"/>
      <c r="V88" s="9"/>
      <c r="W88" s="2"/>
      <c r="X88" s="2"/>
      <c r="Y88" s="2"/>
      <c r="Z88" s="2"/>
      <c r="AA88" s="2"/>
    </row>
    <row r="89" spans="1:27" s="1" customFormat="1" x14ac:dyDescent="0.45">
      <c r="A89" s="31"/>
      <c r="B89" s="2"/>
      <c r="C89" s="2"/>
      <c r="D89" s="2"/>
      <c r="E89" s="2"/>
      <c r="F89" s="14"/>
      <c r="G89" s="2"/>
      <c r="H89" s="2"/>
      <c r="I89" s="2"/>
      <c r="J89" s="2"/>
      <c r="L89" s="21"/>
      <c r="M89" s="2"/>
      <c r="N89" s="2"/>
      <c r="O89" s="2"/>
      <c r="P89" s="2"/>
      <c r="Q89" s="2"/>
      <c r="R89" s="2"/>
      <c r="S89" s="2"/>
      <c r="T89" s="2"/>
      <c r="U89" s="2"/>
      <c r="V89" s="9"/>
      <c r="W89" s="2"/>
      <c r="X89" s="2"/>
      <c r="Y89" s="2"/>
      <c r="Z89" s="2"/>
      <c r="AA89" s="2"/>
    </row>
    <row r="93" spans="1:27" s="1" customFormat="1" x14ac:dyDescent="0.45">
      <c r="A93" s="31"/>
      <c r="B93" s="7"/>
      <c r="C93" s="2"/>
      <c r="D93" s="2"/>
      <c r="E93" s="2"/>
      <c r="F93" s="2"/>
      <c r="G93" s="2"/>
      <c r="H93" s="2"/>
      <c r="I93" s="2"/>
      <c r="J93" s="2"/>
      <c r="L93" s="21"/>
      <c r="M93" s="2"/>
      <c r="N93" s="2"/>
      <c r="O93" s="2"/>
      <c r="P93" s="2"/>
      <c r="Q93" s="2"/>
      <c r="R93" s="2"/>
      <c r="V93" s="15"/>
    </row>
  </sheetData>
  <mergeCells count="15">
    <mergeCell ref="B81:J81"/>
    <mergeCell ref="H61:I61"/>
    <mergeCell ref="H62:I62"/>
    <mergeCell ref="B51:J52"/>
    <mergeCell ref="B54:B55"/>
    <mergeCell ref="C54:E54"/>
    <mergeCell ref="F54:J54"/>
    <mergeCell ref="L57:N57"/>
    <mergeCell ref="B68:J68"/>
    <mergeCell ref="B1:J1"/>
    <mergeCell ref="B2:J2"/>
    <mergeCell ref="B24:J25"/>
    <mergeCell ref="B27:B28"/>
    <mergeCell ref="C27:E27"/>
    <mergeCell ref="F27:J27"/>
  </mergeCells>
  <pageMargins left="0.5" right="0.5" top="0.5" bottom="0.5" header="0.3" footer="0.3"/>
  <pageSetup scale="72" fitToHeight="0" orientation="landscape" verticalDpi="1200" r:id="rId1"/>
  <rowBreaks count="2" manualBreakCount="2">
    <brk id="22" min="1" max="12" man="1"/>
    <brk id="48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15" r:id="rId4" name="Drop Down 43">
              <controlPr defaultSize="0" autoLine="0" autoPict="0">
                <anchor moveWithCells="1">
                  <from>
                    <xdr:col>2</xdr:col>
                    <xdr:colOff>4763</xdr:colOff>
                    <xdr:row>3</xdr:row>
                    <xdr:rowOff>4763</xdr:rowOff>
                  </from>
                  <to>
                    <xdr:col>3</xdr:col>
                    <xdr:colOff>0</xdr:colOff>
                    <xdr:row>3</xdr:row>
                    <xdr:rowOff>176213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9E46-6FB3-4109-A22B-62D59831169A}">
  <sheetPr codeName="Sheet33">
    <tabColor theme="0"/>
  </sheetPr>
  <dimension ref="A1:W56"/>
  <sheetViews>
    <sheetView showGridLines="0" tabSelected="1" zoomScale="80" zoomScaleNormal="80" workbookViewId="0">
      <pane ySplit="3" topLeftCell="A4" activePane="bottomLeft" state="frozen"/>
      <selection pane="bottomLeft" activeCell="N27" sqref="N27"/>
    </sheetView>
  </sheetViews>
  <sheetFormatPr defaultColWidth="9.06640625" defaultRowHeight="13.9" x14ac:dyDescent="0.45"/>
  <cols>
    <col min="1" max="1" width="2.796875" style="43" customWidth="1"/>
    <col min="2" max="2" width="23.33203125" style="12" customWidth="1"/>
    <col min="3" max="3" width="11.1328125" style="12" bestFit="1" customWidth="1"/>
    <col min="4" max="4" width="22.3984375" style="12" customWidth="1"/>
    <col min="5" max="7" width="16.33203125" style="12" customWidth="1"/>
    <col min="8" max="8" width="18.73046875" style="12" customWidth="1"/>
    <col min="9" max="9" width="15.46484375" style="12" bestFit="1" customWidth="1"/>
    <col min="10" max="11" width="12.796875" style="12" customWidth="1"/>
    <col min="12" max="12" width="13.796875" style="12" bestFit="1" customWidth="1"/>
    <col min="13" max="13" width="16.33203125" style="12" customWidth="1"/>
    <col min="14" max="14" width="12.796875" style="12" customWidth="1"/>
    <col min="15" max="16384" width="9.06640625" style="12"/>
  </cols>
  <sheetData>
    <row r="1" spans="1:14" s="94" customFormat="1" ht="19.899999999999999" x14ac:dyDescent="0.45">
      <c r="A1" s="90"/>
      <c r="B1" s="196" t="s">
        <v>89</v>
      </c>
      <c r="C1" s="196"/>
      <c r="D1" s="196"/>
      <c r="E1" s="196"/>
      <c r="F1" s="196"/>
      <c r="G1" s="196"/>
      <c r="H1" s="196"/>
      <c r="I1" s="196"/>
      <c r="J1" s="196"/>
      <c r="K1" s="91"/>
      <c r="L1" s="92"/>
      <c r="M1" s="93"/>
    </row>
    <row r="2" spans="1:14" s="41" customFormat="1" ht="18.75" x14ac:dyDescent="0.45">
      <c r="A2" s="40"/>
      <c r="B2" s="202"/>
      <c r="C2" s="202"/>
      <c r="D2" s="202"/>
      <c r="E2" s="202"/>
      <c r="F2" s="202"/>
      <c r="K2" s="144"/>
      <c r="N2" s="42"/>
    </row>
    <row r="3" spans="1:14" ht="15" customHeight="1" x14ac:dyDescent="0.45">
      <c r="A3" s="17"/>
      <c r="B3" s="204" t="s">
        <v>30</v>
      </c>
      <c r="C3" s="204"/>
      <c r="D3" s="204"/>
      <c r="E3" s="204"/>
      <c r="F3" s="204"/>
      <c r="G3" s="204"/>
      <c r="H3" s="204"/>
      <c r="I3" s="204"/>
      <c r="J3" s="204"/>
      <c r="K3" s="204"/>
    </row>
    <row r="4" spans="1:14" x14ac:dyDescent="0.45">
      <c r="B4" s="44"/>
    </row>
    <row r="5" spans="1:14" x14ac:dyDescent="0.45">
      <c r="B5" s="2" t="s">
        <v>29</v>
      </c>
      <c r="C5" s="50">
        <f>'EV Calculation and LTI Payout'!Discount_Rate</f>
        <v>0.13</v>
      </c>
    </row>
    <row r="6" spans="1:14" x14ac:dyDescent="0.45">
      <c r="B6" s="1" t="s">
        <v>28</v>
      </c>
      <c r="C6" s="50">
        <f>'EV Calculation and LTI Payout'!C12</f>
        <v>0.04</v>
      </c>
    </row>
    <row r="7" spans="1:14" x14ac:dyDescent="0.45">
      <c r="B7" s="2" t="s">
        <v>27</v>
      </c>
      <c r="C7" s="143">
        <v>26550</v>
      </c>
    </row>
    <row r="11" spans="1:14" x14ac:dyDescent="0.45">
      <c r="C11" s="51">
        <v>2024</v>
      </c>
      <c r="D11" s="52">
        <v>2025</v>
      </c>
      <c r="E11" s="52">
        <v>2026</v>
      </c>
      <c r="F11" s="52">
        <v>2027</v>
      </c>
      <c r="G11" s="52">
        <v>2028</v>
      </c>
      <c r="H11" s="52">
        <v>2029</v>
      </c>
    </row>
    <row r="12" spans="1:14" x14ac:dyDescent="0.45">
      <c r="B12" s="12" t="s">
        <v>26</v>
      </c>
      <c r="C12" s="37">
        <f>'EV Calculation and LTI Payout'!E29</f>
        <v>61988811</v>
      </c>
      <c r="D12" s="152">
        <f>'EV Calculation and LTI Payout'!F29</f>
        <v>69946699.819459796</v>
      </c>
      <c r="E12" s="152">
        <f>'EV Calculation and LTI Payout'!G29</f>
        <v>78926192.270950601</v>
      </c>
      <c r="F12" s="152">
        <f>'EV Calculation and LTI Payout'!H29</f>
        <v>89058437.96018526</v>
      </c>
      <c r="G12" s="152">
        <f>'EV Calculation and LTI Payout'!I29</f>
        <v>100491422.98262604</v>
      </c>
      <c r="H12" s="152">
        <f>'EV Calculation and LTI Payout'!J29</f>
        <v>113392131.32828288</v>
      </c>
      <c r="I12" s="19"/>
    </row>
    <row r="13" spans="1:14" x14ac:dyDescent="0.45">
      <c r="B13" s="2" t="s">
        <v>25</v>
      </c>
      <c r="C13" s="37">
        <f>'EV Calculation and LTI Payout'!E30</f>
        <v>37392078.449600004</v>
      </c>
      <c r="D13" s="152">
        <f>'EV Calculation and LTI Payout'!F30</f>
        <v>39672839.039999999</v>
      </c>
      <c r="E13" s="152">
        <f>'EV Calculation and LTI Payout'!G30</f>
        <v>44765887.884454273</v>
      </c>
      <c r="F13" s="152">
        <f>'EV Calculation and LTI Payout'!H30</f>
        <v>50512763.053408384</v>
      </c>
      <c r="G13" s="152">
        <f>'EV Calculation and LTI Payout'!I30</f>
        <v>56997400.294518568</v>
      </c>
      <c r="H13" s="152">
        <f>'EV Calculation and LTI Payout'!J30</f>
        <v>64314510.708880663</v>
      </c>
    </row>
    <row r="14" spans="1:14" ht="14.25" thickBot="1" x14ac:dyDescent="0.5">
      <c r="B14" s="147" t="s">
        <v>24</v>
      </c>
      <c r="C14" s="145">
        <f t="shared" ref="C14:H14" si="0">C12-C13</f>
        <v>24596732.550399996</v>
      </c>
      <c r="D14" s="146">
        <f t="shared" si="0"/>
        <v>30273860.779459797</v>
      </c>
      <c r="E14" s="146">
        <f t="shared" si="0"/>
        <v>34160304.386496328</v>
      </c>
      <c r="F14" s="146">
        <f t="shared" si="0"/>
        <v>38545674.906776875</v>
      </c>
      <c r="G14" s="146">
        <f t="shared" si="0"/>
        <v>43494022.688107468</v>
      </c>
      <c r="H14" s="146">
        <f t="shared" si="0"/>
        <v>49077620.619402215</v>
      </c>
    </row>
    <row r="15" spans="1:14" ht="14.25" thickTop="1" x14ac:dyDescent="0.45">
      <c r="C15" s="37"/>
      <c r="D15" s="38"/>
      <c r="E15" s="38"/>
      <c r="F15" s="38"/>
      <c r="G15" s="38"/>
      <c r="H15" s="38"/>
    </row>
    <row r="16" spans="1:14" x14ac:dyDescent="0.45">
      <c r="B16" s="12" t="s">
        <v>23</v>
      </c>
      <c r="C16" s="37">
        <f>'EV Calculation and LTI Payout'!E32</f>
        <v>12389730</v>
      </c>
      <c r="D16" s="152">
        <f>'EV Calculation and LTI Payout'!F32</f>
        <v>13989339.963891961</v>
      </c>
      <c r="E16" s="152">
        <f>'EV Calculation and LTI Payout'!G32</f>
        <v>15785238.45419012</v>
      </c>
      <c r="F16" s="152">
        <f>'EV Calculation and LTI Payout'!H32</f>
        <v>17811687.592037052</v>
      </c>
      <c r="G16" s="152">
        <f>'EV Calculation and LTI Payout'!I32</f>
        <v>20098284.596525207</v>
      </c>
      <c r="H16" s="152">
        <f>'EV Calculation and LTI Payout'!J32</f>
        <v>22678426.265656576</v>
      </c>
    </row>
    <row r="17" spans="1:13" ht="14.25" thickBot="1" x14ac:dyDescent="0.5">
      <c r="C17" s="24"/>
      <c r="D17" s="24"/>
      <c r="E17" s="24"/>
      <c r="F17" s="24"/>
      <c r="G17" s="24"/>
      <c r="H17" s="24"/>
    </row>
    <row r="18" spans="1:13" ht="14.25" thickBot="1" x14ac:dyDescent="0.5">
      <c r="B18" s="154" t="s">
        <v>14</v>
      </c>
      <c r="C18" s="155">
        <f>C14-C16</f>
        <v>12207002.550399996</v>
      </c>
      <c r="D18" s="155">
        <f t="shared" ref="D18:H18" si="1">D14-D16</f>
        <v>16284520.815567836</v>
      </c>
      <c r="E18" s="155">
        <f t="shared" si="1"/>
        <v>18375065.932306208</v>
      </c>
      <c r="F18" s="155">
        <f t="shared" si="1"/>
        <v>20733987.314739823</v>
      </c>
      <c r="G18" s="155">
        <f t="shared" si="1"/>
        <v>23395738.091582261</v>
      </c>
      <c r="H18" s="156">
        <f t="shared" si="1"/>
        <v>26399194.353745639</v>
      </c>
    </row>
    <row r="19" spans="1:13" x14ac:dyDescent="0.45">
      <c r="B19" s="12" t="s">
        <v>22</v>
      </c>
      <c r="C19" s="37">
        <f>'EV Calculation and LTI Payout'!E57</f>
        <v>2800000</v>
      </c>
      <c r="D19" s="152">
        <f>'EV Calculation and LTI Payout'!F57</f>
        <v>5595735.9855567841</v>
      </c>
      <c r="E19" s="152">
        <f>'EV Calculation and LTI Payout'!G57</f>
        <v>6314095.381676048</v>
      </c>
      <c r="F19" s="152">
        <f>'EV Calculation and LTI Payout'!H57</f>
        <v>7124675.036814821</v>
      </c>
      <c r="G19" s="152">
        <f>'EV Calculation and LTI Payout'!I57</f>
        <v>8039313.8386100829</v>
      </c>
      <c r="H19" s="152">
        <f>'EV Calculation and LTI Payout'!J57</f>
        <v>9071370.5062626302</v>
      </c>
    </row>
    <row r="20" spans="1:13" x14ac:dyDescent="0.45">
      <c r="B20" s="12" t="s">
        <v>21</v>
      </c>
      <c r="C20" s="37">
        <f>'EV Calculation and LTI Payout'!E58</f>
        <v>2216891</v>
      </c>
      <c r="D20" s="152">
        <f>'EV Calculation and LTI Payout'!F58</f>
        <v>9450000</v>
      </c>
      <c r="E20" s="152">
        <f>'EV Calculation and LTI Payout'!G58</f>
        <v>9450000</v>
      </c>
      <c r="F20" s="152">
        <f>'EV Calculation and LTI Payout'!H58</f>
        <v>9450000</v>
      </c>
      <c r="G20" s="152">
        <f>'EV Calculation and LTI Payout'!H58</f>
        <v>9450000</v>
      </c>
      <c r="H20" s="152">
        <f>'EV Calculation and LTI Payout'!I58</f>
        <v>9450000</v>
      </c>
    </row>
    <row r="21" spans="1:13" ht="14.25" thickBot="1" x14ac:dyDescent="0.5">
      <c r="B21" s="12" t="s">
        <v>20</v>
      </c>
      <c r="C21" s="148">
        <f>'EV Calculation and LTI Payout'!E59</f>
        <v>1859664.3299999998</v>
      </c>
      <c r="D21" s="153">
        <f>'EV Calculation and LTI Payout'!F59</f>
        <v>2098400.9945837939</v>
      </c>
      <c r="E21" s="153">
        <f>'EV Calculation and LTI Payout'!G59</f>
        <v>2367785.768128518</v>
      </c>
      <c r="F21" s="153">
        <f>'EV Calculation and LTI Payout'!H59</f>
        <v>2671753.1388055575</v>
      </c>
      <c r="G21" s="153">
        <f>'EV Calculation and LTI Payout'!I59</f>
        <v>3014742.6894787811</v>
      </c>
      <c r="H21" s="153">
        <f>'EV Calculation and LTI Payout'!J59</f>
        <v>3401763.9398484863</v>
      </c>
    </row>
    <row r="22" spans="1:13" ht="14.25" thickBot="1" x14ac:dyDescent="0.5">
      <c r="B22" s="154" t="s">
        <v>15</v>
      </c>
      <c r="C22" s="155">
        <f>C18-C19-C20-C21</f>
        <v>5330447.2203999963</v>
      </c>
      <c r="D22" s="155">
        <f t="shared" ref="D22:H22" si="2">D18-D19-D20-D21</f>
        <v>-859616.16457274277</v>
      </c>
      <c r="E22" s="155">
        <f t="shared" si="2"/>
        <v>243184.78250164166</v>
      </c>
      <c r="F22" s="155">
        <f t="shared" si="2"/>
        <v>1487559.1391194458</v>
      </c>
      <c r="G22" s="155">
        <f t="shared" si="2"/>
        <v>2891681.5634933971</v>
      </c>
      <c r="H22" s="156">
        <f t="shared" si="2"/>
        <v>4476059.9076345228</v>
      </c>
    </row>
    <row r="23" spans="1:13" x14ac:dyDescent="0.45">
      <c r="B23" s="18"/>
      <c r="C23" s="24"/>
      <c r="D23" s="24"/>
      <c r="E23" s="24"/>
      <c r="F23" s="198" t="s">
        <v>57</v>
      </c>
      <c r="G23" s="198"/>
      <c r="H23" s="149">
        <f>H22/(C5-C6)</f>
        <v>49733998.973716922</v>
      </c>
      <c r="J23" s="86" t="s">
        <v>83</v>
      </c>
    </row>
    <row r="24" spans="1:13" x14ac:dyDescent="0.45">
      <c r="B24" s="18"/>
      <c r="C24" s="24"/>
      <c r="D24" s="24"/>
      <c r="E24" s="24"/>
      <c r="F24" s="199" t="s">
        <v>58</v>
      </c>
      <c r="G24" s="199"/>
      <c r="H24" s="150">
        <f>H23/(1+C5)^5</f>
        <v>26993622.099971239</v>
      </c>
      <c r="J24" s="84" t="s">
        <v>84</v>
      </c>
      <c r="K24" s="85"/>
      <c r="L24" s="85"/>
      <c r="M24" s="85"/>
    </row>
    <row r="25" spans="1:13" ht="14.25" thickBot="1" x14ac:dyDescent="0.5">
      <c r="B25" s="18"/>
      <c r="C25" s="24"/>
      <c r="D25" s="24"/>
      <c r="E25" s="24"/>
      <c r="F25" s="24"/>
      <c r="G25" s="151"/>
      <c r="H25" s="151"/>
      <c r="J25" s="2"/>
    </row>
    <row r="26" spans="1:13" ht="14.25" thickBot="1" x14ac:dyDescent="0.5">
      <c r="B26" s="154" t="s">
        <v>17</v>
      </c>
      <c r="C26" s="155">
        <f>C22/(1+$C$5)^(C11-2023)</f>
        <v>4717209.929557519</v>
      </c>
      <c r="D26" s="155">
        <f>D22/(1+$C$5)^(D11-C11)</f>
        <v>-760722.26953340077</v>
      </c>
      <c r="E26" s="155">
        <f>E22/(1+$C$5)^(E11-D11)</f>
        <v>215207.77212534662</v>
      </c>
      <c r="F26" s="155">
        <f>F22/(1+$C$5)^(F11-E11)</f>
        <v>1316424.0169198636</v>
      </c>
      <c r="G26" s="155">
        <f>G22/(1+$C$5)^(G11-F11)</f>
        <v>2559010.2331799977</v>
      </c>
      <c r="H26" s="156">
        <f>H22/(1+$C$5)^(H11-G11)</f>
        <v>3961114.9625084274</v>
      </c>
    </row>
    <row r="27" spans="1:13" x14ac:dyDescent="0.45">
      <c r="B27" s="65"/>
      <c r="C27" s="76"/>
      <c r="D27" s="76"/>
      <c r="E27" s="76"/>
      <c r="F27" s="76"/>
      <c r="G27" s="76"/>
      <c r="H27" s="76">
        <f>SUM(C26:H26)</f>
        <v>12008244.644757753</v>
      </c>
    </row>
    <row r="28" spans="1:13" x14ac:dyDescent="0.45">
      <c r="B28" s="65"/>
      <c r="C28" s="76"/>
      <c r="D28" s="76"/>
      <c r="E28" s="76"/>
      <c r="F28" s="76"/>
      <c r="G28" s="76"/>
      <c r="H28" s="76">
        <f>SUM(C26:H26)+H24</f>
        <v>39001866.74472899</v>
      </c>
    </row>
    <row r="29" spans="1:13" s="18" customFormat="1" x14ac:dyDescent="0.45">
      <c r="A29" s="64"/>
      <c r="B29" s="65"/>
      <c r="C29" s="66"/>
      <c r="D29" s="66"/>
      <c r="E29" s="66"/>
      <c r="F29" s="66"/>
      <c r="G29" s="66"/>
      <c r="H29" s="66"/>
    </row>
    <row r="30" spans="1:13" x14ac:dyDescent="0.45">
      <c r="B30" s="45" t="s">
        <v>105</v>
      </c>
      <c r="C30" s="46"/>
      <c r="D30" s="46"/>
      <c r="E30" s="46"/>
      <c r="F30" s="46"/>
      <c r="G30" s="46"/>
      <c r="H30" s="46"/>
      <c r="I30" s="46"/>
    </row>
    <row r="32" spans="1:13" ht="16.899999999999999" x14ac:dyDescent="0.45">
      <c r="D32" s="197" t="s">
        <v>106</v>
      </c>
      <c r="E32" s="197"/>
      <c r="F32" s="197"/>
      <c r="G32" s="197"/>
      <c r="H32" s="197"/>
      <c r="I32" s="197"/>
    </row>
    <row r="33" spans="2:9" x14ac:dyDescent="0.45">
      <c r="C33" s="180">
        <f>H28</f>
        <v>39001866.74472899</v>
      </c>
      <c r="D33" s="48">
        <v>-0.02</v>
      </c>
      <c r="E33" s="48">
        <v>-0.01</v>
      </c>
      <c r="F33" s="48">
        <v>0</v>
      </c>
      <c r="G33" s="48">
        <v>0.01</v>
      </c>
      <c r="H33" s="48">
        <v>0.02</v>
      </c>
      <c r="I33" s="48">
        <v>0.03</v>
      </c>
    </row>
    <row r="34" spans="2:9" x14ac:dyDescent="0.45">
      <c r="B34" s="203" t="s">
        <v>107</v>
      </c>
      <c r="C34" s="49">
        <v>7.0000000000000007E-2</v>
      </c>
      <c r="D34" s="47">
        <f t="dataTable" ref="D34:I38" dt2D="1" dtr="1" r1="C6" r2="C5"/>
        <v>48141258.076263011</v>
      </c>
      <c r="E34" s="47">
        <v>52573714.816102408</v>
      </c>
      <c r="F34" s="47">
        <v>58272587.76732447</v>
      </c>
      <c r="G34" s="47">
        <v>65871085.035620563</v>
      </c>
      <c r="H34" s="47">
        <v>76508981.211235106</v>
      </c>
      <c r="I34" s="47">
        <v>92465825.47465688</v>
      </c>
    </row>
    <row r="35" spans="2:9" x14ac:dyDescent="0.45">
      <c r="B35" s="203"/>
      <c r="C35" s="49">
        <f>+C34+0.5%</f>
        <v>7.5000000000000011E-2</v>
      </c>
      <c r="D35" s="47">
        <v>45441969.084575444</v>
      </c>
      <c r="E35" s="47">
        <v>49303068.982506201</v>
      </c>
      <c r="F35" s="47">
        <v>54193795.519885167</v>
      </c>
      <c r="G35" s="47">
        <v>60589360.99184227</v>
      </c>
      <c r="H35" s="47">
        <v>69310586.635420144</v>
      </c>
      <c r="I35" s="47">
        <v>81907912.565032631</v>
      </c>
    </row>
    <row r="36" spans="2:9" x14ac:dyDescent="0.45">
      <c r="B36" s="203"/>
      <c r="C36" s="49">
        <f>+C35+0.5%</f>
        <v>8.0000000000000016E-2</v>
      </c>
      <c r="D36" s="47">
        <v>43027493.51735495</v>
      </c>
      <c r="E36" s="47">
        <v>46412305.919635519</v>
      </c>
      <c r="F36" s="47">
        <v>50643321.422486216</v>
      </c>
      <c r="G36" s="47">
        <v>56083198.497579977</v>
      </c>
      <c r="H36" s="47">
        <v>63336367.93103835</v>
      </c>
      <c r="I36" s="47">
        <v>73490805.137880027</v>
      </c>
    </row>
    <row r="37" spans="2:9" x14ac:dyDescent="0.45">
      <c r="B37" s="203"/>
      <c r="C37" s="49">
        <f>+C36+0.5%</f>
        <v>8.500000000000002E-2</v>
      </c>
      <c r="D37" s="47">
        <v>40856598.211914584</v>
      </c>
      <c r="E37" s="47">
        <v>43840841.977265164</v>
      </c>
      <c r="F37" s="47">
        <v>47527260.746227637</v>
      </c>
      <c r="G37" s="47">
        <v>52196724.520246759</v>
      </c>
      <c r="H37" s="47">
        <v>58302946.378579497</v>
      </c>
      <c r="I37" s="47">
        <v>66629612.549033195</v>
      </c>
    </row>
    <row r="38" spans="2:9" ht="40.9" customHeight="1" x14ac:dyDescent="0.45">
      <c r="B38" s="203"/>
      <c r="C38" s="49">
        <f>+C37+0.5%</f>
        <v>9.0000000000000024E-2</v>
      </c>
      <c r="D38" s="47">
        <v>38895567.090490721</v>
      </c>
      <c r="E38" s="47">
        <v>41540232.382239223</v>
      </c>
      <c r="F38" s="47">
        <v>44772601.072154053</v>
      </c>
      <c r="G38" s="47">
        <v>48813061.934547588</v>
      </c>
      <c r="H38" s="47">
        <v>54007940.186196432</v>
      </c>
      <c r="I38" s="47">
        <v>60934444.521728203</v>
      </c>
    </row>
    <row r="39" spans="2:9" x14ac:dyDescent="0.45">
      <c r="D39" s="201" t="s">
        <v>108</v>
      </c>
      <c r="E39" s="201"/>
      <c r="F39" s="201"/>
      <c r="G39" s="201"/>
      <c r="H39" s="201"/>
      <c r="I39" s="201"/>
    </row>
    <row r="40" spans="2:9" ht="16.5" customHeight="1" x14ac:dyDescent="0.45">
      <c r="D40" s="201"/>
      <c r="E40" s="201"/>
      <c r="F40" s="201"/>
      <c r="G40" s="201"/>
      <c r="H40" s="201"/>
      <c r="I40" s="201"/>
    </row>
    <row r="41" spans="2:9" x14ac:dyDescent="0.45">
      <c r="B41" s="50"/>
    </row>
    <row r="42" spans="2:9" x14ac:dyDescent="0.45">
      <c r="B42" s="200" t="s">
        <v>103</v>
      </c>
      <c r="C42" s="200"/>
      <c r="D42" s="66"/>
      <c r="E42" s="66"/>
      <c r="F42" s="66"/>
      <c r="G42" s="66"/>
      <c r="H42" s="66"/>
    </row>
    <row r="43" spans="2:9" x14ac:dyDescent="0.45">
      <c r="B43" s="19" t="s">
        <v>61</v>
      </c>
      <c r="C43" s="160">
        <f>SUM(D26:H26)+H24</f>
        <v>34284656.815171473</v>
      </c>
    </row>
    <row r="44" spans="2:9" x14ac:dyDescent="0.45">
      <c r="B44" s="19" t="s">
        <v>62</v>
      </c>
      <c r="C44" s="161">
        <f>H23</f>
        <v>49733998.973716922</v>
      </c>
    </row>
    <row r="45" spans="2:9" x14ac:dyDescent="0.45">
      <c r="B45" s="19" t="s">
        <v>63</v>
      </c>
      <c r="C45" s="161">
        <f>C44-C43</f>
        <v>15449342.158545449</v>
      </c>
    </row>
    <row r="46" spans="2:9" x14ac:dyDescent="0.45">
      <c r="B46" s="19" t="s">
        <v>48</v>
      </c>
      <c r="C46" s="162">
        <v>0.04</v>
      </c>
    </row>
    <row r="47" spans="2:9" ht="14.25" thickBot="1" x14ac:dyDescent="0.5">
      <c r="B47" s="69" t="s">
        <v>64</v>
      </c>
      <c r="C47" s="163">
        <f>C46*C45</f>
        <v>617973.68634181796</v>
      </c>
    </row>
    <row r="48" spans="2:9" ht="14.65" thickTop="1" thickBot="1" x14ac:dyDescent="0.5"/>
    <row r="49" spans="1:23" s="2" customFormat="1" ht="14.25" customHeight="1" thickBot="1" x14ac:dyDescent="0.5">
      <c r="A49" s="31"/>
      <c r="B49" s="74" t="s">
        <v>78</v>
      </c>
      <c r="C49" s="81" t="s">
        <v>75</v>
      </c>
      <c r="D49" s="81" t="s">
        <v>76</v>
      </c>
      <c r="E49" s="75" t="s">
        <v>77</v>
      </c>
      <c r="F49" s="14"/>
      <c r="K49" s="1"/>
      <c r="L49" s="21"/>
      <c r="S49" s="4"/>
      <c r="W49" s="9"/>
    </row>
    <row r="50" spans="1:23" s="2" customFormat="1" ht="14.25" customHeight="1" x14ac:dyDescent="0.45">
      <c r="A50" s="31"/>
      <c r="B50" s="9" t="s">
        <v>86</v>
      </c>
      <c r="C50" s="39">
        <v>350000</v>
      </c>
      <c r="D50" s="39">
        <v>400000</v>
      </c>
      <c r="E50" s="39">
        <v>450000</v>
      </c>
      <c r="F50" s="14"/>
      <c r="K50" s="1"/>
      <c r="L50" s="21"/>
      <c r="S50" s="4"/>
      <c r="W50" s="9"/>
    </row>
    <row r="51" spans="1:23" s="2" customFormat="1" ht="14.25" customHeight="1" x14ac:dyDescent="0.45">
      <c r="A51" s="31"/>
      <c r="B51" s="2" t="s">
        <v>73</v>
      </c>
      <c r="C51" s="157">
        <v>0.25</v>
      </c>
      <c r="D51" s="157">
        <v>0.3</v>
      </c>
      <c r="E51" s="157">
        <v>0.4</v>
      </c>
      <c r="F51" s="14"/>
      <c r="K51" s="1"/>
      <c r="L51" s="21"/>
      <c r="S51" s="4"/>
      <c r="W51" s="9"/>
    </row>
    <row r="52" spans="1:23" s="2" customFormat="1" ht="14.25" customHeight="1" x14ac:dyDescent="0.45">
      <c r="A52" s="31"/>
      <c r="B52" s="2" t="s">
        <v>72</v>
      </c>
      <c r="C52" s="67">
        <f>C47/4</f>
        <v>154493.42158545449</v>
      </c>
      <c r="D52" s="67">
        <f>C47/4</f>
        <v>154493.42158545449</v>
      </c>
      <c r="E52" s="67">
        <f>C47/4</f>
        <v>154493.42158545449</v>
      </c>
      <c r="F52" s="14"/>
      <c r="K52" s="1"/>
      <c r="L52" s="21"/>
      <c r="S52" s="4"/>
      <c r="W52" s="9"/>
    </row>
    <row r="53" spans="1:23" s="2" customFormat="1" ht="14.65" customHeight="1" thickBot="1" x14ac:dyDescent="0.5">
      <c r="A53" s="31"/>
      <c r="B53" s="158" t="s">
        <v>74</v>
      </c>
      <c r="C53" s="159">
        <f>(C51*C50)+C50+C52</f>
        <v>591993.42158545449</v>
      </c>
      <c r="D53" s="70">
        <f t="shared" ref="D53:E53" si="3">(D51*D50)+D50+D52</f>
        <v>674493.42158545449</v>
      </c>
      <c r="E53" s="159">
        <f t="shared" si="3"/>
        <v>784493.42158545449</v>
      </c>
      <c r="F53" s="14"/>
      <c r="K53" s="1"/>
      <c r="L53" s="21"/>
      <c r="S53" s="4"/>
      <c r="W53" s="9"/>
    </row>
    <row r="54" spans="1:23" s="1" customFormat="1" ht="14.65" customHeight="1" thickTop="1" x14ac:dyDescent="0.45">
      <c r="A54" s="82"/>
      <c r="B54" s="15"/>
      <c r="C54" s="67"/>
      <c r="D54" s="67"/>
      <c r="E54" s="67"/>
      <c r="F54" s="169"/>
      <c r="L54" s="25"/>
      <c r="S54" s="26"/>
      <c r="W54" s="15"/>
    </row>
    <row r="55" spans="1:23" s="1" customFormat="1" ht="14.65" customHeight="1" x14ac:dyDescent="0.45">
      <c r="A55" s="82"/>
      <c r="B55" s="15"/>
      <c r="C55" s="67"/>
      <c r="D55" s="67"/>
      <c r="E55" s="67"/>
      <c r="F55" s="169"/>
      <c r="L55" s="25"/>
      <c r="S55" s="26"/>
      <c r="W55" s="15"/>
    </row>
    <row r="56" spans="1:23" s="1" customFormat="1" x14ac:dyDescent="0.45">
      <c r="A56" s="82"/>
      <c r="B56" s="170"/>
      <c r="C56" s="67"/>
      <c r="D56" s="10"/>
      <c r="E56" s="169"/>
      <c r="F56" s="169"/>
      <c r="L56" s="25"/>
      <c r="S56" s="26"/>
      <c r="W56" s="15"/>
    </row>
  </sheetData>
  <mergeCells count="9">
    <mergeCell ref="B1:J1"/>
    <mergeCell ref="D32:I32"/>
    <mergeCell ref="F23:G23"/>
    <mergeCell ref="F24:G24"/>
    <mergeCell ref="B42:C42"/>
    <mergeCell ref="D39:I40"/>
    <mergeCell ref="B2:F2"/>
    <mergeCell ref="B34:B38"/>
    <mergeCell ref="B3:K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 Calculation and LTI Payout</vt:lpstr>
      <vt:lpstr>DCF and Gordon Growth Model</vt:lpstr>
      <vt:lpstr>'EV Calculation and LTI Payout'!Discount_Rate</vt:lpstr>
      <vt:lpstr>'EV Calculation and LTI Payout'!Print_Area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KAREY WONG</dc:creator>
  <cp:lastModifiedBy>KAREY WONG</cp:lastModifiedBy>
  <dcterms:created xsi:type="dcterms:W3CDTF">2025-04-08T12:46:02Z</dcterms:created>
  <dcterms:modified xsi:type="dcterms:W3CDTF">2025-04-21T22:18:06Z</dcterms:modified>
</cp:coreProperties>
</file>